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m\Desktop\b\ss\Birhane-Hiwot-sunday-school-attendance\docs\"/>
    </mc:Choice>
  </mc:AlternateContent>
  <xr:revisionPtr revIDLastSave="0" documentId="13_ncr:1_{64FE6E17-B611-4A3C-8F37-3581466A2B9F}" xr6:coauthVersionLast="47" xr6:coauthVersionMax="47" xr10:uidLastSave="{00000000-0000-0000-0000-000000000000}"/>
  <bookViews>
    <workbookView xWindow="-108" yWindow="-108" windowWidth="23256" windowHeight="13176" tabRatio="762" activeTab="5" xr2:uid="{00000000-000D-0000-FFFF-FFFF00000000}"/>
  </bookViews>
  <sheets>
    <sheet name="ሰባተኛ " sheetId="1" r:id="rId1"/>
    <sheet name="ሰባተኛ 2" sheetId="2" r:id="rId2"/>
    <sheet name="ስምንተኛ " sheetId="3" r:id="rId3"/>
    <sheet name="ስምንተኛ 2" sheetId="4" r:id="rId4"/>
    <sheet name="ዘጠነኛ " sheetId="6" r:id="rId5"/>
    <sheet name="ዘጠነኛ 2" sheetId="7" r:id="rId6"/>
    <sheet name="አስረኛ" sheetId="9" r:id="rId7"/>
    <sheet name="አስረኛ 2" sheetId="10" r:id="rId8"/>
    <sheet name="አስራ አንደኛ " sheetId="11" r:id="rId9"/>
    <sheet name="አስራ ሁለተኛ " sheetId="12" r:id="rId10"/>
    <sheet name="አስራ አንደኛ 2" sheetId="13" r:id="rId11"/>
    <sheet name="አስራ ሁለተኛ 2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24" i="12" l="1"/>
  <c r="AG24" i="12"/>
  <c r="AI24" i="12" s="1"/>
  <c r="AH23" i="12"/>
  <c r="AG23" i="12"/>
  <c r="AI23" i="12" s="1"/>
  <c r="AH22" i="12"/>
  <c r="AG22" i="12"/>
  <c r="AI22" i="12" s="1"/>
  <c r="AI21" i="12"/>
  <c r="AH21" i="12"/>
  <c r="AG21" i="12"/>
  <c r="AH20" i="12"/>
  <c r="AG20" i="12"/>
  <c r="AI20" i="12" s="1"/>
  <c r="AH19" i="12"/>
  <c r="AG19" i="12"/>
  <c r="AI19" i="12" s="1"/>
  <c r="AH18" i="12"/>
  <c r="AG18" i="12"/>
  <c r="AI18" i="12" s="1"/>
  <c r="AI17" i="12"/>
  <c r="AH17" i="12"/>
  <c r="AG17" i="12"/>
  <c r="AH16" i="12"/>
  <c r="AG16" i="12"/>
  <c r="AI16" i="12" s="1"/>
  <c r="AH15" i="12"/>
  <c r="AG15" i="12"/>
  <c r="AI15" i="12" s="1"/>
  <c r="AH14" i="12"/>
  <c r="AG14" i="12"/>
  <c r="AI14" i="12" s="1"/>
  <c r="AI13" i="12"/>
  <c r="AH13" i="12"/>
  <c r="AG13" i="12"/>
  <c r="AH12" i="12"/>
  <c r="AG12" i="12"/>
  <c r="AI12" i="12" s="1"/>
  <c r="AH11" i="12"/>
  <c r="AG11" i="12"/>
  <c r="AI11" i="12" s="1"/>
  <c r="AH10" i="12"/>
  <c r="AG10" i="12"/>
  <c r="AI10" i="12" s="1"/>
  <c r="AI9" i="12"/>
  <c r="AH9" i="12"/>
  <c r="AG9" i="12"/>
  <c r="AH8" i="12"/>
  <c r="AG8" i="12"/>
  <c r="AI8" i="12" s="1"/>
  <c r="AH7" i="12"/>
  <c r="AG7" i="12"/>
  <c r="AI7" i="12" s="1"/>
  <c r="AH6" i="12"/>
  <c r="AG6" i="12"/>
  <c r="AI6" i="12" s="1"/>
  <c r="AI5" i="12"/>
  <c r="AH5" i="12"/>
  <c r="AG5" i="12"/>
  <c r="AH4" i="12"/>
  <c r="AG4" i="12"/>
  <c r="AI4" i="12" s="1"/>
  <c r="AH48" i="11"/>
  <c r="AG48" i="11"/>
  <c r="AI48" i="11" s="1"/>
  <c r="AH47" i="11"/>
  <c r="AG47" i="11"/>
  <c r="AI47" i="11" s="1"/>
  <c r="AH46" i="11"/>
  <c r="AG46" i="11"/>
  <c r="AI46" i="11" s="1"/>
  <c r="AI45" i="11"/>
  <c r="AH45" i="11"/>
  <c r="AG45" i="11"/>
  <c r="AH44" i="11"/>
  <c r="AG44" i="11"/>
  <c r="AI44" i="11" s="1"/>
  <c r="AH43" i="11"/>
  <c r="AG43" i="11"/>
  <c r="AI43" i="11" s="1"/>
  <c r="AH42" i="11"/>
  <c r="AG42" i="11"/>
  <c r="AI42" i="11" s="1"/>
  <c r="AI41" i="11"/>
  <c r="AH41" i="11"/>
  <c r="AG41" i="11"/>
  <c r="AH40" i="11"/>
  <c r="AG40" i="11"/>
  <c r="AI40" i="11" s="1"/>
  <c r="AH39" i="11"/>
  <c r="AG39" i="11"/>
  <c r="AI39" i="11" s="1"/>
  <c r="AH38" i="11"/>
  <c r="AG38" i="11"/>
  <c r="AI38" i="11" s="1"/>
  <c r="AI37" i="11"/>
  <c r="AH37" i="11"/>
  <c r="AG37" i="11"/>
  <c r="AH36" i="11"/>
  <c r="AG36" i="11"/>
  <c r="AI36" i="11" s="1"/>
  <c r="AH35" i="11"/>
  <c r="AG35" i="11"/>
  <c r="AI35" i="11" s="1"/>
  <c r="AH34" i="11"/>
  <c r="AG34" i="11"/>
  <c r="AI34" i="11" s="1"/>
  <c r="AI33" i="11"/>
  <c r="AH33" i="11"/>
  <c r="AG33" i="11"/>
  <c r="AH32" i="11"/>
  <c r="AG32" i="11"/>
  <c r="AI32" i="11" s="1"/>
  <c r="AH31" i="11"/>
  <c r="AG31" i="11"/>
  <c r="AI31" i="11" s="1"/>
  <c r="AH30" i="11"/>
  <c r="AG30" i="11"/>
  <c r="AI30" i="11" s="1"/>
  <c r="AI29" i="11"/>
  <c r="AH29" i="11"/>
  <c r="AG29" i="11"/>
  <c r="AH28" i="11"/>
  <c r="AG28" i="11"/>
  <c r="AI28" i="11" s="1"/>
  <c r="AH27" i="11"/>
  <c r="AG27" i="11"/>
  <c r="AI27" i="11" s="1"/>
  <c r="AH26" i="11"/>
  <c r="AG26" i="11"/>
  <c r="AI26" i="11" s="1"/>
  <c r="AI25" i="11"/>
  <c r="AH25" i="11"/>
  <c r="AG25" i="11"/>
  <c r="AH24" i="11"/>
  <c r="AG24" i="11"/>
  <c r="AI24" i="11" s="1"/>
  <c r="AH23" i="11"/>
  <c r="AG23" i="11"/>
  <c r="AI23" i="11" s="1"/>
  <c r="AH22" i="11"/>
  <c r="AG22" i="11"/>
  <c r="AI22" i="11" s="1"/>
  <c r="AI21" i="11"/>
  <c r="AH21" i="11"/>
  <c r="AG21" i="11"/>
  <c r="AH20" i="11"/>
  <c r="AG20" i="11"/>
  <c r="AI20" i="11" s="1"/>
  <c r="AH19" i="11"/>
  <c r="AG19" i="11"/>
  <c r="AI19" i="11" s="1"/>
  <c r="AH18" i="11"/>
  <c r="AG18" i="11"/>
  <c r="AI18" i="11" s="1"/>
  <c r="AI17" i="11"/>
  <c r="AH17" i="11"/>
  <c r="AG17" i="11"/>
  <c r="AH16" i="11"/>
  <c r="AG16" i="11"/>
  <c r="AI16" i="11" s="1"/>
  <c r="AH15" i="11"/>
  <c r="AG15" i="11"/>
  <c r="AI15" i="11" s="1"/>
  <c r="AH14" i="11"/>
  <c r="AG14" i="11"/>
  <c r="AI14" i="11" s="1"/>
  <c r="AI13" i="11"/>
  <c r="AH13" i="11"/>
  <c r="AG13" i="11"/>
  <c r="AH12" i="11"/>
  <c r="AG12" i="11"/>
  <c r="AI12" i="11" s="1"/>
  <c r="AH11" i="11"/>
  <c r="AG11" i="11"/>
  <c r="AI11" i="11" s="1"/>
  <c r="AH10" i="11"/>
  <c r="AG10" i="11"/>
  <c r="AI10" i="11" s="1"/>
  <c r="AI9" i="11"/>
  <c r="AH9" i="11"/>
  <c r="AG9" i="11"/>
  <c r="AH8" i="11"/>
  <c r="AG8" i="11"/>
  <c r="AI8" i="11" s="1"/>
  <c r="AH7" i="11"/>
  <c r="AG7" i="11"/>
  <c r="AI7" i="11" s="1"/>
  <c r="AH6" i="11"/>
  <c r="AG6" i="11"/>
  <c r="AI6" i="11" s="1"/>
  <c r="AH5" i="11"/>
  <c r="AG5" i="11"/>
  <c r="AI5" i="11" s="1"/>
  <c r="AI4" i="11"/>
  <c r="AH4" i="11"/>
  <c r="AG4" i="11"/>
  <c r="E54" i="10"/>
  <c r="AH59" i="9"/>
  <c r="AG59" i="9"/>
  <c r="AI59" i="9" s="1"/>
  <c r="AI58" i="9"/>
  <c r="AH58" i="9"/>
  <c r="AG58" i="9"/>
  <c r="AI57" i="9"/>
  <c r="AH57" i="9"/>
  <c r="AG57" i="9"/>
  <c r="AH56" i="9"/>
  <c r="AG56" i="9"/>
  <c r="AI56" i="9" s="1"/>
  <c r="AH55" i="9"/>
  <c r="AG55" i="9"/>
  <c r="AI55" i="9" s="1"/>
  <c r="AI54" i="9"/>
  <c r="AH54" i="9"/>
  <c r="AG54" i="9"/>
  <c r="E54" i="9"/>
  <c r="AH53" i="9"/>
  <c r="AG53" i="9"/>
  <c r="AI53" i="9" s="1"/>
  <c r="AI52" i="9"/>
  <c r="AH52" i="9"/>
  <c r="AG52" i="9"/>
  <c r="AH51" i="9"/>
  <c r="AG51" i="9"/>
  <c r="AI51" i="9" s="1"/>
  <c r="AH50" i="9"/>
  <c r="AG50" i="9"/>
  <c r="AI50" i="9" s="1"/>
  <c r="AH49" i="9"/>
  <c r="AG49" i="9"/>
  <c r="AI49" i="9" s="1"/>
  <c r="AI48" i="9"/>
  <c r="AH48" i="9"/>
  <c r="AG48" i="9"/>
  <c r="AH47" i="9"/>
  <c r="AG47" i="9"/>
  <c r="AI47" i="9" s="1"/>
  <c r="AH46" i="9"/>
  <c r="AG46" i="9"/>
  <c r="AI46" i="9" s="1"/>
  <c r="AI45" i="9"/>
  <c r="AH45" i="9"/>
  <c r="AG45" i="9"/>
  <c r="AI44" i="9"/>
  <c r="AH44" i="9"/>
  <c r="AG44" i="9"/>
  <c r="AH42" i="9"/>
  <c r="AG42" i="9"/>
  <c r="AI42" i="9" s="1"/>
  <c r="AH41" i="9"/>
  <c r="AG41" i="9"/>
  <c r="AI41" i="9" s="1"/>
  <c r="AH40" i="9"/>
  <c r="AG40" i="9"/>
  <c r="AI40" i="9" s="1"/>
  <c r="AI39" i="9"/>
  <c r="AH39" i="9"/>
  <c r="AG39" i="9"/>
  <c r="AH38" i="9"/>
  <c r="AG38" i="9"/>
  <c r="AI38" i="9" s="1"/>
  <c r="AH37" i="9"/>
  <c r="AG37" i="9"/>
  <c r="AI37" i="9" s="1"/>
  <c r="AH36" i="9"/>
  <c r="AG36" i="9"/>
  <c r="AI36" i="9" s="1"/>
  <c r="AI35" i="9"/>
  <c r="AH35" i="9"/>
  <c r="AG35" i="9"/>
  <c r="AH34" i="9"/>
  <c r="AG34" i="9"/>
  <c r="AI34" i="9" s="1"/>
  <c r="AH33" i="9"/>
  <c r="AG33" i="9"/>
  <c r="AI33" i="9" s="1"/>
  <c r="AH32" i="9"/>
  <c r="AG32" i="9"/>
  <c r="AI32" i="9" s="1"/>
  <c r="AI31" i="9"/>
  <c r="AH31" i="9"/>
  <c r="AG31" i="9"/>
  <c r="AH30" i="9"/>
  <c r="AG30" i="9"/>
  <c r="AI30" i="9" s="1"/>
  <c r="AH29" i="9"/>
  <c r="AG29" i="9"/>
  <c r="AI29" i="9" s="1"/>
  <c r="AH28" i="9"/>
  <c r="AG28" i="9"/>
  <c r="AI28" i="9" s="1"/>
  <c r="AI27" i="9"/>
  <c r="AH27" i="9"/>
  <c r="AG27" i="9"/>
  <c r="AI26" i="9"/>
  <c r="AH26" i="9"/>
  <c r="AG26" i="9"/>
  <c r="AH25" i="9"/>
  <c r="AG25" i="9"/>
  <c r="AI25" i="9" s="1"/>
  <c r="AH24" i="9"/>
  <c r="AG24" i="9"/>
  <c r="AI24" i="9" s="1"/>
  <c r="AI23" i="9"/>
  <c r="AH23" i="9"/>
  <c r="AG23" i="9"/>
  <c r="AI22" i="9"/>
  <c r="AH22" i="9"/>
  <c r="AG22" i="9"/>
  <c r="AH21" i="9"/>
  <c r="AG21" i="9"/>
  <c r="AI21" i="9" s="1"/>
  <c r="AH20" i="9"/>
  <c r="AG20" i="9"/>
  <c r="AI20" i="9" s="1"/>
  <c r="AI19" i="9"/>
  <c r="AH19" i="9"/>
  <c r="AG19" i="9"/>
  <c r="AI18" i="9"/>
  <c r="AH18" i="9"/>
  <c r="AG18" i="9"/>
  <c r="AH17" i="9"/>
  <c r="AG17" i="9"/>
  <c r="AI17" i="9" s="1"/>
  <c r="AH16" i="9"/>
  <c r="AG16" i="9"/>
  <c r="AI16" i="9" s="1"/>
  <c r="AI15" i="9"/>
  <c r="AH15" i="9"/>
  <c r="AG15" i="9"/>
  <c r="AI14" i="9"/>
  <c r="AH14" i="9"/>
  <c r="AG14" i="9"/>
  <c r="AH13" i="9"/>
  <c r="AG13" i="9"/>
  <c r="AI13" i="9" s="1"/>
  <c r="AH12" i="9"/>
  <c r="AG12" i="9"/>
  <c r="AI12" i="9" s="1"/>
  <c r="AI11" i="9"/>
  <c r="AH11" i="9"/>
  <c r="AG11" i="9"/>
  <c r="AI10" i="9"/>
  <c r="AH10" i="9"/>
  <c r="AG10" i="9"/>
  <c r="AH9" i="9"/>
  <c r="AG9" i="9"/>
  <c r="AI9" i="9" s="1"/>
  <c r="AH8" i="9"/>
  <c r="AG8" i="9"/>
  <c r="AI8" i="9" s="1"/>
  <c r="AI7" i="9"/>
  <c r="AH7" i="9"/>
  <c r="AG7" i="9"/>
  <c r="AI6" i="9"/>
  <c r="AH6" i="9"/>
  <c r="AG6" i="9"/>
  <c r="AH5" i="9"/>
  <c r="AG5" i="9"/>
  <c r="AI5" i="9" s="1"/>
  <c r="AH4" i="9"/>
  <c r="AG4" i="9"/>
  <c r="AI4" i="9" s="1"/>
  <c r="AH77" i="6"/>
  <c r="AG77" i="6"/>
  <c r="AI77" i="6" s="1"/>
  <c r="AI76" i="6"/>
  <c r="AH76" i="6"/>
  <c r="AG76" i="6"/>
  <c r="AI75" i="6"/>
  <c r="AH75" i="6"/>
  <c r="AG75" i="6"/>
  <c r="AH74" i="6"/>
  <c r="AG74" i="6"/>
  <c r="AI74" i="6" s="1"/>
  <c r="AH73" i="6"/>
  <c r="AG73" i="6"/>
  <c r="AI73" i="6" s="1"/>
  <c r="AI72" i="6"/>
  <c r="AH72" i="6"/>
  <c r="AG72" i="6"/>
  <c r="AI71" i="6"/>
  <c r="AH71" i="6"/>
  <c r="AG71" i="6"/>
  <c r="AH70" i="6"/>
  <c r="AG70" i="6"/>
  <c r="AI70" i="6" s="1"/>
  <c r="AH69" i="6"/>
  <c r="AG69" i="6"/>
  <c r="AI69" i="6" s="1"/>
  <c r="AI68" i="6"/>
  <c r="AH68" i="6"/>
  <c r="AG68" i="6"/>
  <c r="AI67" i="6"/>
  <c r="AH67" i="6"/>
  <c r="AG67" i="6"/>
  <c r="AH66" i="6"/>
  <c r="AG66" i="6"/>
  <c r="AI66" i="6" s="1"/>
  <c r="AH65" i="6"/>
  <c r="AG65" i="6"/>
  <c r="AI65" i="6" s="1"/>
  <c r="AI64" i="6"/>
  <c r="AH64" i="6"/>
  <c r="AG64" i="6"/>
  <c r="AI63" i="6"/>
  <c r="AH63" i="6"/>
  <c r="AG63" i="6"/>
  <c r="AH62" i="6"/>
  <c r="AG62" i="6"/>
  <c r="AI62" i="6" s="1"/>
  <c r="AH61" i="6"/>
  <c r="AG61" i="6"/>
  <c r="AI61" i="6" s="1"/>
  <c r="AI60" i="6"/>
  <c r="AH60" i="6"/>
  <c r="AG60" i="6"/>
  <c r="AI59" i="6"/>
  <c r="AH59" i="6"/>
  <c r="AG59" i="6"/>
  <c r="AH58" i="6"/>
  <c r="AG58" i="6"/>
  <c r="AI58" i="6" s="1"/>
  <c r="AH57" i="6"/>
  <c r="AG57" i="6"/>
  <c r="AI57" i="6" s="1"/>
  <c r="AI56" i="6"/>
  <c r="AH56" i="6"/>
  <c r="AG56" i="6"/>
  <c r="AI55" i="6"/>
  <c r="AH55" i="6"/>
  <c r="AG55" i="6"/>
  <c r="AH54" i="6"/>
  <c r="AG54" i="6"/>
  <c r="AI54" i="6" s="1"/>
  <c r="AH53" i="6"/>
  <c r="AG53" i="6"/>
  <c r="AI53" i="6" s="1"/>
  <c r="AI52" i="6"/>
  <c r="AH52" i="6"/>
  <c r="AG52" i="6"/>
  <c r="AI51" i="6"/>
  <c r="AH51" i="6"/>
  <c r="AG51" i="6"/>
  <c r="AH50" i="6"/>
  <c r="AG50" i="6"/>
  <c r="AI50" i="6" s="1"/>
  <c r="AH49" i="6"/>
  <c r="AG49" i="6"/>
  <c r="AI49" i="6" s="1"/>
  <c r="AI48" i="6"/>
  <c r="AH48" i="6"/>
  <c r="AG48" i="6"/>
  <c r="AI47" i="6"/>
  <c r="AH47" i="6"/>
  <c r="AG47" i="6"/>
  <c r="AH46" i="6"/>
  <c r="AG46" i="6"/>
  <c r="AI46" i="6" s="1"/>
  <c r="AH45" i="6"/>
  <c r="AG45" i="6"/>
  <c r="AI45" i="6" s="1"/>
  <c r="AI44" i="6"/>
  <c r="AH44" i="6"/>
  <c r="AG44" i="6"/>
  <c r="AI43" i="6"/>
  <c r="AH43" i="6"/>
  <c r="AG43" i="6"/>
  <c r="AH42" i="6"/>
  <c r="AG42" i="6"/>
  <c r="AI42" i="6" s="1"/>
  <c r="AH41" i="6"/>
  <c r="AG41" i="6"/>
  <c r="AI41" i="6" s="1"/>
  <c r="AI40" i="6"/>
  <c r="AH40" i="6"/>
  <c r="AG40" i="6"/>
  <c r="AI39" i="6"/>
  <c r="AH39" i="6"/>
  <c r="AG39" i="6"/>
  <c r="AH38" i="6"/>
  <c r="AG38" i="6"/>
  <c r="AI38" i="6" s="1"/>
  <c r="AH37" i="6"/>
  <c r="AG37" i="6"/>
  <c r="AI37" i="6" s="1"/>
  <c r="AI36" i="6"/>
  <c r="AH36" i="6"/>
  <c r="AG36" i="6"/>
  <c r="AI35" i="6"/>
  <c r="AH35" i="6"/>
  <c r="AG35" i="6"/>
  <c r="AH34" i="6"/>
  <c r="AG34" i="6"/>
  <c r="AI34" i="6" s="1"/>
  <c r="AH33" i="6"/>
  <c r="AG33" i="6"/>
  <c r="AI33" i="6" s="1"/>
  <c r="AI32" i="6"/>
  <c r="AH32" i="6"/>
  <c r="AG32" i="6"/>
  <c r="AI31" i="6"/>
  <c r="AH31" i="6"/>
  <c r="AG31" i="6"/>
  <c r="AH30" i="6"/>
  <c r="AG30" i="6"/>
  <c r="AI30" i="6" s="1"/>
  <c r="AH29" i="6"/>
  <c r="AG29" i="6"/>
  <c r="AI29" i="6" s="1"/>
  <c r="AI28" i="6"/>
  <c r="AH28" i="6"/>
  <c r="AG28" i="6"/>
  <c r="AI27" i="6"/>
  <c r="AH27" i="6"/>
  <c r="AG27" i="6"/>
  <c r="AH26" i="6"/>
  <c r="AG26" i="6"/>
  <c r="AI26" i="6" s="1"/>
  <c r="AH25" i="6"/>
  <c r="AG25" i="6"/>
  <c r="AI25" i="6" s="1"/>
  <c r="AI24" i="6"/>
  <c r="AH24" i="6"/>
  <c r="AG24" i="6"/>
  <c r="AI23" i="6"/>
  <c r="AH23" i="6"/>
  <c r="AG23" i="6"/>
  <c r="AH22" i="6"/>
  <c r="AG22" i="6"/>
  <c r="AI22" i="6" s="1"/>
  <c r="AH21" i="6"/>
  <c r="AG21" i="6"/>
  <c r="AI21" i="6" s="1"/>
  <c r="AI20" i="6"/>
  <c r="AH20" i="6"/>
  <c r="AG20" i="6"/>
  <c r="AI19" i="6"/>
  <c r="AH19" i="6"/>
  <c r="AG19" i="6"/>
  <c r="AH18" i="6"/>
  <c r="AG18" i="6"/>
  <c r="AI18" i="6" s="1"/>
  <c r="AH17" i="6"/>
  <c r="AG17" i="6"/>
  <c r="AI17" i="6" s="1"/>
  <c r="AI16" i="6"/>
  <c r="AH16" i="6"/>
  <c r="AG16" i="6"/>
  <c r="AI15" i="6"/>
  <c r="AH15" i="6"/>
  <c r="AG15" i="6"/>
  <c r="AH14" i="6"/>
  <c r="AG14" i="6"/>
  <c r="AI14" i="6" s="1"/>
  <c r="AH13" i="6"/>
  <c r="AG13" i="6"/>
  <c r="AI13" i="6" s="1"/>
  <c r="AI12" i="6"/>
  <c r="AH12" i="6"/>
  <c r="AG12" i="6"/>
  <c r="AI11" i="6"/>
  <c r="AH11" i="6"/>
  <c r="AG11" i="6"/>
  <c r="AH10" i="6"/>
  <c r="AG10" i="6"/>
  <c r="AI10" i="6" s="1"/>
  <c r="AH9" i="6"/>
  <c r="AG9" i="6"/>
  <c r="AI9" i="6" s="1"/>
  <c r="AI8" i="6"/>
  <c r="AH8" i="6"/>
  <c r="AG8" i="6"/>
  <c r="AI7" i="6"/>
  <c r="AH7" i="6"/>
  <c r="AG7" i="6"/>
  <c r="AH6" i="6"/>
  <c r="AG6" i="6"/>
  <c r="AI6" i="6" s="1"/>
  <c r="AH5" i="6"/>
  <c r="AG5" i="6"/>
  <c r="AI5" i="6" s="1"/>
  <c r="AI4" i="6"/>
  <c r="AH4" i="6"/>
  <c r="AG4" i="6"/>
  <c r="AI121" i="3"/>
  <c r="AH121" i="3"/>
  <c r="AG121" i="3"/>
  <c r="AH120" i="3"/>
  <c r="AG120" i="3"/>
  <c r="AI120" i="3" s="1"/>
  <c r="AH119" i="3"/>
  <c r="AG119" i="3"/>
  <c r="AI119" i="3" s="1"/>
  <c r="AI118" i="3"/>
  <c r="AH118" i="3"/>
  <c r="AG118" i="3"/>
  <c r="AI117" i="3"/>
  <c r="AH117" i="3"/>
  <c r="AG117" i="3"/>
  <c r="AH116" i="3"/>
  <c r="AG116" i="3"/>
  <c r="AI116" i="3" s="1"/>
  <c r="AH115" i="3"/>
  <c r="AG115" i="3"/>
  <c r="AI115" i="3" s="1"/>
  <c r="AI114" i="3"/>
  <c r="AH114" i="3"/>
  <c r="AG114" i="3"/>
  <c r="AI113" i="3"/>
  <c r="AH113" i="3"/>
  <c r="AG113" i="3"/>
  <c r="AH112" i="3"/>
  <c r="AG112" i="3"/>
  <c r="AI112" i="3" s="1"/>
  <c r="AH111" i="3"/>
  <c r="AG111" i="3"/>
  <c r="AI111" i="3" s="1"/>
  <c r="AI110" i="3"/>
  <c r="AH110" i="3"/>
  <c r="AG110" i="3"/>
  <c r="AI109" i="3"/>
  <c r="AH109" i="3"/>
  <c r="AG109" i="3"/>
  <c r="AH108" i="3"/>
  <c r="AG108" i="3"/>
  <c r="AI108" i="3" s="1"/>
  <c r="AH107" i="3"/>
  <c r="AG107" i="3"/>
  <c r="AI107" i="3" s="1"/>
  <c r="AI106" i="3"/>
  <c r="AH106" i="3"/>
  <c r="AG106" i="3"/>
  <c r="AI105" i="3"/>
  <c r="AH105" i="3"/>
  <c r="AG105" i="3"/>
  <c r="AH104" i="3"/>
  <c r="AG104" i="3"/>
  <c r="AI104" i="3" s="1"/>
  <c r="AH103" i="3"/>
  <c r="AG103" i="3"/>
  <c r="AI103" i="3" s="1"/>
  <c r="AI102" i="3"/>
  <c r="AH102" i="3"/>
  <c r="AG102" i="3"/>
  <c r="AI101" i="3"/>
  <c r="AH101" i="3"/>
  <c r="AG101" i="3"/>
  <c r="AH100" i="3"/>
  <c r="AG100" i="3"/>
  <c r="AI100" i="3" s="1"/>
  <c r="AH99" i="3"/>
  <c r="AG99" i="3"/>
  <c r="AI99" i="3" s="1"/>
  <c r="AI98" i="3"/>
  <c r="AH98" i="3"/>
  <c r="AG98" i="3"/>
  <c r="AI97" i="3"/>
  <c r="AH97" i="3"/>
  <c r="AG97" i="3"/>
  <c r="AH96" i="3"/>
  <c r="AG96" i="3"/>
  <c r="AI96" i="3" s="1"/>
  <c r="AH95" i="3"/>
  <c r="AG95" i="3"/>
  <c r="AI95" i="3" s="1"/>
  <c r="AI94" i="3"/>
  <c r="AH94" i="3"/>
  <c r="AG94" i="3"/>
  <c r="AI93" i="3"/>
  <c r="AH93" i="3"/>
  <c r="AG93" i="3"/>
  <c r="AH92" i="3"/>
  <c r="AG92" i="3"/>
  <c r="AI92" i="3" s="1"/>
  <c r="AH91" i="3"/>
  <c r="AG91" i="3"/>
  <c r="AI91" i="3" s="1"/>
  <c r="AI90" i="3"/>
  <c r="AH90" i="3"/>
  <c r="AG90" i="3"/>
  <c r="AI89" i="3"/>
  <c r="AH89" i="3"/>
  <c r="AG89" i="3"/>
  <c r="AH88" i="3"/>
  <c r="AG88" i="3"/>
  <c r="AI88" i="3" s="1"/>
  <c r="AH87" i="3"/>
  <c r="AG87" i="3"/>
  <c r="AI87" i="3" s="1"/>
  <c r="AI86" i="3"/>
  <c r="AH86" i="3"/>
  <c r="AG86" i="3"/>
  <c r="AI85" i="3"/>
  <c r="AH85" i="3"/>
  <c r="AG85" i="3"/>
  <c r="AH84" i="3"/>
  <c r="AG84" i="3"/>
  <c r="AI84" i="3" s="1"/>
  <c r="AH83" i="3"/>
  <c r="AG83" i="3"/>
  <c r="AI83" i="3" s="1"/>
  <c r="AI82" i="3"/>
  <c r="AH82" i="3"/>
  <c r="AG82" i="3"/>
  <c r="AI81" i="3"/>
  <c r="AH81" i="3"/>
  <c r="AG81" i="3"/>
  <c r="AH80" i="3"/>
  <c r="AG80" i="3"/>
  <c r="AI80" i="3" s="1"/>
  <c r="AH79" i="3"/>
  <c r="AG79" i="3"/>
  <c r="AI79" i="3" s="1"/>
  <c r="AI78" i="3"/>
  <c r="AH78" i="3"/>
  <c r="AG78" i="3"/>
  <c r="AI77" i="3"/>
  <c r="AH77" i="3"/>
  <c r="AG77" i="3"/>
  <c r="AH76" i="3"/>
  <c r="AG76" i="3"/>
  <c r="AI76" i="3" s="1"/>
  <c r="AH75" i="3"/>
  <c r="AG75" i="3"/>
  <c r="AI75" i="3" s="1"/>
  <c r="AI74" i="3"/>
  <c r="AH74" i="3"/>
  <c r="AG74" i="3"/>
  <c r="AI73" i="3"/>
  <c r="AH73" i="3"/>
  <c r="AG73" i="3"/>
  <c r="AH72" i="3"/>
  <c r="AG72" i="3"/>
  <c r="AI72" i="3" s="1"/>
  <c r="AH71" i="3"/>
  <c r="AG71" i="3"/>
  <c r="AI71" i="3" s="1"/>
  <c r="AI70" i="3"/>
  <c r="AH70" i="3"/>
  <c r="AG70" i="3"/>
  <c r="AI69" i="3"/>
  <c r="AH69" i="3"/>
  <c r="AG69" i="3"/>
  <c r="AH68" i="3"/>
  <c r="AG68" i="3"/>
  <c r="AI68" i="3" s="1"/>
  <c r="AH67" i="3"/>
  <c r="AG67" i="3"/>
  <c r="AI67" i="3" s="1"/>
  <c r="AI66" i="3"/>
  <c r="AH66" i="3"/>
  <c r="AG66" i="3"/>
  <c r="AI65" i="3"/>
  <c r="AH65" i="3"/>
  <c r="AG65" i="3"/>
  <c r="AH64" i="3"/>
  <c r="AG64" i="3"/>
  <c r="AI64" i="3" s="1"/>
  <c r="AH63" i="3"/>
  <c r="AG63" i="3"/>
  <c r="AI63" i="3" s="1"/>
  <c r="AI62" i="3"/>
  <c r="AH62" i="3"/>
  <c r="AG62" i="3"/>
  <c r="AI61" i="3"/>
  <c r="AH61" i="3"/>
  <c r="AG61" i="3"/>
  <c r="AH60" i="3"/>
  <c r="AG60" i="3"/>
  <c r="AI60" i="3" s="1"/>
  <c r="AH59" i="3"/>
  <c r="AG59" i="3"/>
  <c r="AI59" i="3" s="1"/>
  <c r="AI58" i="3"/>
  <c r="AH58" i="3"/>
  <c r="AG58" i="3"/>
  <c r="AI57" i="3"/>
  <c r="AH57" i="3"/>
  <c r="AG57" i="3"/>
  <c r="AH56" i="3"/>
  <c r="AG56" i="3"/>
  <c r="AI56" i="3" s="1"/>
  <c r="AH55" i="3"/>
  <c r="AG55" i="3"/>
  <c r="AI55" i="3" s="1"/>
  <c r="AI54" i="3"/>
  <c r="AH54" i="3"/>
  <c r="AG54" i="3"/>
  <c r="AI53" i="3"/>
  <c r="AH53" i="3"/>
  <c r="AG53" i="3"/>
  <c r="AH52" i="3"/>
  <c r="AG52" i="3"/>
  <c r="AI52" i="3" s="1"/>
  <c r="AH51" i="3"/>
  <c r="AG51" i="3"/>
  <c r="AI51" i="3" s="1"/>
  <c r="AI50" i="3"/>
  <c r="AH50" i="3"/>
  <c r="AG50" i="3"/>
  <c r="AI49" i="3"/>
  <c r="AH49" i="3"/>
  <c r="AG49" i="3"/>
  <c r="AH48" i="3"/>
  <c r="AG48" i="3"/>
  <c r="AI48" i="3" s="1"/>
  <c r="AH47" i="3"/>
  <c r="AG47" i="3"/>
  <c r="AI47" i="3" s="1"/>
  <c r="AI46" i="3"/>
  <c r="AH46" i="3"/>
  <c r="AG46" i="3"/>
  <c r="AI45" i="3"/>
  <c r="AH45" i="3"/>
  <c r="AG45" i="3"/>
  <c r="AH44" i="3"/>
  <c r="AG44" i="3"/>
  <c r="AI44" i="3" s="1"/>
  <c r="AH43" i="3"/>
  <c r="AG43" i="3"/>
  <c r="AI43" i="3" s="1"/>
  <c r="AI42" i="3"/>
  <c r="AH42" i="3"/>
  <c r="AG42" i="3"/>
  <c r="AI41" i="3"/>
  <c r="AH41" i="3"/>
  <c r="AG41" i="3"/>
  <c r="AH40" i="3"/>
  <c r="AG40" i="3"/>
  <c r="AI40" i="3" s="1"/>
  <c r="AH39" i="3"/>
  <c r="AG39" i="3"/>
  <c r="AI39" i="3" s="1"/>
  <c r="AI38" i="3"/>
  <c r="AH38" i="3"/>
  <c r="AG38" i="3"/>
  <c r="AI37" i="3"/>
  <c r="AH37" i="3"/>
  <c r="AG37" i="3"/>
  <c r="AH36" i="3"/>
  <c r="AG36" i="3"/>
  <c r="AI36" i="3" s="1"/>
  <c r="AH35" i="3"/>
  <c r="AG35" i="3"/>
  <c r="AI35" i="3" s="1"/>
  <c r="AI34" i="3"/>
  <c r="AH34" i="3"/>
  <c r="AG34" i="3"/>
  <c r="AI33" i="3"/>
  <c r="AH33" i="3"/>
  <c r="AG33" i="3"/>
  <c r="AH32" i="3"/>
  <c r="AG32" i="3"/>
  <c r="AI32" i="3" s="1"/>
  <c r="AH31" i="3"/>
  <c r="AG31" i="3"/>
  <c r="AI31" i="3" s="1"/>
  <c r="AI30" i="3"/>
  <c r="AH30" i="3"/>
  <c r="AG30" i="3"/>
  <c r="AI29" i="3"/>
  <c r="AH29" i="3"/>
  <c r="AG29" i="3"/>
  <c r="AH28" i="3"/>
  <c r="AG28" i="3"/>
  <c r="AI28" i="3" s="1"/>
  <c r="AH27" i="3"/>
  <c r="AG27" i="3"/>
  <c r="AI27" i="3" s="1"/>
  <c r="AI26" i="3"/>
  <c r="AH26" i="3"/>
  <c r="AG26" i="3"/>
  <c r="AI25" i="3"/>
  <c r="AH25" i="3"/>
  <c r="AG25" i="3"/>
  <c r="AH24" i="3"/>
  <c r="AG24" i="3"/>
  <c r="AI24" i="3" s="1"/>
  <c r="AH23" i="3"/>
  <c r="AG23" i="3"/>
  <c r="AI23" i="3" s="1"/>
  <c r="AI22" i="3"/>
  <c r="AH22" i="3"/>
  <c r="AG22" i="3"/>
  <c r="AI21" i="3"/>
  <c r="AH21" i="3"/>
  <c r="AG21" i="3"/>
  <c r="AH20" i="3"/>
  <c r="AG20" i="3"/>
  <c r="AI20" i="3" s="1"/>
  <c r="AH19" i="3"/>
  <c r="AG19" i="3"/>
  <c r="AI19" i="3" s="1"/>
  <c r="AI18" i="3"/>
  <c r="AH18" i="3"/>
  <c r="AG18" i="3"/>
  <c r="AI17" i="3"/>
  <c r="AH17" i="3"/>
  <c r="AG17" i="3"/>
  <c r="AH16" i="3"/>
  <c r="AG16" i="3"/>
  <c r="AI16" i="3" s="1"/>
  <c r="AH15" i="3"/>
  <c r="AG15" i="3"/>
  <c r="AI15" i="3" s="1"/>
  <c r="AI14" i="3"/>
  <c r="AH14" i="3"/>
  <c r="AG14" i="3"/>
  <c r="AI13" i="3"/>
  <c r="AH13" i="3"/>
  <c r="AG13" i="3"/>
  <c r="AH12" i="3"/>
  <c r="AG12" i="3"/>
  <c r="AI12" i="3" s="1"/>
  <c r="AH11" i="3"/>
  <c r="AG11" i="3"/>
  <c r="AI11" i="3" s="1"/>
  <c r="AI10" i="3"/>
  <c r="AH10" i="3"/>
  <c r="AG10" i="3"/>
  <c r="AI9" i="3"/>
  <c r="AH9" i="3"/>
  <c r="AG9" i="3"/>
  <c r="AH8" i="3"/>
  <c r="AG8" i="3"/>
  <c r="AI8" i="3" s="1"/>
  <c r="AH7" i="3"/>
  <c r="AG7" i="3"/>
  <c r="AI7" i="3" s="1"/>
  <c r="AI6" i="3"/>
  <c r="AH6" i="3"/>
  <c r="AG6" i="3"/>
  <c r="AI5" i="3"/>
  <c r="AH5" i="3"/>
  <c r="AG5" i="3"/>
  <c r="AH4" i="3"/>
  <c r="AG4" i="3"/>
  <c r="AI4" i="3" s="1"/>
  <c r="AH3" i="3"/>
  <c r="AG3" i="3"/>
  <c r="AI3" i="3" s="1"/>
  <c r="AB10" i="2"/>
  <c r="AB9" i="2"/>
  <c r="AB8" i="2"/>
  <c r="AB7" i="2"/>
  <c r="AB6" i="2"/>
  <c r="AB5" i="2"/>
  <c r="AB4" i="2"/>
  <c r="AI143" i="1"/>
  <c r="AH143" i="1"/>
  <c r="AG143" i="1"/>
  <c r="AI142" i="1"/>
  <c r="AH142" i="1"/>
  <c r="AG142" i="1"/>
  <c r="AH141" i="1"/>
  <c r="AG141" i="1"/>
  <c r="AI141" i="1" s="1"/>
  <c r="AH140" i="1"/>
  <c r="AG140" i="1"/>
  <c r="AI140" i="1" s="1"/>
  <c r="AI139" i="1"/>
  <c r="AH139" i="1"/>
  <c r="AG139" i="1"/>
  <c r="AI138" i="1"/>
  <c r="AH138" i="1"/>
  <c r="AG138" i="1"/>
  <c r="AH137" i="1"/>
  <c r="AG137" i="1"/>
  <c r="AI137" i="1" s="1"/>
  <c r="AH136" i="1"/>
  <c r="AG136" i="1"/>
  <c r="AI136" i="1" s="1"/>
  <c r="AI135" i="1"/>
  <c r="AH135" i="1"/>
  <c r="AG135" i="1"/>
  <c r="AI134" i="1"/>
  <c r="AH134" i="1"/>
  <c r="AG134" i="1"/>
  <c r="AH133" i="1"/>
  <c r="AG133" i="1"/>
  <c r="AI133" i="1" s="1"/>
  <c r="AH132" i="1"/>
  <c r="AG132" i="1"/>
  <c r="AI132" i="1" s="1"/>
  <c r="AI131" i="1"/>
  <c r="AH131" i="1"/>
  <c r="AG131" i="1"/>
  <c r="AI130" i="1"/>
  <c r="AH130" i="1"/>
  <c r="AG130" i="1"/>
  <c r="AH129" i="1"/>
  <c r="AG129" i="1"/>
  <c r="AI129" i="1" s="1"/>
  <c r="AH128" i="1"/>
  <c r="AG128" i="1"/>
  <c r="AI128" i="1" s="1"/>
  <c r="AI127" i="1"/>
  <c r="AH127" i="1"/>
  <c r="AG127" i="1"/>
  <c r="AI126" i="1"/>
  <c r="AH126" i="1"/>
  <c r="AG126" i="1"/>
  <c r="AH125" i="1"/>
  <c r="AG125" i="1"/>
  <c r="AI125" i="1" s="1"/>
  <c r="AH124" i="1"/>
  <c r="AG124" i="1"/>
  <c r="AI124" i="1" s="1"/>
  <c r="AI123" i="1"/>
  <c r="AH123" i="1"/>
  <c r="AG123" i="1"/>
  <c r="AI122" i="1"/>
  <c r="AH122" i="1"/>
  <c r="AG122" i="1"/>
  <c r="AH121" i="1"/>
  <c r="AG121" i="1"/>
  <c r="AI121" i="1" s="1"/>
  <c r="AH120" i="1"/>
  <c r="AG120" i="1"/>
  <c r="AI120" i="1" s="1"/>
  <c r="AH119" i="1"/>
  <c r="AG119" i="1"/>
  <c r="AI119" i="1" s="1"/>
  <c r="AI118" i="1"/>
  <c r="AH118" i="1"/>
  <c r="AG118" i="1"/>
  <c r="AI117" i="1"/>
  <c r="AH117" i="1"/>
  <c r="AG117" i="1"/>
  <c r="AH116" i="1"/>
  <c r="AG116" i="1"/>
  <c r="AI116" i="1" s="1"/>
  <c r="AH115" i="1"/>
  <c r="AG115" i="1"/>
  <c r="AI115" i="1" s="1"/>
  <c r="AI114" i="1"/>
  <c r="AH114" i="1"/>
  <c r="AG114" i="1"/>
  <c r="AI113" i="1"/>
  <c r="AH113" i="1"/>
  <c r="AG113" i="1"/>
  <c r="AH112" i="1"/>
  <c r="AG112" i="1"/>
  <c r="AI112" i="1" s="1"/>
  <c r="AH111" i="1"/>
  <c r="AG111" i="1"/>
  <c r="AI111" i="1" s="1"/>
  <c r="AI110" i="1"/>
  <c r="AH110" i="1"/>
  <c r="AG110" i="1"/>
  <c r="AI109" i="1"/>
  <c r="AH109" i="1"/>
  <c r="AG109" i="1"/>
  <c r="AH108" i="1"/>
  <c r="AG108" i="1"/>
  <c r="AI108" i="1" s="1"/>
  <c r="AH107" i="1"/>
  <c r="AG107" i="1"/>
  <c r="AI107" i="1" s="1"/>
  <c r="AI106" i="1"/>
  <c r="AH106" i="1"/>
  <c r="AG106" i="1"/>
  <c r="AI105" i="1"/>
  <c r="AH105" i="1"/>
  <c r="AG105" i="1"/>
  <c r="AH104" i="1"/>
  <c r="AG104" i="1"/>
  <c r="AI104" i="1" s="1"/>
  <c r="AH103" i="1"/>
  <c r="AG103" i="1"/>
  <c r="AI103" i="1" s="1"/>
  <c r="AI102" i="1"/>
  <c r="AH102" i="1"/>
  <c r="AG102" i="1"/>
  <c r="AI101" i="1"/>
  <c r="AH101" i="1"/>
  <c r="AG101" i="1"/>
  <c r="AH100" i="1"/>
  <c r="AG100" i="1"/>
  <c r="AI100" i="1" s="1"/>
  <c r="AH99" i="1"/>
  <c r="AG99" i="1"/>
  <c r="AI99" i="1" s="1"/>
  <c r="AI98" i="1"/>
  <c r="AH98" i="1"/>
  <c r="AG98" i="1"/>
  <c r="AH97" i="1"/>
  <c r="AG97" i="1"/>
  <c r="AI97" i="1" s="1"/>
  <c r="AH96" i="1"/>
  <c r="AG96" i="1"/>
  <c r="AI96" i="1" s="1"/>
  <c r="AH95" i="1"/>
  <c r="AG95" i="1"/>
  <c r="AI95" i="1" s="1"/>
  <c r="AI94" i="1"/>
  <c r="AH94" i="1"/>
  <c r="AG94" i="1"/>
  <c r="AH93" i="1"/>
  <c r="AG93" i="1"/>
  <c r="AI93" i="1" s="1"/>
  <c r="AH92" i="1"/>
  <c r="AG92" i="1"/>
  <c r="AI92" i="1" s="1"/>
  <c r="AH91" i="1"/>
  <c r="AG91" i="1"/>
  <c r="AI91" i="1" s="1"/>
  <c r="AI90" i="1"/>
  <c r="AH90" i="1"/>
  <c r="AG90" i="1"/>
  <c r="AH89" i="1"/>
  <c r="AG89" i="1"/>
  <c r="AI89" i="1" s="1"/>
  <c r="AH88" i="1"/>
  <c r="AG88" i="1"/>
  <c r="AI88" i="1" s="1"/>
  <c r="AH87" i="1"/>
  <c r="AG87" i="1"/>
  <c r="AI87" i="1" s="1"/>
  <c r="AI86" i="1"/>
  <c r="AH86" i="1"/>
  <c r="AG86" i="1"/>
  <c r="AI85" i="1"/>
  <c r="AH85" i="1"/>
  <c r="AG85" i="1"/>
  <c r="AH84" i="1"/>
  <c r="AG84" i="1"/>
  <c r="AI84" i="1" s="1"/>
  <c r="AH83" i="1"/>
  <c r="AG83" i="1"/>
  <c r="AI83" i="1" s="1"/>
  <c r="AI82" i="1"/>
  <c r="AH82" i="1"/>
  <c r="AG82" i="1"/>
  <c r="AH81" i="1"/>
  <c r="AG81" i="1"/>
  <c r="AI81" i="1" s="1"/>
  <c r="AH80" i="1"/>
  <c r="AG80" i="1"/>
  <c r="AI80" i="1" s="1"/>
  <c r="AH79" i="1"/>
  <c r="AG79" i="1"/>
  <c r="AI79" i="1" s="1"/>
  <c r="AI78" i="1"/>
  <c r="AH78" i="1"/>
  <c r="AG78" i="1"/>
  <c r="AH77" i="1"/>
  <c r="AG77" i="1"/>
  <c r="AI77" i="1" s="1"/>
  <c r="AH76" i="1"/>
  <c r="AG76" i="1"/>
  <c r="AI76" i="1" s="1"/>
  <c r="AH75" i="1"/>
  <c r="AG75" i="1"/>
  <c r="AI75" i="1" s="1"/>
  <c r="AI74" i="1"/>
  <c r="AH74" i="1"/>
  <c r="AG74" i="1"/>
  <c r="AH73" i="1"/>
  <c r="AG73" i="1"/>
  <c r="AI73" i="1" s="1"/>
  <c r="AH72" i="1"/>
  <c r="AG72" i="1"/>
  <c r="AI72" i="1" s="1"/>
  <c r="AH71" i="1"/>
  <c r="AG71" i="1"/>
  <c r="AI71" i="1" s="1"/>
  <c r="AI70" i="1"/>
  <c r="AH70" i="1"/>
  <c r="AG70" i="1"/>
  <c r="AH69" i="1"/>
  <c r="AG69" i="1"/>
  <c r="AI69" i="1" s="1"/>
  <c r="AH68" i="1"/>
  <c r="AG68" i="1"/>
  <c r="AI68" i="1" s="1"/>
  <c r="AI67" i="1"/>
  <c r="AH67" i="1"/>
  <c r="AG67" i="1"/>
  <c r="AI66" i="1"/>
  <c r="AH66" i="1"/>
  <c r="AG66" i="1"/>
  <c r="AH65" i="1"/>
  <c r="AG65" i="1"/>
  <c r="AI65" i="1" s="1"/>
  <c r="AH64" i="1"/>
  <c r="AG64" i="1"/>
  <c r="AI64" i="1" s="1"/>
  <c r="AI63" i="1"/>
  <c r="AH63" i="1"/>
  <c r="AG63" i="1"/>
  <c r="AI62" i="1"/>
  <c r="AH62" i="1"/>
  <c r="AG62" i="1"/>
  <c r="AH61" i="1"/>
  <c r="AG61" i="1"/>
  <c r="AI61" i="1" s="1"/>
  <c r="AH60" i="1"/>
  <c r="AG60" i="1"/>
  <c r="AI60" i="1" s="1"/>
  <c r="AI59" i="1"/>
  <c r="AH59" i="1"/>
  <c r="AG59" i="1"/>
  <c r="AI58" i="1"/>
  <c r="AH58" i="1"/>
  <c r="AG58" i="1"/>
  <c r="AH57" i="1"/>
  <c r="AG57" i="1"/>
  <c r="AI57" i="1" s="1"/>
  <c r="AH56" i="1"/>
  <c r="AG56" i="1"/>
  <c r="AI56" i="1" s="1"/>
  <c r="AI55" i="1"/>
  <c r="AH55" i="1"/>
  <c r="AG55" i="1"/>
  <c r="AI54" i="1"/>
  <c r="AH54" i="1"/>
  <c r="AG54" i="1"/>
  <c r="AH53" i="1"/>
  <c r="AG53" i="1"/>
  <c r="AI53" i="1" s="1"/>
  <c r="AH52" i="1"/>
  <c r="AG52" i="1"/>
  <c r="AI52" i="1" s="1"/>
  <c r="AI51" i="1"/>
  <c r="AH51" i="1"/>
  <c r="AG51" i="1"/>
  <c r="AI50" i="1"/>
  <c r="AH50" i="1"/>
  <c r="AG50" i="1"/>
  <c r="AH49" i="1"/>
  <c r="AG49" i="1"/>
  <c r="AI49" i="1" s="1"/>
  <c r="AH48" i="1"/>
  <c r="AG48" i="1"/>
  <c r="AI48" i="1" s="1"/>
  <c r="AI47" i="1"/>
  <c r="AH47" i="1"/>
  <c r="AG47" i="1"/>
  <c r="AI46" i="1"/>
  <c r="AH46" i="1"/>
  <c r="AG46" i="1"/>
  <c r="AH45" i="1"/>
  <c r="AG45" i="1"/>
  <c r="AI45" i="1" s="1"/>
  <c r="AH44" i="1"/>
  <c r="AG44" i="1"/>
  <c r="AI44" i="1" s="1"/>
  <c r="AI43" i="1"/>
  <c r="AH43" i="1"/>
  <c r="AG43" i="1"/>
  <c r="AI42" i="1"/>
  <c r="AH42" i="1"/>
  <c r="AG42" i="1"/>
  <c r="AH41" i="1"/>
  <c r="AG41" i="1"/>
  <c r="AI41" i="1" s="1"/>
  <c r="AH40" i="1"/>
  <c r="AG40" i="1"/>
  <c r="AI40" i="1" s="1"/>
  <c r="AI39" i="1"/>
  <c r="AH39" i="1"/>
  <c r="AG39" i="1"/>
  <c r="AI38" i="1"/>
  <c r="AH38" i="1"/>
  <c r="AG38" i="1"/>
  <c r="AH37" i="1"/>
  <c r="AG37" i="1"/>
  <c r="AI37" i="1" s="1"/>
  <c r="AH36" i="1"/>
  <c r="AG36" i="1"/>
  <c r="AI36" i="1" s="1"/>
  <c r="AI35" i="1"/>
  <c r="AH35" i="1"/>
  <c r="AG35" i="1"/>
  <c r="AI34" i="1"/>
  <c r="AH34" i="1"/>
  <c r="AG34" i="1"/>
  <c r="AH33" i="1"/>
  <c r="AG33" i="1"/>
  <c r="AI33" i="1" s="1"/>
  <c r="AH32" i="1"/>
  <c r="AG32" i="1"/>
  <c r="AI32" i="1" s="1"/>
  <c r="AI31" i="1"/>
  <c r="AH31" i="1"/>
  <c r="AG31" i="1"/>
  <c r="AI30" i="1"/>
  <c r="AH30" i="1"/>
  <c r="AG30" i="1"/>
  <c r="AH29" i="1"/>
  <c r="AG29" i="1"/>
  <c r="AI29" i="1" s="1"/>
  <c r="AH28" i="1"/>
  <c r="AG28" i="1"/>
  <c r="AI28" i="1" s="1"/>
  <c r="AI27" i="1"/>
  <c r="AH27" i="1"/>
  <c r="AG27" i="1"/>
  <c r="AI26" i="1"/>
  <c r="AH26" i="1"/>
  <c r="AG26" i="1"/>
  <c r="AH25" i="1"/>
  <c r="AG25" i="1"/>
  <c r="AI25" i="1" s="1"/>
  <c r="AH24" i="1"/>
  <c r="AG24" i="1"/>
  <c r="AI24" i="1" s="1"/>
  <c r="AI23" i="1"/>
  <c r="AH23" i="1"/>
  <c r="AG23" i="1"/>
  <c r="AI22" i="1"/>
  <c r="AH22" i="1"/>
  <c r="AG22" i="1"/>
  <c r="AH21" i="1"/>
  <c r="AG21" i="1"/>
  <c r="AI21" i="1" s="1"/>
  <c r="AH20" i="1"/>
  <c r="AG20" i="1"/>
  <c r="AI20" i="1" s="1"/>
  <c r="AI19" i="1"/>
  <c r="AH19" i="1"/>
  <c r="AG19" i="1"/>
  <c r="AI18" i="1"/>
  <c r="AH18" i="1"/>
  <c r="AG18" i="1"/>
  <c r="AH17" i="1"/>
  <c r="AG17" i="1"/>
  <c r="AI17" i="1" s="1"/>
  <c r="AH16" i="1"/>
  <c r="AG16" i="1"/>
  <c r="AI16" i="1" s="1"/>
  <c r="AI15" i="1"/>
  <c r="AH15" i="1"/>
  <c r="AG15" i="1"/>
  <c r="AI14" i="1"/>
  <c r="AH14" i="1"/>
  <c r="AG14" i="1"/>
  <c r="AH13" i="1"/>
  <c r="AG13" i="1"/>
  <c r="AI13" i="1" s="1"/>
  <c r="AH12" i="1"/>
  <c r="AG12" i="1"/>
  <c r="AI12" i="1" s="1"/>
  <c r="AI11" i="1"/>
  <c r="AH11" i="1"/>
  <c r="AG11" i="1"/>
  <c r="AI10" i="1"/>
  <c r="AH10" i="1"/>
  <c r="AG10" i="1"/>
  <c r="AH9" i="1"/>
  <c r="AG9" i="1"/>
  <c r="AI9" i="1" s="1"/>
  <c r="AH8" i="1"/>
  <c r="AG8" i="1"/>
  <c r="AI8" i="1" s="1"/>
  <c r="AI7" i="1"/>
  <c r="AH7" i="1"/>
  <c r="AG7" i="1"/>
  <c r="AI6" i="1"/>
  <c r="AH6" i="1"/>
  <c r="AG6" i="1"/>
  <c r="AH5" i="1"/>
  <c r="AG5" i="1"/>
  <c r="AI5" i="1" s="1"/>
  <c r="AH4" i="1"/>
  <c r="AG4" i="1"/>
  <c r="AI4" i="1" s="1"/>
  <c r="AI144" i="1" l="1"/>
  <c r="AI25" i="12"/>
  <c r="AI60" i="9"/>
  <c r="AI49" i="11"/>
  <c r="AI7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95" authorId="0" shapeId="0" xr:uid="{00000000-0006-0000-0100-000001000000}">
      <text>
        <r>
          <rPr>
            <sz val="10"/>
            <color rgb="FF000000"/>
            <rFont val="Arial"/>
            <scheme val="minor"/>
          </rPr>
          <t>በላቸውክንፈ</t>
        </r>
      </text>
    </comment>
  </commentList>
</comments>
</file>

<file path=xl/sharedStrings.xml><?xml version="1.0" encoding="utf-8"?>
<sst xmlns="http://schemas.openxmlformats.org/spreadsheetml/2006/main" count="9596" uniqueCount="1107">
  <si>
    <t>የተማሪዎች መለያ ቁጥር</t>
  </si>
  <si>
    <t>የተማሪ ስም ዝርዝር</t>
  </si>
  <si>
    <t>ሚያዚያ</t>
  </si>
  <si>
    <t xml:space="preserve">መስከረም </t>
  </si>
  <si>
    <t>ጥቅምት</t>
  </si>
  <si>
    <t>ዕድሜ</t>
  </si>
  <si>
    <t>ግንቦት</t>
  </si>
  <si>
    <t>ጾታ</t>
  </si>
  <si>
    <t>ስልክ ቁጥር</t>
  </si>
  <si>
    <t>ህዳር</t>
  </si>
  <si>
    <t>ሰኔ</t>
  </si>
  <si>
    <t>ታህሳስ</t>
  </si>
  <si>
    <t>ሐምሌ</t>
  </si>
  <si>
    <t>ጥር</t>
  </si>
  <si>
    <t>የካቲት</t>
  </si>
  <si>
    <t>ነሐሴ</t>
  </si>
  <si>
    <t xml:space="preserve">መጋቢት </t>
  </si>
  <si>
    <t>ጳጉሜ</t>
  </si>
  <si>
    <t>ተሳትፎ</t>
  </si>
  <si>
    <t>ቀሪ</t>
  </si>
  <si>
    <t>አማካይ</t>
  </si>
  <si>
    <t>ብሕ07/01</t>
  </si>
  <si>
    <t>ሀበን ኪዳኔ መሃሪ</t>
  </si>
  <si>
    <t>ወንድ</t>
  </si>
  <si>
    <t>ብሕ08/01</t>
  </si>
  <si>
    <t xml:space="preserve">ዲ/ን ሀብታሙ አፈራ </t>
  </si>
  <si>
    <t>ወ</t>
  </si>
  <si>
    <t>አለ/ች</t>
  </si>
  <si>
    <t>ብሕ07/02</t>
  </si>
  <si>
    <t>ሀይለማርያም ያለው ከበደ</t>
  </si>
  <si>
    <t>ብሕ07/03</t>
  </si>
  <si>
    <t>ብሕ08/02</t>
  </si>
  <si>
    <t>ሂውት ድረስ ፍርዴ</t>
  </si>
  <si>
    <t>‎ኂሩት በለጠ</t>
  </si>
  <si>
    <t>ሴት</t>
  </si>
  <si>
    <t>ሴ</t>
  </si>
  <si>
    <t>ብሕ07/04</t>
  </si>
  <si>
    <t>ሄርሜላ ዳዊት ወብሸት</t>
  </si>
  <si>
    <t>ብሕ08/03</t>
  </si>
  <si>
    <t>ሔርሜላ አማረ</t>
  </si>
  <si>
    <t>ብሕ07/05</t>
  </si>
  <si>
    <t>ልብአምላክ ዳዊት ውብሸት</t>
  </si>
  <si>
    <t>ብሕ08/04</t>
  </si>
  <si>
    <t>መሰረት ደጉ</t>
  </si>
  <si>
    <t>ብሕ07/06</t>
  </si>
  <si>
    <t>መልካሙ ቆጭቶ ገብረ ጻድቅ</t>
  </si>
  <si>
    <t>ብሕ08/05</t>
  </si>
  <si>
    <t>መቅደስ ከፍያለው</t>
  </si>
  <si>
    <t>ብሕ07/07</t>
  </si>
  <si>
    <t>መሰረት ያለው ግዛዉ</t>
  </si>
  <si>
    <t>ብሕ07/08</t>
  </si>
  <si>
    <t>መሰረት ጊንታሞ ጊቻሞ</t>
  </si>
  <si>
    <t>ብሕ08/06</t>
  </si>
  <si>
    <t>መክሊት ዘመድ</t>
  </si>
  <si>
    <t>ብሕ07/09</t>
  </si>
  <si>
    <t>መስቀሉ ወልደ አርዋጋ</t>
  </si>
  <si>
    <t>ብሕ07/10</t>
  </si>
  <si>
    <t>መቆያ አስማረ ነጋሽ</t>
  </si>
  <si>
    <t>ብሕ08/07</t>
  </si>
  <si>
    <t>ሙሉሰው ማኔ</t>
  </si>
  <si>
    <t>ብሕ07/11</t>
  </si>
  <si>
    <t>መዓዛ ታፈሳ መንገሻ</t>
  </si>
  <si>
    <t>ብሕ07/12</t>
  </si>
  <si>
    <t>ሙሴ ሳሙኤል ሽፈራወ</t>
  </si>
  <si>
    <t>ብሕ08/08</t>
  </si>
  <si>
    <t>ማህሌት መላኩ</t>
  </si>
  <si>
    <t>ብሕ07/13</t>
  </si>
  <si>
    <t>ሚካኤል ያረጋል አባተ</t>
  </si>
  <si>
    <t>ብሕ08/09</t>
  </si>
  <si>
    <t>ማህሌት ሳልልህ</t>
  </si>
  <si>
    <t>ብሕ07/14</t>
  </si>
  <si>
    <t>ማህሌት አንተነህ ጌትነት</t>
  </si>
  <si>
    <t>ብሕ07/15</t>
  </si>
  <si>
    <t>ማስታዋት ፍቅሬ ውብነህ</t>
  </si>
  <si>
    <t>ብሕ08/10</t>
  </si>
  <si>
    <t>ማህሌት አለማየሁ</t>
  </si>
  <si>
    <t>ብሕ07/16</t>
  </si>
  <si>
    <t>ማዕዛ ዱባለ ደምሴ</t>
  </si>
  <si>
    <t>ብሕ07/17</t>
  </si>
  <si>
    <t>ሜላት አለማየሁ ካሳሁን</t>
  </si>
  <si>
    <t>ብሕ08/11</t>
  </si>
  <si>
    <t>ማክዳ መለሰ</t>
  </si>
  <si>
    <t>ብሕ07/18</t>
  </si>
  <si>
    <t>ምንታምር አዲስ መኮንን</t>
  </si>
  <si>
    <t>ብሕ08/12</t>
  </si>
  <si>
    <t>ብሕ07/19</t>
  </si>
  <si>
    <t>ሜሮን ፍቃዱ</t>
  </si>
  <si>
    <t>ሰላም አእምሮ ውበት</t>
  </si>
  <si>
    <t>ብሕ07/20</t>
  </si>
  <si>
    <t>ሰብለ አሳምነው ባህሩ</t>
  </si>
  <si>
    <t>ብሕ08/13</t>
  </si>
  <si>
    <t>ሲሳይ በጅጋ</t>
  </si>
  <si>
    <t>ብሕ07/21</t>
  </si>
  <si>
    <t>ሳሙኤል ነገሰ ወልዴ</t>
  </si>
  <si>
    <t>ብሕ07/22</t>
  </si>
  <si>
    <t>ሳምራዊት ማቲወስ ደረሰ</t>
  </si>
  <si>
    <t>ብሕ07/23</t>
  </si>
  <si>
    <t>ስንታየሁ ግርማ ደገፋ</t>
  </si>
  <si>
    <t>ብሕ08/14</t>
  </si>
  <si>
    <t>ሲሳይ ተካ</t>
  </si>
  <si>
    <t>ብሕ07/24</t>
  </si>
  <si>
    <t>ሶስና በለጠ ሃይሌ</t>
  </si>
  <si>
    <t>ብሕ07/25</t>
  </si>
  <si>
    <t>ሶስና ከድር ሁሴን</t>
  </si>
  <si>
    <t>ብሕ08/15</t>
  </si>
  <si>
    <t>ሳሮን ታምራት</t>
  </si>
  <si>
    <t>ብሕ07/26</t>
  </si>
  <si>
    <t>ረድኤት ጌታቸው እሸቱ</t>
  </si>
  <si>
    <t>ብሕ08/16</t>
  </si>
  <si>
    <t>ረደኤት ደመና</t>
  </si>
  <si>
    <t>ብሕ07/27</t>
  </si>
  <si>
    <t>ሩታ ሙሉጌታ ከበደ</t>
  </si>
  <si>
    <t>ፍቃድ</t>
  </si>
  <si>
    <t>ብሕ08/17</t>
  </si>
  <si>
    <t>ሩት ብረሃነ</t>
  </si>
  <si>
    <t>ብሕ07/28</t>
  </si>
  <si>
    <t>ሮማን አረጋ በርሔ</t>
  </si>
  <si>
    <t>ብሕ07/29</t>
  </si>
  <si>
    <t>ቅድስት ተስፋየ ደሴ</t>
  </si>
  <si>
    <t>ብሕ08/18</t>
  </si>
  <si>
    <t>ሩሃማ መኮንን</t>
  </si>
  <si>
    <t>ብሕ07/30</t>
  </si>
  <si>
    <t>በሀይሉ ነገሰ አድማሱ</t>
  </si>
  <si>
    <t>ብሕ07/31</t>
  </si>
  <si>
    <t>በረከት ሞላ ካሴ</t>
  </si>
  <si>
    <t>ብሕ08/19</t>
  </si>
  <si>
    <t>ቀበኔ ለገሰ</t>
  </si>
  <si>
    <t>ብሕ07/32</t>
  </si>
  <si>
    <t>በሻዱ ተገኑ አራርሶ</t>
  </si>
  <si>
    <t>ብሕ08/20</t>
  </si>
  <si>
    <t>ቢንያም ታገል</t>
  </si>
  <si>
    <t>ብሕ07/33</t>
  </si>
  <si>
    <t>በፅሎት አለቤ ጌራ</t>
  </si>
  <si>
    <t>ብሕ07/34</t>
  </si>
  <si>
    <t>ቢንያም የሺጥላ ይታፈሩ</t>
  </si>
  <si>
    <t>ብሕ08/21</t>
  </si>
  <si>
    <t>ቢንያም ኪሮስ</t>
  </si>
  <si>
    <t>ብሕ07/35</t>
  </si>
  <si>
    <t>ቤተልሔም ተመስገን አሠፋ</t>
  </si>
  <si>
    <t>ብሕ08/22</t>
  </si>
  <si>
    <t>ባዩሽ ግሩም</t>
  </si>
  <si>
    <t>ብሕ07/36</t>
  </si>
  <si>
    <t>ቤተልሔም ከድር ሁሴን</t>
  </si>
  <si>
    <t>ብሕ08/23</t>
  </si>
  <si>
    <t>ቤተለሔም ጌቱ</t>
  </si>
  <si>
    <t>ብሕ07/37</t>
  </si>
  <si>
    <t>ቤዛዊት ሃይሉ ወልደአየስ</t>
  </si>
  <si>
    <t>ብሕ07/38</t>
  </si>
  <si>
    <t>ቤዛዊት አዳነ ፈረደ</t>
  </si>
  <si>
    <t>ብሕ08/24</t>
  </si>
  <si>
    <t>ቤዛዊት ሀብቴ</t>
  </si>
  <si>
    <t>ብሕ07/39</t>
  </si>
  <si>
    <t>ብርሃን አወቀ ነጋሽ</t>
  </si>
  <si>
    <t>ብሕ08/25</t>
  </si>
  <si>
    <t>ብሌን ጌቱ</t>
  </si>
  <si>
    <t>ብሕ07/40</t>
  </si>
  <si>
    <t>ብርሃን ተ/ማርያም ገ/ኪዳን</t>
  </si>
  <si>
    <t>ብሕ07/41</t>
  </si>
  <si>
    <t>ትርፌ ሞገስ ሀብቴ</t>
  </si>
  <si>
    <t>ብሕ08/26</t>
  </si>
  <si>
    <t>ብሩክ ሻረው</t>
  </si>
  <si>
    <t>ብሕ07/42</t>
  </si>
  <si>
    <t>ትንሳኤ ፋቃዱ ተንካሉ</t>
  </si>
  <si>
    <t>ብሕ07/43</t>
  </si>
  <si>
    <t>ናትናኤ እሸቱ አበበ</t>
  </si>
  <si>
    <t>ብሕ08/27</t>
  </si>
  <si>
    <t>ተመስገን ቆጥሶ</t>
  </si>
  <si>
    <t>ብሕ07/44</t>
  </si>
  <si>
    <t>ናትናኤል ብናልፈው ከበደ</t>
  </si>
  <si>
    <t>ብሕ07/45</t>
  </si>
  <si>
    <t>አለሙ ሀይለማርያም ወንድሙ</t>
  </si>
  <si>
    <t>ብሕ08/28</t>
  </si>
  <si>
    <t>ተመስገን ወልደ ሰንበት</t>
  </si>
  <si>
    <t>ብሕ07/46</t>
  </si>
  <si>
    <t>አበራች መንግስቱ አወቀ</t>
  </si>
  <si>
    <t>ብሕ07/47</t>
  </si>
  <si>
    <t>አቤል ወንድማገኝ ደምስ</t>
  </si>
  <si>
    <t>ብሕ08/29</t>
  </si>
  <si>
    <t>ትግስት በለጠ</t>
  </si>
  <si>
    <t>ብሕ07/48</t>
  </si>
  <si>
    <t>አብርሀም አምባቸው ደምሴ</t>
  </si>
  <si>
    <t>ብሕ07/49</t>
  </si>
  <si>
    <t>አብይ ታምራት ጠገነኝ</t>
  </si>
  <si>
    <t>ብሕ08/30</t>
  </si>
  <si>
    <t>ትግስት አሸነፍ</t>
  </si>
  <si>
    <t>ብሕ07/50</t>
  </si>
  <si>
    <t>አብዮት አለማየሁ ተሾመ</t>
  </si>
  <si>
    <t>ብሕ07/51</t>
  </si>
  <si>
    <t>ኣማኑኤል አስፋው ደሴ</t>
  </si>
  <si>
    <t>ብሕ08/31</t>
  </si>
  <si>
    <t>ትግስት ፋንታሁን</t>
  </si>
  <si>
    <t>ብሕ07/52</t>
  </si>
  <si>
    <t>ኤልሳ ካሳ ጥላሁን</t>
  </si>
  <si>
    <t>ብሕ07/53</t>
  </si>
  <si>
    <t>ኤርሚያስ የሺጥላ ይታፈሩ</t>
  </si>
  <si>
    <t>ብሕ08/32</t>
  </si>
  <si>
    <t>ብሕ07/54</t>
  </si>
  <si>
    <t>ኤፍራታ በለው እሼቴ</t>
  </si>
  <si>
    <t>ነብዩ ዳንኤል</t>
  </si>
  <si>
    <t>ብሕ07/55</t>
  </si>
  <si>
    <t>እየሩሳሌም መስፍን ሞላ</t>
  </si>
  <si>
    <t>ብሕ07/56</t>
  </si>
  <si>
    <t>እየሩሳሌም መዝገቡ አብርሃ</t>
  </si>
  <si>
    <t>ብሕ08/33</t>
  </si>
  <si>
    <t>ናታይ ንጉሴ</t>
  </si>
  <si>
    <t>ብሕ07/57</t>
  </si>
  <si>
    <t>አርሴማ መስፍን ተሰማ</t>
  </si>
  <si>
    <t>ብሕ07/58</t>
  </si>
  <si>
    <t>አርሴማ ተሾመ እሸተ</t>
  </si>
  <si>
    <t>ብሕ08/34</t>
  </si>
  <si>
    <t>ንግስት አመሸ</t>
  </si>
  <si>
    <t>ብሕ07/59</t>
  </si>
  <si>
    <t>ኪዳነ ማርያም አስማረ አድማሱ</t>
  </si>
  <si>
    <t>ብሕ08/35</t>
  </si>
  <si>
    <t>አማኑኤል ረታ</t>
  </si>
  <si>
    <t>ብሕ07/60</t>
  </si>
  <si>
    <t>ዮሐንስ ሙሉጌታ ኢቲቻ</t>
  </si>
  <si>
    <t>ብሕ07/61</t>
  </si>
  <si>
    <t>ደረጀ ወረቁ ኤጀርሳ</t>
  </si>
  <si>
    <t>ብሕ08/36</t>
  </si>
  <si>
    <t>ኢማን አብዲ</t>
  </si>
  <si>
    <t>ብሕ07/62</t>
  </si>
  <si>
    <t>ገነት በቀለ አበበ</t>
  </si>
  <si>
    <t>ብሕ07/63</t>
  </si>
  <si>
    <t>ጌትነት አሰፋ ገ/መድኅን</t>
  </si>
  <si>
    <t>ብሕ08/37</t>
  </si>
  <si>
    <t>አሜን  ዳዊት</t>
  </si>
  <si>
    <t>ብሕ07/64</t>
  </si>
  <si>
    <t>ፀጋየ ገብሬ ስፍራጋ</t>
  </si>
  <si>
    <t>ብሕ07/65</t>
  </si>
  <si>
    <t>ፌኔት መስፍን ነገዩ</t>
  </si>
  <si>
    <t>ብሕ07/66</t>
  </si>
  <si>
    <t>ፍሬሕየወት ሹሜ አባተ</t>
  </si>
  <si>
    <t>ብሕ08/38</t>
  </si>
  <si>
    <t>አስቴር ገ/ኪዳን</t>
  </si>
  <si>
    <t>ብሕ07/67</t>
  </si>
  <si>
    <t>ፍታለው አስናቀው አዳነ</t>
  </si>
  <si>
    <t>ብሕ07/68</t>
  </si>
  <si>
    <t>አማኑኤል አስናቀወ</t>
  </si>
  <si>
    <t>ብሕ08/39</t>
  </si>
  <si>
    <t>አበበች ታደሰ</t>
  </si>
  <si>
    <t>ብሕ07/69</t>
  </si>
  <si>
    <t>አቲናፍ ታደሰ ተገነ</t>
  </si>
  <si>
    <t>ብሕ08/40</t>
  </si>
  <si>
    <t>አትናስያ ምዕራብ</t>
  </si>
  <si>
    <t>ብሕ07/70</t>
  </si>
  <si>
    <t>ሀይለልዑል ባየ ታምር</t>
  </si>
  <si>
    <t>ብሕ07/71</t>
  </si>
  <si>
    <t>ሲሳይ ብረሀኑ</t>
  </si>
  <si>
    <t>ብሕ08/41</t>
  </si>
  <si>
    <t>አክለ ደምሴ ታደሰ</t>
  </si>
  <si>
    <t>ብሕ07/72</t>
  </si>
  <si>
    <t>ጎሳየ ግዛው</t>
  </si>
  <si>
    <t>ብሕ08/42</t>
  </si>
  <si>
    <t>አጸደ ተክሉ</t>
  </si>
  <si>
    <t>ብሕ07/73</t>
  </si>
  <si>
    <t>መሳይ ጌታ ፍቅሬ</t>
  </si>
  <si>
    <t>ብሕ07/74</t>
  </si>
  <si>
    <t>ተመስገን ሀይለማርያም</t>
  </si>
  <si>
    <t>ብሕ08/43</t>
  </si>
  <si>
    <t>ኢየሩሳሌም ፈረደ</t>
  </si>
  <si>
    <t>ብሕ07/75</t>
  </si>
  <si>
    <t>አብረሀም እሸቱ አሊ</t>
  </si>
  <si>
    <t>ብሕ07/76</t>
  </si>
  <si>
    <t>ሳሙኤል ኃይለ ሚካኤል ተክለ አረጋይ</t>
  </si>
  <si>
    <t>ብሕ07/77</t>
  </si>
  <si>
    <t>መሠረት ፈጠነ መለሰ</t>
  </si>
  <si>
    <t>ብሕ08/44</t>
  </si>
  <si>
    <t>ዓለም ጌቱ</t>
  </si>
  <si>
    <t>ብሕ07/78</t>
  </si>
  <si>
    <t>ኢብሳ ተሬሳ ጉረሜሳ</t>
  </si>
  <si>
    <t>ብሕ07/79</t>
  </si>
  <si>
    <t>ሚካኤል ጌድዮን ሺፈራው</t>
  </si>
  <si>
    <t>ብሕ08/45</t>
  </si>
  <si>
    <t>ኤልዳና ጸጋ አባተ</t>
  </si>
  <si>
    <t>ብሕ07/80</t>
  </si>
  <si>
    <t>ፍቅርተ አዱኛ ከበደ</t>
  </si>
  <si>
    <t>ብሕ08/46</t>
  </si>
  <si>
    <t>እጅጋየሁ አጥላሁ</t>
  </si>
  <si>
    <t>ብሕ07/81</t>
  </si>
  <si>
    <t>ምስጋናው አርደንቶ ኤርቲሮ</t>
  </si>
  <si>
    <t>ብሕ08/47</t>
  </si>
  <si>
    <t>ብሕ07/82</t>
  </si>
  <si>
    <t>ዋሲሁን ገረመው</t>
  </si>
  <si>
    <t>ሰለሞን ብርሃኑ አብረሃ</t>
  </si>
  <si>
    <t>ብሕ07/83</t>
  </si>
  <si>
    <t>ሐረግ ባንቴ ታምር</t>
  </si>
  <si>
    <t>ብሕ08/48</t>
  </si>
  <si>
    <t>ዝናሽ አሰፋ</t>
  </si>
  <si>
    <t>ብሕ07/84</t>
  </si>
  <si>
    <t>ብሌን ኪዳኔ ሀይሌ</t>
  </si>
  <si>
    <t>ብሕ07/85</t>
  </si>
  <si>
    <t>ሔመን ደጀኔ ቦንገር</t>
  </si>
  <si>
    <t>ብሕ08/49</t>
  </si>
  <si>
    <t>ዮሐንስ ወርቁ</t>
  </si>
  <si>
    <t>ብሕ07/86</t>
  </si>
  <si>
    <t>ዘመድ ገ/መድሀን ገ/የስ</t>
  </si>
  <si>
    <t>ብሕ07/87</t>
  </si>
  <si>
    <t>አልማዝ መኩሪያው አራኬ</t>
  </si>
  <si>
    <t>ብሕ08/50</t>
  </si>
  <si>
    <t>ዮሐንስ ፍሬዘር</t>
  </si>
  <si>
    <t>ብሕ07/88</t>
  </si>
  <si>
    <t>ጌታቸው ተስፋዬ ዘመዱ</t>
  </si>
  <si>
    <t>ብሕ07/89</t>
  </si>
  <si>
    <t>ሰብለ ወለታ አሻግሬ</t>
  </si>
  <si>
    <t>ብሕ08/51</t>
  </si>
  <si>
    <t>ዮሴፍ ግዛው</t>
  </si>
  <si>
    <t>ብሕ07/90</t>
  </si>
  <si>
    <t>ሳሙኤል ተኩ ገብረማርያም</t>
  </si>
  <si>
    <t>ብሕ08/52</t>
  </si>
  <si>
    <t>ዮርዳኖስ ፍቃዱ</t>
  </si>
  <si>
    <t>ብሕ07/91</t>
  </si>
  <si>
    <t>የአብስራ ማሙዬ ታደሰ</t>
  </si>
  <si>
    <t>ብሕ07/92</t>
  </si>
  <si>
    <t>ነጋሽ በላይሁን ሸንጉጤ</t>
  </si>
  <si>
    <t>ብሕ08/53</t>
  </si>
  <si>
    <t>ዮናስ ስጦታው</t>
  </si>
  <si>
    <t>ብሕ07/93</t>
  </si>
  <si>
    <t>ያሬድ ደጀኔ ገብረ መድኅን</t>
  </si>
  <si>
    <t>ብሕ07/94</t>
  </si>
  <si>
    <t>ት ቲዮብስታ ግሩም</t>
  </si>
  <si>
    <t>ብሕ08/54</t>
  </si>
  <si>
    <t>ደመቁ ምስጌ</t>
  </si>
  <si>
    <t>ብሕ07/95</t>
  </si>
  <si>
    <t>ራሄል ውብሸት ናደው</t>
  </si>
  <si>
    <t>ብሕ07/96</t>
  </si>
  <si>
    <t>ደራርቱ ደበበ ኤርባ</t>
  </si>
  <si>
    <t>ብሕ08/55</t>
  </si>
  <si>
    <t>ገሊላ ተስፋዬ</t>
  </si>
  <si>
    <t>ብሕ07/97</t>
  </si>
  <si>
    <t>ዳንኤል ጨፍቅ ተስፋዬ</t>
  </si>
  <si>
    <t>ብሕ07/98</t>
  </si>
  <si>
    <t>አብርሃም ታከለ አበበ</t>
  </si>
  <si>
    <t>ብሕ08/56</t>
  </si>
  <si>
    <t>ገረመው ታደለ</t>
  </si>
  <si>
    <t>ብሕ07/99</t>
  </si>
  <si>
    <t>ሳሙኤል ጌታቸዉ ደዲማስ</t>
  </si>
  <si>
    <t>ብሕ07/100</t>
  </si>
  <si>
    <t>ሳይሞን ተስፋዬ በየነ</t>
  </si>
  <si>
    <t>ብሕ08/57</t>
  </si>
  <si>
    <t>‎ገነት በቀለ</t>
  </si>
  <si>
    <t xml:space="preserve">ወ </t>
  </si>
  <si>
    <t>ብሕ07/101</t>
  </si>
  <si>
    <t>ሳሳ ደጄኔ ደገፈ</t>
  </si>
  <si>
    <t>ብሕ07/102</t>
  </si>
  <si>
    <t>ሔሌን ሙላት. አንዳርጌ</t>
  </si>
  <si>
    <t>ብሕ08/58</t>
  </si>
  <si>
    <t>‎ጌጡ ታምራት</t>
  </si>
  <si>
    <t>ብሕ07/103</t>
  </si>
  <si>
    <t>አዲስ አታላይ ተረፈ</t>
  </si>
  <si>
    <t>ብሕ07/104</t>
  </si>
  <si>
    <t>በፀሎት በለጠ ዘርፉ</t>
  </si>
  <si>
    <t>ብሕ08/59</t>
  </si>
  <si>
    <t>ፀጋዬ በላይ</t>
  </si>
  <si>
    <t>ብሕ07/105</t>
  </si>
  <si>
    <t>አሳዬ አዲስ ብዙነህ</t>
  </si>
  <si>
    <t>ብሕ07/106</t>
  </si>
  <si>
    <t>ማስተዋል ዓለሙ ይታየው</t>
  </si>
  <si>
    <t>ብሕ08/60</t>
  </si>
  <si>
    <t>ፍቅር ዘሩ</t>
  </si>
  <si>
    <t>ብሕ07/107</t>
  </si>
  <si>
    <t>መቅደስ ጌታቸው ተዋበ</t>
  </si>
  <si>
    <t>ብሕ07/108</t>
  </si>
  <si>
    <t>ዮርዳኖስ ደረጄ ጫኔ</t>
  </si>
  <si>
    <t>ብሕ07/109</t>
  </si>
  <si>
    <t>ሂሩት ባህሩ አብዛ</t>
  </si>
  <si>
    <t>ብሕ08/61</t>
  </si>
  <si>
    <t>መክሊት ዱባለ መላክ</t>
  </si>
  <si>
    <t>ብሕ07/110</t>
  </si>
  <si>
    <t>ሂወት ባህሩ አብዛ</t>
  </si>
  <si>
    <t>ብሕ07/111</t>
  </si>
  <si>
    <t>ሃዊ ቸርነት ያደሳ</t>
  </si>
  <si>
    <t>ብሕ08/62</t>
  </si>
  <si>
    <t>ኤርሚያስ  ተሾመ</t>
  </si>
  <si>
    <t>ብሕ07/112</t>
  </si>
  <si>
    <t>ሀና አስራት አብርሃም</t>
  </si>
  <si>
    <t>ብሕ08/63</t>
  </si>
  <si>
    <t>ብሕ07/113</t>
  </si>
  <si>
    <t>ቤዛዊት አድማሱ</t>
  </si>
  <si>
    <t xml:space="preserve">ሴ </t>
  </si>
  <si>
    <t>ትእግስት ጥላሁን በላይ</t>
  </si>
  <si>
    <t>ብሕ08/64</t>
  </si>
  <si>
    <t>ናታኒያ ዘይቱ</t>
  </si>
  <si>
    <t>ብሕ07/114</t>
  </si>
  <si>
    <t>ትዝብት ኃ/መስቀል</t>
  </si>
  <si>
    <t>ብሕ08/65</t>
  </si>
  <si>
    <t>ቢኒያም  ብርሃኑ</t>
  </si>
  <si>
    <t>ብሕ07/115</t>
  </si>
  <si>
    <t>ደስታ ባይሳ ለገሰ</t>
  </si>
  <si>
    <t>ብሕ07/116</t>
  </si>
  <si>
    <t xml:space="preserve">ዮናስ ገ/መስቀል ገ/ሕይወት </t>
  </si>
  <si>
    <t>ብሕ08/66</t>
  </si>
  <si>
    <t>ጽዮን መካሻ</t>
  </si>
  <si>
    <t>ብሕ07/117</t>
  </si>
  <si>
    <t>ሳምራዊት አበበ ሰይፉ</t>
  </si>
  <si>
    <t>ብሕ08/67</t>
  </si>
  <si>
    <t>ብሕ07/118</t>
  </si>
  <si>
    <t>ፍጹም አባይነህ</t>
  </si>
  <si>
    <t>ሀረግ ባንተ ታምሩ</t>
  </si>
  <si>
    <t>ብሕ07/119</t>
  </si>
  <si>
    <t>ኤልሳቤጥ እሸቱ አብይ</t>
  </si>
  <si>
    <t>ብሕ08/68</t>
  </si>
  <si>
    <t>አማኑኤል ካሳሁን</t>
  </si>
  <si>
    <t>ብሕ07/120</t>
  </si>
  <si>
    <t>አብርሃም እሸቱ አብይ</t>
  </si>
  <si>
    <t>ብሕ08/69</t>
  </si>
  <si>
    <t>አብርሃም ታከለ</t>
  </si>
  <si>
    <t>ብሕ07/121</t>
  </si>
  <si>
    <t xml:space="preserve">ሄሌን ሙላቱ አንዳርጌ </t>
  </si>
  <si>
    <t>ብሕ08/70</t>
  </si>
  <si>
    <t>እዮብ አስቻለው</t>
  </si>
  <si>
    <t>ብሕ07/122</t>
  </si>
  <si>
    <t>ብስራት አውራርስ ክብረት</t>
  </si>
  <si>
    <t>ብሕ08/71</t>
  </si>
  <si>
    <t>ልዑል ፍቃዱ</t>
  </si>
  <si>
    <t>ብሕ07/123</t>
  </si>
  <si>
    <t>እጹብ ጌታሁን ከበደ</t>
  </si>
  <si>
    <t>ብሕ08/72</t>
  </si>
  <si>
    <t>እመቤት ሽታ</t>
  </si>
  <si>
    <t>ብሕ07/124</t>
  </si>
  <si>
    <t>አማኑኤል  አበራ ኃይሌ</t>
  </si>
  <si>
    <t>0 930126978</t>
  </si>
  <si>
    <t>ብሕ08/73</t>
  </si>
  <si>
    <t>አለምፀሀይ ተክላይ</t>
  </si>
  <si>
    <t>ብሕ07/125</t>
  </si>
  <si>
    <t>ፋና ብርሃኔ አብረሃ</t>
  </si>
  <si>
    <t>09846413 63</t>
  </si>
  <si>
    <t>ብሕ08/74</t>
  </si>
  <si>
    <t>አስቴር ሁርጌቻ</t>
  </si>
  <si>
    <t>ብሕ07/126</t>
  </si>
  <si>
    <t>ዳናይት ብርሃኔ አብረሃ</t>
  </si>
  <si>
    <t>ብሕ08/75</t>
  </si>
  <si>
    <t>መቅደስ ግሩም</t>
  </si>
  <si>
    <t>ብሕ07/127</t>
  </si>
  <si>
    <t>ሳምራዊት የኔው ዘገየ</t>
  </si>
  <si>
    <t>ብሕ08/76</t>
  </si>
  <si>
    <t>ነብዩ ዳዊት</t>
  </si>
  <si>
    <t>ብሕ07/128</t>
  </si>
  <si>
    <t>መኳንንት ሙሌ ገብሬ</t>
  </si>
  <si>
    <t>ብሕ08/77</t>
  </si>
  <si>
    <t>እሴተ ገብርኤል ተሾመ</t>
  </si>
  <si>
    <t>ብሕ07/129</t>
  </si>
  <si>
    <t xml:space="preserve">ሰለሞን ሙሉጌታ ወርቁ </t>
  </si>
  <si>
    <t>ብሕ08/78</t>
  </si>
  <si>
    <t>ኤዶም ዘላለም</t>
  </si>
  <si>
    <t>ብሕ07/130</t>
  </si>
  <si>
    <t>ናትናኤል አቃናው ፈንቅሎ</t>
  </si>
  <si>
    <t>ብሕ08/79</t>
  </si>
  <si>
    <t>ቃልአብ ዘርኡ</t>
  </si>
  <si>
    <t>ብሕ07/131</t>
  </si>
  <si>
    <t>ቃለአብ ተስፋሁን ሀጎስ</t>
  </si>
  <si>
    <t>ብሕ08/80</t>
  </si>
  <si>
    <t>ሀብታሙ ብርሃኑ</t>
  </si>
  <si>
    <t>ብሕ07/132</t>
  </si>
  <si>
    <t>መርሃዊት ገ/መስቀል ሀጎስ</t>
  </si>
  <si>
    <t>ብሕ07/133</t>
  </si>
  <si>
    <t>አልማዝ ኃይሌ እንግዳ</t>
  </si>
  <si>
    <t>ብሕ08/81</t>
  </si>
  <si>
    <t>ዲ/ን ናሁ ሰናይ አበበ</t>
  </si>
  <si>
    <t>ብሕ07/134</t>
  </si>
  <si>
    <t>ክብረ መንግስት ኃ/ሥላሴ በለጠ</t>
  </si>
  <si>
    <t>ብሕ08/82</t>
  </si>
  <si>
    <t>ቢኒያም ታገል</t>
  </si>
  <si>
    <t>ብሕ07/135</t>
  </si>
  <si>
    <t xml:space="preserve">ሳራ በርሄ ገ/እግዚአብሔር </t>
  </si>
  <si>
    <t>ብሕ08/83</t>
  </si>
  <si>
    <t>አበባ  ሻብር</t>
  </si>
  <si>
    <t>ብሕ07/136</t>
  </si>
  <si>
    <t>ሳምራዊት ድንቁ ሮማ</t>
  </si>
  <si>
    <t>ብሕ08/84</t>
  </si>
  <si>
    <t>ዳግማዊ ታደሰ</t>
  </si>
  <si>
    <t>ብሕ07/137</t>
  </si>
  <si>
    <t>ጽዮን አወቀ አድፍረስ</t>
  </si>
  <si>
    <t>ብሕ07/138</t>
  </si>
  <si>
    <t>ሰላማዊት ተፈሪ ከተማ</t>
  </si>
  <si>
    <t>ብሕ08/85</t>
  </si>
  <si>
    <t>አንድነት ምስክር</t>
  </si>
  <si>
    <t>ብሕ07/139</t>
  </si>
  <si>
    <t>ሀዱሽ ገ/ሥላሴ</t>
  </si>
  <si>
    <t>ብሕ08/86</t>
  </si>
  <si>
    <t>ማህደር ደረጀ</t>
  </si>
  <si>
    <t>ብሕ07/140</t>
  </si>
  <si>
    <t>ቦንቱ ሙልጌታ አብደታv</t>
  </si>
  <si>
    <t>ብሕ08/87</t>
  </si>
  <si>
    <t>ብሌን  አየነው</t>
  </si>
  <si>
    <t>ብሕ07/141</t>
  </si>
  <si>
    <t>ትሻገር ትንሳኤ ስዩም</t>
  </si>
  <si>
    <t>ብሕ07/142</t>
  </si>
  <si>
    <t>አማኑኤል አበራ ሀይሌ</t>
  </si>
  <si>
    <t>ብሕ08/88</t>
  </si>
  <si>
    <t>ልዑል  መስፍን</t>
  </si>
  <si>
    <t>ብሕ07/143</t>
  </si>
  <si>
    <t>ሚካኤል ዮሐንስ ባራክ</t>
  </si>
  <si>
    <t>ብሕ08/89</t>
  </si>
  <si>
    <t>ሔለን ማርቆስ</t>
  </si>
  <si>
    <t>ብሕ07/144</t>
  </si>
  <si>
    <t>አስራተ በለጠ አስፋው</t>
  </si>
  <si>
    <t>ብሕ08/90</t>
  </si>
  <si>
    <t>ሔመን ሀብታሙ</t>
  </si>
  <si>
    <t>ብሕ07/145</t>
  </si>
  <si>
    <t>አርሴማ ፈንታ አለሙ</t>
  </si>
  <si>
    <t>ብሕ07/146</t>
  </si>
  <si>
    <t>ብሕ08/91</t>
  </si>
  <si>
    <t>ዮናታን ተስፋዬ</t>
  </si>
  <si>
    <t>መና መስፍን</t>
  </si>
  <si>
    <t>ብሕ07/147</t>
  </si>
  <si>
    <t xml:space="preserve">ናትናኤል ወ/አማኑኤል </t>
  </si>
  <si>
    <t>ብሕ08/92</t>
  </si>
  <si>
    <t>ሰላም  ሲሳይ ደሴ</t>
  </si>
  <si>
    <t>ብሕ07/148</t>
  </si>
  <si>
    <t>ያደኔ ባጫ</t>
  </si>
  <si>
    <t>ብሕ07/149</t>
  </si>
  <si>
    <t>ዲ/ን ደሳለኝ አዳነ</t>
  </si>
  <si>
    <t>ብሕ08/93</t>
  </si>
  <si>
    <t>ሳሙኤል  ቢሰጥ</t>
  </si>
  <si>
    <t>ብሕ07/150</t>
  </si>
  <si>
    <t xml:space="preserve">ሲና ተስፋዬ </t>
  </si>
  <si>
    <t>ብሕ08/94</t>
  </si>
  <si>
    <t>ቃልኪዳን ገብረ ዋህድ</t>
  </si>
  <si>
    <t>ብሕ07/151</t>
  </si>
  <si>
    <t>ብርቱካን ቁምልኝ</t>
  </si>
  <si>
    <t>ብሕ08/95</t>
  </si>
  <si>
    <t>ቢታንያ  ብርሃኑ ገዳ</t>
  </si>
  <si>
    <t>ብሕ07/152</t>
  </si>
  <si>
    <t>አክበረት ገ/ኪዳን</t>
  </si>
  <si>
    <t>ብሕ07/153</t>
  </si>
  <si>
    <t>ዳግማዊ ሲሳይ</t>
  </si>
  <si>
    <t>ብሕ08/96</t>
  </si>
  <si>
    <t>በረከት ተስፋው</t>
  </si>
  <si>
    <t>ብሕ07/154</t>
  </si>
  <si>
    <t>አቤል ሀ/ወልድ</t>
  </si>
  <si>
    <t>ብሕ08/97</t>
  </si>
  <si>
    <t>ብሕ07/155</t>
  </si>
  <si>
    <t>ትዕግስት  ማግስቶ</t>
  </si>
  <si>
    <t>ማስተዋል መሠረተ</t>
  </si>
  <si>
    <t>ብሕ07/156</t>
  </si>
  <si>
    <t>ወይኒሸት ሸዋነዳኝ</t>
  </si>
  <si>
    <t>ብሕ08/98</t>
  </si>
  <si>
    <t>ትንቢተ ዳንኤል</t>
  </si>
  <si>
    <t>ብሕ07/157</t>
  </si>
  <si>
    <t>ራሔል ንጉስ</t>
  </si>
  <si>
    <t>ብሕ07/158</t>
  </si>
  <si>
    <t>ዳዊት ጴጥሮስ</t>
  </si>
  <si>
    <t>ብሕ08/99</t>
  </si>
  <si>
    <t>ቶማስ ተፈራ</t>
  </si>
  <si>
    <t>ብሕ07/159</t>
  </si>
  <si>
    <t>ቤተል ጌታቸው</t>
  </si>
  <si>
    <t>ብሕ08/100</t>
  </si>
  <si>
    <t>አንዱዓለም ስዩም</t>
  </si>
  <si>
    <t>ብሕ07/160</t>
  </si>
  <si>
    <t>ሀና መብት</t>
  </si>
  <si>
    <t>ብሕ08/101</t>
  </si>
  <si>
    <t>አሸናፊ  ዮሐንስ</t>
  </si>
  <si>
    <t>ብሕ07/161</t>
  </si>
  <si>
    <t>ወይንሸት መብት</t>
  </si>
  <si>
    <t>ብሕ07/162</t>
  </si>
  <si>
    <t>መልካም እንዳወቅ</t>
  </si>
  <si>
    <t>ብሕ08/102</t>
  </si>
  <si>
    <t>አማኑኤል  ታምራት</t>
  </si>
  <si>
    <t>ብሕ07/163</t>
  </si>
  <si>
    <t>ሰናይት ኃ/ገብርኤል</t>
  </si>
  <si>
    <t>ብሕ08/103</t>
  </si>
  <si>
    <t>ብሕ07/164</t>
  </si>
  <si>
    <t>አፎምያ ሀብታሙ</t>
  </si>
  <si>
    <t>በንያስ አረጋ</t>
  </si>
  <si>
    <t>ብሕ07/165</t>
  </si>
  <si>
    <t>ዮሐንስ አረጋ</t>
  </si>
  <si>
    <t>ብሕ08/104</t>
  </si>
  <si>
    <t>ይዲድያ ዳንኤል</t>
  </si>
  <si>
    <t>ብሕ07/166</t>
  </si>
  <si>
    <t>ሳሙኤል ግርማ</t>
  </si>
  <si>
    <t>ቦንቱ ሙልጌታ አብደታ</t>
  </si>
  <si>
    <t>ብሕ07/167</t>
  </si>
  <si>
    <t>ኃ/ሥላሴ ደስታ</t>
  </si>
  <si>
    <t>ብሕ08/105</t>
  </si>
  <si>
    <t>ዝማሬ ዳዊት</t>
  </si>
  <si>
    <t>ብሕ07/168</t>
  </si>
  <si>
    <t>ደሊና ገዛይ</t>
  </si>
  <si>
    <t>ብሕ07/169</t>
  </si>
  <si>
    <t>ዊንታ ዘርሁን</t>
  </si>
  <si>
    <t>ብሕ08/106</t>
  </si>
  <si>
    <t>ቤተልሔም ገዛኸኝ</t>
  </si>
  <si>
    <t>ብሕ07/170</t>
  </si>
  <si>
    <t>ዲ/ን በረከት  ከሰተ</t>
  </si>
  <si>
    <t>ብሕ07/171</t>
  </si>
  <si>
    <t>ናታን ዳንኤል</t>
  </si>
  <si>
    <t>ብሕ08/107</t>
  </si>
  <si>
    <t>አንዱአለም  ፀጋየ</t>
  </si>
  <si>
    <t>ብሕ07/172</t>
  </si>
  <si>
    <t>ማርያማዊት ዳንኤል</t>
  </si>
  <si>
    <t>ብሕ07/173</t>
  </si>
  <si>
    <t>መኳንንት ተፈራ አወቀ</t>
  </si>
  <si>
    <t>ብሕ08/108</t>
  </si>
  <si>
    <t>ትርሲት ግሩም</t>
  </si>
  <si>
    <t>ብሕ07/174</t>
  </si>
  <si>
    <t>ኢየሩሳሌም ኃይላይ</t>
  </si>
  <si>
    <t>ብሕ07/175</t>
  </si>
  <si>
    <t xml:space="preserve">ብሩክታይት በርሄ </t>
  </si>
  <si>
    <t>ብሕ08/109</t>
  </si>
  <si>
    <t xml:space="preserve">ረቂቅ ሙሉጌታ መሳይ </t>
  </si>
  <si>
    <t>ብሕ07/176</t>
  </si>
  <si>
    <t>ሒወት እሸቴ አስፋው</t>
  </si>
  <si>
    <t>ብሕ08/110</t>
  </si>
  <si>
    <t>ሶሲና አንተነህ አዲሱ</t>
  </si>
  <si>
    <t>ብሕ07/177</t>
  </si>
  <si>
    <t>ናርዶ  አብረሀም አስፋው</t>
  </si>
  <si>
    <t>ብሕ08/111</t>
  </si>
  <si>
    <t>ብሕ07/178</t>
  </si>
  <si>
    <t>ጽዮን ዮናስ ንጉሴ</t>
  </si>
  <si>
    <t>ነፃነት ኃይሌ</t>
  </si>
  <si>
    <t>ብሕ07/179</t>
  </si>
  <si>
    <t>ዳረጎት ጌታቸው</t>
  </si>
  <si>
    <t>ብሕ08/112</t>
  </si>
  <si>
    <t>ብሕ07/180</t>
  </si>
  <si>
    <t>ረድኤት መስፍን ታደሰ</t>
  </si>
  <si>
    <t>ኢዮብ ፀጋ</t>
  </si>
  <si>
    <t>ብሕ07/181</t>
  </si>
  <si>
    <t>ሮዳስ ተክሉ ገ/መድህን</t>
  </si>
  <si>
    <t>ብሕ08/113</t>
  </si>
  <si>
    <t>አዶናይ አትክልት ካሳ</t>
  </si>
  <si>
    <t>ብሕ07/182</t>
  </si>
  <si>
    <t>ሳባ ኪዱ</t>
  </si>
  <si>
    <t>ብሕ07/183</t>
  </si>
  <si>
    <t>ሔኖክ ንጉሴ</t>
  </si>
  <si>
    <t>ብሕ08/114</t>
  </si>
  <si>
    <t>ማህሌት መኮንን አሰረስ</t>
  </si>
  <si>
    <t>ብሕ07/184</t>
  </si>
  <si>
    <t>ፍላጎት አድማሱ</t>
  </si>
  <si>
    <t>ብሕ08/115</t>
  </si>
  <si>
    <t>ብሕ07/185</t>
  </si>
  <si>
    <t>ቃልኪዳን ሀብታሙ</t>
  </si>
  <si>
    <t>ዳግም ጎበዜ አየለ</t>
  </si>
  <si>
    <t>ብሕ07/186</t>
  </si>
  <si>
    <t>አበበ ደባሽ</t>
  </si>
  <si>
    <t>ብሕ07/187</t>
  </si>
  <si>
    <t>ቢንያም አዛው ተሾመ</t>
  </si>
  <si>
    <t>ብሕ08/116</t>
  </si>
  <si>
    <t>ቤተልሔም በለው ኃ/ሥላሴ</t>
  </si>
  <si>
    <t>ብሕ07/188</t>
  </si>
  <si>
    <t>እየሩስ ከበደ</t>
  </si>
  <si>
    <t>ብሕ07/189</t>
  </si>
  <si>
    <t>ታናን ከበደ</t>
  </si>
  <si>
    <t>ብሕ08/117</t>
  </si>
  <si>
    <t>ኤርሚያስ አምሃ ይትባረክ</t>
  </si>
  <si>
    <t>ብሕ07/190</t>
  </si>
  <si>
    <t>አፎሚያ ጌታሁን</t>
  </si>
  <si>
    <t>ብሕ07/191</t>
  </si>
  <si>
    <t>ሳሙኤል ደስአለሁ</t>
  </si>
  <si>
    <t>ብሕ08/118</t>
  </si>
  <si>
    <t>አፎሚያ አክልሉ አበራ</t>
  </si>
  <si>
    <t>ብሕ07/192</t>
  </si>
  <si>
    <t xml:space="preserve">በላቸው ክንፍ </t>
  </si>
  <si>
    <t>ብሕ08/119</t>
  </si>
  <si>
    <t>ነፃነትአላምረው</t>
  </si>
  <si>
    <t>ብሕ07/193</t>
  </si>
  <si>
    <t>ጌትነት  አስፈ</t>
  </si>
  <si>
    <t xml:space="preserve">ንጉስ </t>
  </si>
  <si>
    <t>ብሕ08/120</t>
  </si>
  <si>
    <t>ሴማዊት ጌቱ ኪሮስ</t>
  </si>
  <si>
    <t>ብሕ08/121</t>
  </si>
  <si>
    <t>እየሩሳሌም ጌትነት</t>
  </si>
  <si>
    <t>ብሕ08/122</t>
  </si>
  <si>
    <t xml:space="preserve">ጽጌረዳ ፀጋዬ </t>
  </si>
  <si>
    <t>ብሕ08/123</t>
  </si>
  <si>
    <t>ጽዮን ተሾመ</t>
  </si>
  <si>
    <t>ብሕ08/124</t>
  </si>
  <si>
    <t>ኤልቤተል የኛነው መንግስት</t>
  </si>
  <si>
    <t>ብሕ08/125</t>
  </si>
  <si>
    <t>አዲስዓለም ክንድነው</t>
  </si>
  <si>
    <t>ብሕ08/126</t>
  </si>
  <si>
    <t>ሰለሞን መንግስቱ ፋና</t>
  </si>
  <si>
    <t xml:space="preserve">    ብሕ08/127</t>
  </si>
  <si>
    <t>የሽወርቅ አለሙ ካሴ</t>
  </si>
  <si>
    <t xml:space="preserve">    ብሕ08/128</t>
  </si>
  <si>
    <t xml:space="preserve">ገነት ይትባረክ </t>
  </si>
  <si>
    <t xml:space="preserve">ሄኖክ ንጉሴ </t>
  </si>
  <si>
    <t>ሙሉጌጥ አሰግደው</t>
  </si>
  <si>
    <t>የአብሥራ ፍቃዱ</t>
  </si>
  <si>
    <t>ብሕ09/01</t>
  </si>
  <si>
    <t>ሀና መለሰ</t>
  </si>
  <si>
    <t>ብሕ09/02</t>
  </si>
  <si>
    <t xml:space="preserve">ሀና አለማየሁ </t>
  </si>
  <si>
    <t>ብሕ09/03</t>
  </si>
  <si>
    <t>ሃይለ አምላክ ተፈራ ሪ</t>
  </si>
  <si>
    <t>ብሕ09/04</t>
  </si>
  <si>
    <t>ልዑል አስተራየ</t>
  </si>
  <si>
    <t>ብሕ09/05</t>
  </si>
  <si>
    <t>ልደታ ተስፋ</t>
  </si>
  <si>
    <t>ብሕ09/06</t>
  </si>
  <si>
    <t xml:space="preserve">ልዲያ ሰለሞን </t>
  </si>
  <si>
    <t>ብሕ09/07</t>
  </si>
  <si>
    <t>ሐይማኖት ዳኜ</t>
  </si>
  <si>
    <t>ብሕ09/08</t>
  </si>
  <si>
    <t xml:space="preserve">ሔመን መስፍን </t>
  </si>
  <si>
    <t>ብሕ09/09</t>
  </si>
  <si>
    <t>መቅደስ መዓዛ ሰይፉ</t>
  </si>
  <si>
    <t>ብሕ09/10</t>
  </si>
  <si>
    <t>ብሕ09/11</t>
  </si>
  <si>
    <t xml:space="preserve">ማህሌት አስቻለው </t>
  </si>
  <si>
    <t>ብሕ09/12</t>
  </si>
  <si>
    <t>ማሕሌት መኮንን ጎበና</t>
  </si>
  <si>
    <t>ብሕ09/13</t>
  </si>
  <si>
    <t xml:space="preserve">ማቲያስ መንግሥቱ </t>
  </si>
  <si>
    <t>ብሕ09/14</t>
  </si>
  <si>
    <t>ሜለን ፀጋዬ</t>
  </si>
  <si>
    <t>ብሕ09/15</t>
  </si>
  <si>
    <t>ሜላት መንግስቱ</t>
  </si>
  <si>
    <t>ብሕ09/16</t>
  </si>
  <si>
    <t>ሜላት ይትባረክ ተፈሪ</t>
  </si>
  <si>
    <t>ብሕ09/17</t>
  </si>
  <si>
    <t>ምሕረት ወርቅነህ</t>
  </si>
  <si>
    <t>ብሕ09/18</t>
  </si>
  <si>
    <t>ሰምሀል አስመላሽ</t>
  </si>
  <si>
    <t>ብሕ09/19</t>
  </si>
  <si>
    <t>ሳምራዊት ለማ</t>
  </si>
  <si>
    <t>ብሕ09/20</t>
  </si>
  <si>
    <t>ስማኦን ልውልሰገድ በቀለ</t>
  </si>
  <si>
    <t>ብሕ09/21</t>
  </si>
  <si>
    <t>ስርጉት ቀበታ</t>
  </si>
  <si>
    <t>ብሕ09/22</t>
  </si>
  <si>
    <t>ቃልኪዳን ሰይፉ ነጋሽ</t>
  </si>
  <si>
    <t>ብሕ09/23</t>
  </si>
  <si>
    <t>በየነች ተሾመ</t>
  </si>
  <si>
    <t>ብሕ09/24</t>
  </si>
  <si>
    <t>ቢታንያ ወንድሰን ተካ</t>
  </si>
  <si>
    <t>ብሕ09/25</t>
  </si>
  <si>
    <t>ቤተልሔም ሻዎል</t>
  </si>
  <si>
    <t>ብሕ09/26</t>
  </si>
  <si>
    <t>ብሩክ ንጉስ ካሤ</t>
  </si>
  <si>
    <t>ብሕ09/27</t>
  </si>
  <si>
    <t>ተመስገን ሙሴ</t>
  </si>
  <si>
    <t>ብሕ09/28</t>
  </si>
  <si>
    <t>ትዕግስት ግርማ</t>
  </si>
  <si>
    <t>ብሕ09/29</t>
  </si>
  <si>
    <t>ኒቆድሞስ ጣሰው ደሳለኝ</t>
  </si>
  <si>
    <t>ብሕ09/30</t>
  </si>
  <si>
    <t>ናትናኤል ሳሙኤል</t>
  </si>
  <si>
    <t>ብሕ09/31</t>
  </si>
  <si>
    <t>አለም ሙላቱ</t>
  </si>
  <si>
    <t>ብሕ09/32</t>
  </si>
  <si>
    <t>አረጋሽ ጀንበሩ</t>
  </si>
  <si>
    <t>ብሕ09/33</t>
  </si>
  <si>
    <t>አቤል ልመንህ</t>
  </si>
  <si>
    <t>ብሕ09/34</t>
  </si>
  <si>
    <t>አቤኔዘር ሄኖክ እሸቱ</t>
  </si>
  <si>
    <t>ብሕ09/35</t>
  </si>
  <si>
    <t>አቤኔዘር ሳሙኤል አስረስ</t>
  </si>
  <si>
    <t>ብሕ09/36</t>
  </si>
  <si>
    <t>አብርሃም ደሳለኝ</t>
  </si>
  <si>
    <t>ብሕ09/37</t>
  </si>
  <si>
    <t>አክሎክ ጉበና</t>
  </si>
  <si>
    <t>ብሕ09/38</t>
  </si>
  <si>
    <t>አዝማች በትሩ</t>
  </si>
  <si>
    <t>ብሕ09/39</t>
  </si>
  <si>
    <t>ኢዮብ መስፍን የማነህብርሃን</t>
  </si>
  <si>
    <t>ብሕ10/01</t>
  </si>
  <si>
    <t>ሃና ሽጉጤ</t>
  </si>
  <si>
    <t>ብሕ09/40</t>
  </si>
  <si>
    <t>ኤፍራታ ለማ ላሌ</t>
  </si>
  <si>
    <t>ብሕ09/41</t>
  </si>
  <si>
    <t>እምነጽዮን መንግሥቱ</t>
  </si>
  <si>
    <t>ብሕ09/42</t>
  </si>
  <si>
    <t>እርገት መክብብ ፀጋዮ</t>
  </si>
  <si>
    <t>ብሕ09/43</t>
  </si>
  <si>
    <t>እስከዳር መንገሻ</t>
  </si>
  <si>
    <t>ብሕ09/44</t>
  </si>
  <si>
    <t>ካሳሁን አበበ</t>
  </si>
  <si>
    <t>ብሕ09/45</t>
  </si>
  <si>
    <t>ዋጋየ በቀለ ጌትነት</t>
  </si>
  <si>
    <t>ብሕ09/46</t>
  </si>
  <si>
    <t>የሺሐረግ ወርቁ</t>
  </si>
  <si>
    <t>ብሕ09/47</t>
  </si>
  <si>
    <t>ያሬድ አማረ</t>
  </si>
  <si>
    <t>ብሕ09/48</t>
  </si>
  <si>
    <t>ዮሴፍ መስፍንየማነህብርሃን</t>
  </si>
  <si>
    <t>ብሕ10/02</t>
  </si>
  <si>
    <t>ሃይማኖት ጌታ</t>
  </si>
  <si>
    <t>ብሕ09/49</t>
  </si>
  <si>
    <t>ደስታ ሙሉጌታ ካሳሁን</t>
  </si>
  <si>
    <t>ብሕ09/50</t>
  </si>
  <si>
    <t>ዲ/ን ሻንበል ሙሉሽት</t>
  </si>
  <si>
    <t>ብሕ10/03</t>
  </si>
  <si>
    <t>ሒሩት ሙሉጊታ</t>
  </si>
  <si>
    <t>ብሕ09/51</t>
  </si>
  <si>
    <t>ገሊላ ታረቅኝ</t>
  </si>
  <si>
    <t>ብሕ09/52</t>
  </si>
  <si>
    <t>ገነት ደስታ</t>
  </si>
  <si>
    <t>ብሕ10/04</t>
  </si>
  <si>
    <t>ሔልን   ገ/እግዚአብሔት</t>
  </si>
  <si>
    <t>ብሕ09/53</t>
  </si>
  <si>
    <t>ጥሩነሽ አስራት</t>
  </si>
  <si>
    <t>ብሕ09/54</t>
  </si>
  <si>
    <t>ጥበቡ ካሣ</t>
  </si>
  <si>
    <t>ብሕ10/05</t>
  </si>
  <si>
    <t>ሄርሜላ አበራ</t>
  </si>
  <si>
    <t>ብሕ09/55</t>
  </si>
  <si>
    <t>ጸጋ መሀመድ</t>
  </si>
  <si>
    <t>ብሕ09/56</t>
  </si>
  <si>
    <t>ጽጌሮማን ባህሩ</t>
  </si>
  <si>
    <t>ብሕ10/06</t>
  </si>
  <si>
    <t>ሄርሜላ ግርማ</t>
  </si>
  <si>
    <t>ብሕ09/57</t>
  </si>
  <si>
    <t>ሳሙኤል ብርሀነ</t>
  </si>
  <si>
    <t>ሔልን   ገ/እግዚአብሔ</t>
  </si>
  <si>
    <t>ብሕ09/58</t>
  </si>
  <si>
    <t>በላይነሽ መኮንን ዳኛዉ</t>
  </si>
  <si>
    <t>ብሕ10/07</t>
  </si>
  <si>
    <t>ሙሉ ታዘበው</t>
  </si>
  <si>
    <t>ብሕ09/59</t>
  </si>
  <si>
    <t>መሠረት አበሩ ባንቲይዉረድ</t>
  </si>
  <si>
    <t>ብሕ09/60</t>
  </si>
  <si>
    <t>ዳንኤል ወላይ ግደይ</t>
  </si>
  <si>
    <t>ብሕ09/61</t>
  </si>
  <si>
    <t>ብሕ10/08</t>
  </si>
  <si>
    <t>ሙላቱ ዳምጠው</t>
  </si>
  <si>
    <t xml:space="preserve">እድላዊት አለማየሁ ድረስ </t>
  </si>
  <si>
    <t xml:space="preserve">      911491259</t>
  </si>
  <si>
    <t>ብሕ09/62</t>
  </si>
  <si>
    <t>ስምኦን ግርማ ተስፋየ</t>
  </si>
  <si>
    <t>ብሕ10/09</t>
  </si>
  <si>
    <t>ብሕ09/63</t>
  </si>
  <si>
    <t>ቅድስት ፀጋየ</t>
  </si>
  <si>
    <t>ሚልክያስ ግርማ</t>
  </si>
  <si>
    <t>ብሕ09/64</t>
  </si>
  <si>
    <t>ቤተልሄም አይናቸው ሙሉ</t>
  </si>
  <si>
    <t>ብሕ09/65</t>
  </si>
  <si>
    <t xml:space="preserve">አልአዛር ሚካኤል </t>
  </si>
  <si>
    <t>ብሕ10/10</t>
  </si>
  <si>
    <t>ሰላማዊት ጌትነት</t>
  </si>
  <si>
    <t>ብሕ09/66</t>
  </si>
  <si>
    <t xml:space="preserve">እልፍነሽ ኃይልዬ ዘውዴ </t>
  </si>
  <si>
    <t>ብሕ09/67</t>
  </si>
  <si>
    <t>ተስፋዬ ቸኮለ አበራ</t>
  </si>
  <si>
    <t>ብሕ10/11</t>
  </si>
  <si>
    <t>ሳለአምላክ አሸናፊ</t>
  </si>
  <si>
    <t>942316872</t>
  </si>
  <si>
    <t>ብሕ09/68</t>
  </si>
  <si>
    <t>ሲፈን ኃይሉ ቶልቻ</t>
  </si>
  <si>
    <t>ብሕ09/69</t>
  </si>
  <si>
    <t>ገዛኸኝ ተሰማ በለጠ</t>
  </si>
  <si>
    <t>ብሕ09/70</t>
  </si>
  <si>
    <t>ዘካርያስ ገብረ እግዚአብሔር</t>
  </si>
  <si>
    <t>ብሕ10/12</t>
  </si>
  <si>
    <t>ሳምራዊት ሰርጉ</t>
  </si>
  <si>
    <t>ብሕ09/71</t>
  </si>
  <si>
    <t>እየሩሳሌም መንግስቱ</t>
  </si>
  <si>
    <t>ብሕ09/72</t>
  </si>
  <si>
    <t>እልፍነሽ ኃይሌ</t>
  </si>
  <si>
    <t>ብሕ10/13</t>
  </si>
  <si>
    <t>ስንታየሁ ኢሳያስ</t>
  </si>
  <si>
    <t>ብሕ09/73</t>
  </si>
  <si>
    <t>ክብረ መንግስት ኃይለ ሥላሴ</t>
  </si>
  <si>
    <t>ብሕ09/74</t>
  </si>
  <si>
    <t>በእምነት ሽመልስ ወንዳፍራሽ</t>
  </si>
  <si>
    <t>ብሕ10/14</t>
  </si>
  <si>
    <t>ብሕ09/75</t>
  </si>
  <si>
    <t>ቃልኪዳን ቴዎድሮስ</t>
  </si>
  <si>
    <t>ብሕ09/76</t>
  </si>
  <si>
    <t>ብሕ09/77</t>
  </si>
  <si>
    <t>ብሕ10/15</t>
  </si>
  <si>
    <t>ቅድስት   ፀጋዬ</t>
  </si>
  <si>
    <t>ብሕ09/78</t>
  </si>
  <si>
    <t>ብሕ10/16</t>
  </si>
  <si>
    <t>ብሌን ወዳጆ</t>
  </si>
  <si>
    <t>ብሕ09/79</t>
  </si>
  <si>
    <t>ብሕ09/80</t>
  </si>
  <si>
    <t>ብሕ10/17</t>
  </si>
  <si>
    <t>ትግስት ደርቤ</t>
  </si>
  <si>
    <t xml:space="preserve">  920550847</t>
  </si>
  <si>
    <t>ብሕ09/81</t>
  </si>
  <si>
    <t>ብሕ10/18</t>
  </si>
  <si>
    <t>ንጉሴ ሩጋ</t>
  </si>
  <si>
    <t>ብሕ10/19</t>
  </si>
  <si>
    <t>አማኑኤል ኢሳያስ</t>
  </si>
  <si>
    <t>ብሕ10/20</t>
  </si>
  <si>
    <t>አበራሽ    እሸቱ</t>
  </si>
  <si>
    <t>ብሕ10/21</t>
  </si>
  <si>
    <t>አድያም ገብረምስቀል</t>
  </si>
  <si>
    <t xml:space="preserve"> 913613901</t>
  </si>
  <si>
    <t>ብሕ10/22</t>
  </si>
  <si>
    <t>እመቤት እሸቴ</t>
  </si>
  <si>
    <t>ብሕ10/23</t>
  </si>
  <si>
    <t>እየሩሳሌም ተስፋዬ</t>
  </si>
  <si>
    <t xml:space="preserve"> 994455075</t>
  </si>
  <si>
    <t>ብሕ10/24</t>
  </si>
  <si>
    <t>እየሩሳሌም አስፋው</t>
  </si>
  <si>
    <t>ብሕ10/25</t>
  </si>
  <si>
    <t>እየሩስ ተስፋዬ</t>
  </si>
  <si>
    <t>ብሕ10/26</t>
  </si>
  <si>
    <t>እዮኤል ግርማ</t>
  </si>
  <si>
    <t>ብሕ10/27</t>
  </si>
  <si>
    <t>የምስራች ዘላለም</t>
  </si>
  <si>
    <t xml:space="preserve"> 913845946</t>
  </si>
  <si>
    <t>ብሕ10/28</t>
  </si>
  <si>
    <t xml:space="preserve">ያሬድ አስጨናቂ ኃ/ማርያም </t>
  </si>
  <si>
    <t>ብሕ10/29</t>
  </si>
  <si>
    <t>ይትባረክ ካሳ</t>
  </si>
  <si>
    <t xml:space="preserve">  911148925</t>
  </si>
  <si>
    <t>ብሕ10/30</t>
  </si>
  <si>
    <t>ፀጋነሽ ታፈሰ</t>
  </si>
  <si>
    <t>ብሕ10/31</t>
  </si>
  <si>
    <t>ፋንቱ ደረጀ</t>
  </si>
  <si>
    <t>ብሕ10/32</t>
  </si>
  <si>
    <t>ፍጹም ሙሉጌታ ሥዩም</t>
  </si>
  <si>
    <t>ብሕ10/33</t>
  </si>
  <si>
    <t>ወልደ ገብርኤል በላይቸው</t>
  </si>
  <si>
    <t>ብሕ10/34</t>
  </si>
  <si>
    <t>ህዝቅያስ ግርማ ተስፋየ</t>
  </si>
  <si>
    <t>ብሕ10/35</t>
  </si>
  <si>
    <t>ፅጌረዳ ደርብ ደገፎ</t>
  </si>
  <si>
    <t>ብሕ10/36</t>
  </si>
  <si>
    <t>ዮርዳኖስ ግርማ ተገኝ</t>
  </si>
  <si>
    <t>ብሕ10/37</t>
  </si>
  <si>
    <t>ሆሳዕና አለሙ</t>
  </si>
  <si>
    <t>ብሕ10/38</t>
  </si>
  <si>
    <t>ሰብለ ወልዱ</t>
  </si>
  <si>
    <t xml:space="preserve"> ሴ</t>
  </si>
  <si>
    <t>ብሕ10/39</t>
  </si>
  <si>
    <t>ሳሙኤል ደርሶ</t>
  </si>
  <si>
    <t>ብሕ10/40</t>
  </si>
  <si>
    <t>ዋሲሁን አለሙ</t>
  </si>
  <si>
    <t xml:space="preserve">የመጡ ሳምንታት </t>
  </si>
  <si>
    <t>ያልመጡበት ሳምንታት</t>
  </si>
  <si>
    <t>ብሕ10/41</t>
  </si>
  <si>
    <t>ቅድስት ብርሃኑ እጅጉ</t>
  </si>
  <si>
    <t>ብሕ11/01</t>
  </si>
  <si>
    <t>ህይወት ፀጋዬ</t>
  </si>
  <si>
    <t>ብሕ10/42</t>
  </si>
  <si>
    <t>አሰለፍ አየለ</t>
  </si>
  <si>
    <t>ብሕ10/43</t>
  </si>
  <si>
    <t>እስጢፋኖስ ተስፋዬ ዘረአይ</t>
  </si>
  <si>
    <t>ብሕ10/44</t>
  </si>
  <si>
    <t>አዲሳለም ውበቴ</t>
  </si>
  <si>
    <t>ብሕ10/45</t>
  </si>
  <si>
    <t>ጽዮን መኮንን</t>
  </si>
  <si>
    <t>ብሕ11/02</t>
  </si>
  <si>
    <t>ሆነልኝ ሴሰይ</t>
  </si>
  <si>
    <t>ብሕ10/46</t>
  </si>
  <si>
    <t>ወ/ገብርኤል በላቸው</t>
  </si>
  <si>
    <t>ብሕ11/03</t>
  </si>
  <si>
    <t>መቅደስ መሰለ</t>
  </si>
  <si>
    <t>ብሕ10/47</t>
  </si>
  <si>
    <t>ውብሸት አበባው</t>
  </si>
  <si>
    <t>ብሕ11/04</t>
  </si>
  <si>
    <t>መቅደስ ሙለታ</t>
  </si>
  <si>
    <t>ብሕ10/48</t>
  </si>
  <si>
    <t>ዮናስ ታደሰ</t>
  </si>
  <si>
    <t>ብሕ11/05</t>
  </si>
  <si>
    <t>ራሔል ቡሽራ</t>
  </si>
  <si>
    <t>954997215</t>
  </si>
  <si>
    <t>ብሕ10/49</t>
  </si>
  <si>
    <t>ዲ.ናትናኤል</t>
  </si>
  <si>
    <t>ብሕ11/06</t>
  </si>
  <si>
    <t>ሮዳስ አበረ ጌጡ</t>
  </si>
  <si>
    <t>ብሕ10/50</t>
  </si>
  <si>
    <t>ዳግም ደርብ</t>
  </si>
  <si>
    <t>ብሕ11/07</t>
  </si>
  <si>
    <t>ቃለአብ ከበደ</t>
  </si>
  <si>
    <t>ብሕ10/51</t>
  </si>
  <si>
    <t>ድረስ ጌታሁን</t>
  </si>
  <si>
    <t>ብሕ11/08</t>
  </si>
  <si>
    <t>ቅዱስ ዳዊት</t>
  </si>
  <si>
    <t>ብሕ10/52</t>
  </si>
  <si>
    <t>ፍጹም ሙሉጌታ</t>
  </si>
  <si>
    <t>ብሕ11/09</t>
  </si>
  <si>
    <t>ቤዛዊት ግርማ</t>
  </si>
  <si>
    <t>ብሕ10/53</t>
  </si>
  <si>
    <t>ሳምሪዊት አብይ</t>
  </si>
  <si>
    <t>ብሕ10/54</t>
  </si>
  <si>
    <t>ጽጌረዳ ደርብ</t>
  </si>
  <si>
    <t>ብሕ11/10</t>
  </si>
  <si>
    <t>ብንያም ኤሊያስ</t>
  </si>
  <si>
    <t>ብሕ10/55</t>
  </si>
  <si>
    <t>ሙሉሰው ተሳካ ይፍሩ</t>
  </si>
  <si>
    <t>ብሕ11/11</t>
  </si>
  <si>
    <t xml:space="preserve">ትርሃስ ገ/እግዚአብሔር </t>
  </si>
  <si>
    <t>ብሕ10/56</t>
  </si>
  <si>
    <t>ኤርሚያስ ተሾመ በዓለመ</t>
  </si>
  <si>
    <t>ብሕ11/12</t>
  </si>
  <si>
    <t>አማኑኤል አባይ</t>
  </si>
  <si>
    <t>ብሕ10/57</t>
  </si>
  <si>
    <t>ማስተዋል የሽ አንዴ</t>
  </si>
  <si>
    <t>ብሕ11/13</t>
  </si>
  <si>
    <t>አማኑኤል ጌታቸው ጌጡ</t>
  </si>
  <si>
    <t>ብሕ11/14</t>
  </si>
  <si>
    <t>አበበች ኪዳኔ</t>
  </si>
  <si>
    <t>ብሕ10/58</t>
  </si>
  <si>
    <t xml:space="preserve">ሶፍያ አስማማው </t>
  </si>
  <si>
    <t>ብሕ11/15</t>
  </si>
  <si>
    <t>አበጀሽ ነጋ</t>
  </si>
  <si>
    <t>ብሕ11/16</t>
  </si>
  <si>
    <t>አፄነሽ ስርጉ</t>
  </si>
  <si>
    <t>ብሕ10/59</t>
  </si>
  <si>
    <t>ፍቅርተ ማርያም ተክሉ</t>
  </si>
  <si>
    <t>ብሕ11/17</t>
  </si>
  <si>
    <t xml:space="preserve"> እስጢፋኖስ  ተስፋዬ ዘረአይ</t>
  </si>
  <si>
    <t>ብሕ10/60</t>
  </si>
  <si>
    <t>ቃልኪዳን አበበ</t>
  </si>
  <si>
    <t>ብሕ11/18</t>
  </si>
  <si>
    <t>ኤዴን ላቀው</t>
  </si>
  <si>
    <t>ብሕ10/61</t>
  </si>
  <si>
    <t>አሳበች ከበደ</t>
  </si>
  <si>
    <t>ብሕ11/19</t>
  </si>
  <si>
    <t>ኤዶም ፍስሐ</t>
  </si>
  <si>
    <t>ብሕ10/62</t>
  </si>
  <si>
    <t>ተስፋዬ ዘዉዱ ጌታሁን</t>
  </si>
  <si>
    <t>ብሕ11/20</t>
  </si>
  <si>
    <t>ዘመድ ፈቀደ እርቁ</t>
  </si>
  <si>
    <t>ብሕ10/63</t>
  </si>
  <si>
    <t>ሰናይት አላምሮ</t>
  </si>
  <si>
    <t>ብሕ11/21</t>
  </si>
  <si>
    <t>ዝኑ ዘውዴ</t>
  </si>
  <si>
    <t>ብሕ11/22</t>
  </si>
  <si>
    <t>ዳግም ሙሉጌታ</t>
  </si>
  <si>
    <t>ብሕ11/23</t>
  </si>
  <si>
    <t>ጌጤነሽ ንጉስ</t>
  </si>
  <si>
    <t>ብሕ11/24</t>
  </si>
  <si>
    <t>ፋና ገ/መስቀል</t>
  </si>
  <si>
    <t>910004413</t>
  </si>
  <si>
    <t>ብሕ11/25</t>
  </si>
  <si>
    <t>አለም ዮሴፍ ይትባረክ</t>
  </si>
  <si>
    <t>ብሕ11/26</t>
  </si>
  <si>
    <t xml:space="preserve">እሱባለው አዳነ ዘውዴ </t>
  </si>
  <si>
    <t>ብሕ11/27</t>
  </si>
  <si>
    <t>አየሉ ሽዋፈራው አበባየሁ</t>
  </si>
  <si>
    <t>ብሕ11/28</t>
  </si>
  <si>
    <t>መቅደስ ሙሉጌታ ሞላ</t>
  </si>
  <si>
    <t>ብሕ11/29</t>
  </si>
  <si>
    <t>ዳህላክ ኪዳኔ አብርሃም</t>
  </si>
  <si>
    <t>ብሕ11/30</t>
  </si>
  <si>
    <t>መቅደስ ፈንቷው</t>
  </si>
  <si>
    <t>ብሕ11/31</t>
  </si>
  <si>
    <t>ብሕ11/32</t>
  </si>
  <si>
    <t>ዘውድነሽ ግርማ</t>
  </si>
  <si>
    <t>ብሕ11/33</t>
  </si>
  <si>
    <t>ሚኪያስ ታለ</t>
  </si>
  <si>
    <t>ብሕ11/34</t>
  </si>
  <si>
    <t>ብሕ11/35</t>
  </si>
  <si>
    <t>ደመቀ ክብረት</t>
  </si>
  <si>
    <t>ብሕ11/36</t>
  </si>
  <si>
    <t>ቃልኪዳን ሀይሉ</t>
  </si>
  <si>
    <t>ብሕ11/37</t>
  </si>
  <si>
    <t>ዲ/ን ጌታቸው ቀናው</t>
  </si>
  <si>
    <t>ብሕ11/38</t>
  </si>
  <si>
    <t>ኢሳያስ ኤፍሬም</t>
  </si>
  <si>
    <t>ብሕ11/39</t>
  </si>
  <si>
    <t>ምስጋናው ወንድምሰጥ</t>
  </si>
  <si>
    <t>ብሕ11/40</t>
  </si>
  <si>
    <t>ቤዛዊት ገ/እግዚአብሔ</t>
  </si>
  <si>
    <t>ብሕ11/41</t>
  </si>
  <si>
    <t>ቃልኪዳን ፀጋዬ</t>
  </si>
  <si>
    <t>ብሕ11/42</t>
  </si>
  <si>
    <t>እንዳለ አብሬ</t>
  </si>
  <si>
    <t>ብሕ11/43</t>
  </si>
  <si>
    <t>ዲ/ን አንተነህ አይነኩሉ ነጋ</t>
  </si>
  <si>
    <t>ብሕ11/44</t>
  </si>
  <si>
    <t>በረከት ደረጀ</t>
  </si>
  <si>
    <t>ብሕ11/45</t>
  </si>
  <si>
    <t>ስንታየሁ ህዴ</t>
  </si>
  <si>
    <t>ብሕ11/46</t>
  </si>
  <si>
    <t>ዲ/ን ዘላለም  አዲስ</t>
  </si>
  <si>
    <t xml:space="preserve">የመጡበት </t>
  </si>
  <si>
    <t>ያልመጡበት.</t>
  </si>
  <si>
    <t>Average (%)</t>
  </si>
  <si>
    <t>ብሕ12/01</t>
  </si>
  <si>
    <t>ላቀው ፀጋው</t>
  </si>
  <si>
    <t>ብሕ12/02</t>
  </si>
  <si>
    <t>መቅደስ አካለወልድ</t>
  </si>
  <si>
    <t>ብሕ12/03</t>
  </si>
  <si>
    <t>ማሙሽ አራ ዶ</t>
  </si>
  <si>
    <t>ብሕ12/04</t>
  </si>
  <si>
    <t>ማኅሌት አበበ</t>
  </si>
  <si>
    <t>ብሕ12/05</t>
  </si>
  <si>
    <t>ምሕረት ሳሙኤል</t>
  </si>
  <si>
    <t>ብሕ12/06</t>
  </si>
  <si>
    <t>ሞገስ ጌታሁን</t>
  </si>
  <si>
    <t>ብሕ12/07</t>
  </si>
  <si>
    <t>በለጥሻቸው ይልማ</t>
  </si>
  <si>
    <t>ብሕ12/08</t>
  </si>
  <si>
    <t>ብሩክ ሳሙኤል -</t>
  </si>
  <si>
    <t>ብሕ12/09</t>
  </si>
  <si>
    <t>ናትናኤል መለሰ</t>
  </si>
  <si>
    <t>ብሕ12/10</t>
  </si>
  <si>
    <t>ከበቡሽ ጌታ</t>
  </si>
  <si>
    <t>ብሕ12/11</t>
  </si>
  <si>
    <t>የኔነሽ አበበ</t>
  </si>
  <si>
    <t>ብሕ12/12</t>
  </si>
  <si>
    <t>ዮሐንስ ኃይለ ሚካኤል</t>
  </si>
  <si>
    <t>ብሕ12/13</t>
  </si>
  <si>
    <t>ዲ/ን በቃሉ አረጋ</t>
  </si>
  <si>
    <t>ብሕ12/14</t>
  </si>
  <si>
    <t>ዲ/ን ዮሴፍ ፀጋዬ</t>
  </si>
  <si>
    <t>ብሕ12/15</t>
  </si>
  <si>
    <t>ዳዊት ሙላቱ</t>
  </si>
  <si>
    <t>ብሕ12/16</t>
  </si>
  <si>
    <t>ገነት ታረቀኝ</t>
  </si>
  <si>
    <t>ብሕ12/17</t>
  </si>
  <si>
    <t>ፋሲካ ፀጋዬ</t>
  </si>
  <si>
    <t>ብሕ12/18</t>
  </si>
  <si>
    <t>የኃላወርቅ አየለ</t>
  </si>
  <si>
    <t>ብሕ12/19</t>
  </si>
  <si>
    <t>አክሊሉ ሞገስ</t>
  </si>
  <si>
    <t>ብሕ12/20</t>
  </si>
  <si>
    <t>ቃልኪዳን ተሾመ</t>
  </si>
  <si>
    <t>ብሕ12/21</t>
  </si>
  <si>
    <t>ቴዎድሮስ ጥላሁን</t>
  </si>
  <si>
    <t>ዲ/ን አንተነህ ዲበኩሉ ነጋ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</si>
</sst>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sz val="10"/>
      <name val="Arial"/>
    </font>
    <font>
      <b/>
      <sz val="12"/>
      <color theme="1"/>
      <name val="Arial Black"/>
    </font>
    <font>
      <sz val="11"/>
      <color theme="1"/>
      <name val="Arial Black"/>
    </font>
    <font>
      <sz val="12"/>
      <color theme="1"/>
      <name val="Arial Black"/>
    </font>
    <font>
      <b/>
      <sz val="11"/>
      <color theme="1"/>
      <name val="Arial"/>
    </font>
    <font>
      <b/>
      <sz val="11"/>
      <color rgb="FF000000"/>
      <name val="Arial"/>
    </font>
    <font>
      <sz val="11"/>
      <color rgb="FF000000"/>
      <name val="Arial"/>
    </font>
    <font>
      <strike/>
      <sz val="10"/>
      <color theme="1"/>
      <name val="Arial"/>
    </font>
    <font>
      <b/>
      <sz val="11"/>
      <color theme="1"/>
      <name val="Power Geez Unicode1"/>
    </font>
    <font>
      <b/>
      <sz val="10"/>
      <color rgb="FF434343"/>
      <name val="Docs-Roboto"/>
    </font>
    <font>
      <b/>
      <sz val="10"/>
      <color rgb="FF000000"/>
      <name val="Arial"/>
    </font>
    <font>
      <b/>
      <sz val="10"/>
      <color theme="1"/>
      <name val="Arial"/>
      <scheme val="minor"/>
    </font>
    <font>
      <b/>
      <sz val="11"/>
      <color theme="1"/>
      <name val="Arial"/>
      <scheme val="minor"/>
    </font>
    <font>
      <b/>
      <sz val="11"/>
      <color rgb="FF434343"/>
      <name val="Roboto"/>
    </font>
    <font>
      <sz val="11"/>
      <color rgb="FF434343"/>
      <name val="Roboto"/>
    </font>
    <font>
      <b/>
      <sz val="10"/>
      <color rgb="FF434343"/>
      <name val="Arial"/>
      <scheme val="minor"/>
    </font>
    <font>
      <sz val="11"/>
      <color theme="1"/>
      <name val="Power Geez Unicode1"/>
    </font>
    <font>
      <sz val="11"/>
      <color rgb="FF000000"/>
      <name val="&quot;Power Geez Unicode1&quot;"/>
    </font>
    <font>
      <sz val="10"/>
      <color rgb="FFFF0000"/>
      <name val="Arial"/>
    </font>
    <font>
      <b/>
      <sz val="11"/>
      <color rgb="FFFF0000"/>
      <name val="Arial"/>
    </font>
    <font>
      <sz val="11"/>
      <color rgb="FF000000"/>
      <name val="Arial"/>
      <scheme val="minor"/>
    </font>
    <font>
      <sz val="11"/>
      <color rgb="FF000000"/>
      <name val="Power Geez Unicode1"/>
    </font>
    <font>
      <sz val="11"/>
      <color rgb="FFFF0000"/>
      <name val="Arial"/>
    </font>
    <font>
      <sz val="10"/>
      <color rgb="FF000000"/>
      <name val="Arial"/>
    </font>
    <font>
      <b/>
      <sz val="10"/>
      <color theme="1"/>
      <name val="Times New Roman"/>
    </font>
    <font>
      <b/>
      <sz val="10"/>
      <color rgb="FF000000"/>
      <name val="Times New Roman"/>
    </font>
    <font>
      <sz val="11"/>
      <color rgb="FF000000"/>
      <name val="Nyala"/>
    </font>
    <font>
      <sz val="12"/>
      <color rgb="FF000000"/>
      <name val="Times New Roman"/>
    </font>
    <font>
      <sz val="10"/>
      <color rgb="FFFF0000"/>
      <name val="Arial"/>
      <scheme val="minor"/>
    </font>
    <font>
      <sz val="12"/>
      <color theme="1"/>
      <name val="Times New Roman"/>
    </font>
    <font>
      <b/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rgb="FF00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rgb="FFFBBC04"/>
        <bgColor rgb="FFFBBC04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theme="4"/>
        <bgColor theme="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442F65"/>
      </left>
      <right style="thin">
        <color rgb="FF442F65"/>
      </right>
      <top style="thin">
        <color rgb="FF442F65"/>
      </top>
      <bottom style="thin">
        <color rgb="FF000000"/>
      </bottom>
      <diagonal/>
    </border>
    <border>
      <left/>
      <right style="thin">
        <color rgb="FF442F65"/>
      </right>
      <top style="thin">
        <color rgb="FF442F65"/>
      </top>
      <bottom style="thin">
        <color rgb="FF000000"/>
      </bottom>
      <diagonal/>
    </border>
    <border>
      <left/>
      <right style="thin">
        <color rgb="FF000000"/>
      </right>
      <top style="thin">
        <color rgb="FF442F65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442F65"/>
      </right>
      <top/>
      <bottom style="thin">
        <color rgb="FF442F65"/>
      </bottom>
      <diagonal/>
    </border>
    <border>
      <left/>
      <right style="thin">
        <color rgb="FF000000"/>
      </right>
      <top/>
      <bottom style="thin">
        <color rgb="FF442F65"/>
      </bottom>
      <diagonal/>
    </border>
  </borders>
  <cellStyleXfs count="1">
    <xf numFmtId="0" fontId="0" fillId="0" borderId="0"/>
  </cellStyleXfs>
  <cellXfs count="335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1" xfId="0" applyFont="1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0" fontId="8" fillId="2" borderId="0" xfId="0" applyFont="1" applyFill="1" applyAlignment="1">
      <alignment horizontal="center"/>
    </xf>
    <xf numFmtId="0" fontId="12" fillId="5" borderId="1" xfId="0" applyFont="1" applyFill="1" applyBorder="1" applyAlignment="1"/>
    <xf numFmtId="0" fontId="12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13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1" fillId="0" borderId="1" xfId="0" applyFont="1" applyBorder="1" applyAlignment="1"/>
    <xf numFmtId="0" fontId="1" fillId="0" borderId="1" xfId="0" applyFont="1" applyBorder="1" applyAlignment="1"/>
    <xf numFmtId="0" fontId="1" fillId="4" borderId="1" xfId="0" applyFont="1" applyFill="1" applyBorder="1" applyAlignment="1"/>
    <xf numFmtId="0" fontId="1" fillId="0" borderId="6" xfId="0" applyFont="1" applyBorder="1" applyAlignment="1"/>
    <xf numFmtId="0" fontId="14" fillId="0" borderId="1" xfId="0" applyFont="1" applyBorder="1" applyAlignment="1"/>
    <xf numFmtId="0" fontId="1" fillId="0" borderId="1" xfId="0" applyFont="1" applyBorder="1" applyAlignment="1"/>
    <xf numFmtId="0" fontId="12" fillId="7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" fillId="0" borderId="0" xfId="0" applyFont="1" applyAlignment="1"/>
    <xf numFmtId="0" fontId="12" fillId="7" borderId="1" xfId="0" applyFont="1" applyFill="1" applyBorder="1" applyAlignment="1"/>
    <xf numFmtId="0" fontId="15" fillId="0" borderId="1" xfId="0" applyFont="1" applyBorder="1" applyAlignment="1"/>
    <xf numFmtId="0" fontId="12" fillId="6" borderId="1" xfId="0" applyFont="1" applyFill="1" applyBorder="1" applyAlignment="1"/>
    <xf numFmtId="0" fontId="16" fillId="7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0" borderId="6" xfId="0" applyFont="1" applyBorder="1" applyAlignment="1"/>
    <xf numFmtId="0" fontId="1" fillId="6" borderId="1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18" fillId="8" borderId="6" xfId="0" applyFont="1" applyFill="1" applyBorder="1" applyAlignment="1">
      <alignment horizontal="center"/>
    </xf>
    <xf numFmtId="0" fontId="11" fillId="7" borderId="1" xfId="0" applyFont="1" applyFill="1" applyBorder="1" applyAlignment="1"/>
    <xf numFmtId="0" fontId="11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11" fillId="6" borderId="1" xfId="0" applyFont="1" applyFill="1" applyBorder="1" applyAlignment="1"/>
    <xf numFmtId="0" fontId="11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1" fillId="0" borderId="8" xfId="0" applyFont="1" applyBorder="1" applyAlignment="1"/>
    <xf numFmtId="0" fontId="19" fillId="0" borderId="1" xfId="0" applyFont="1" applyBorder="1" applyAlignment="1"/>
    <xf numFmtId="0" fontId="2" fillId="0" borderId="1" xfId="0" applyFont="1" applyBorder="1" applyAlignment="1">
      <alignment horizontal="center"/>
    </xf>
    <xf numFmtId="0" fontId="11" fillId="6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/>
    <xf numFmtId="0" fontId="6" fillId="0" borderId="1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20" fillId="6" borderId="1" xfId="0" applyFont="1" applyFill="1" applyBorder="1" applyAlignment="1"/>
    <xf numFmtId="0" fontId="20" fillId="6" borderId="1" xfId="0" applyFont="1" applyFill="1" applyBorder="1" applyAlignment="1">
      <alignment horizontal="center"/>
    </xf>
    <xf numFmtId="0" fontId="21" fillId="6" borderId="1" xfId="0" applyFont="1" applyFill="1" applyBorder="1" applyAlignment="1">
      <alignment horizontal="center"/>
    </xf>
    <xf numFmtId="0" fontId="20" fillId="7" borderId="1" xfId="0" applyFont="1" applyFill="1" applyBorder="1" applyAlignment="1"/>
    <xf numFmtId="0" fontId="20" fillId="7" borderId="1" xfId="0" applyFont="1" applyFill="1" applyBorder="1" applyAlignment="1">
      <alignment horizontal="center"/>
    </xf>
    <xf numFmtId="0" fontId="21" fillId="7" borderId="1" xfId="0" applyFont="1" applyFill="1" applyBorder="1" applyAlignment="1">
      <alignment horizontal="center"/>
    </xf>
    <xf numFmtId="0" fontId="15" fillId="8" borderId="1" xfId="0" applyFont="1" applyFill="1" applyBorder="1" applyAlignment="1"/>
    <xf numFmtId="0" fontId="4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1" fillId="8" borderId="1" xfId="0" applyFont="1" applyFill="1" applyBorder="1" applyAlignment="1"/>
    <xf numFmtId="0" fontId="21" fillId="6" borderId="1" xfId="0" applyFont="1" applyFill="1" applyBorder="1" applyAlignment="1">
      <alignment horizontal="center"/>
    </xf>
    <xf numFmtId="0" fontId="22" fillId="0" borderId="0" xfId="0" applyFont="1" applyAlignment="1"/>
    <xf numFmtId="0" fontId="6" fillId="7" borderId="1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11" fillId="7" borderId="8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15" fillId="0" borderId="2" xfId="0" applyFont="1" applyBorder="1" applyAlignment="1"/>
    <xf numFmtId="0" fontId="1" fillId="4" borderId="2" xfId="0" applyFont="1" applyFill="1" applyBorder="1" applyAlignment="1"/>
    <xf numFmtId="0" fontId="1" fillId="0" borderId="2" xfId="0" applyFont="1" applyBorder="1" applyAlignment="1"/>
    <xf numFmtId="0" fontId="1" fillId="0" borderId="2" xfId="0" applyFont="1" applyBorder="1" applyAlignment="1"/>
    <xf numFmtId="0" fontId="18" fillId="0" borderId="1" xfId="0" applyFont="1" applyBorder="1" applyAlignment="1"/>
    <xf numFmtId="0" fontId="6" fillId="7" borderId="11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/>
    </xf>
    <xf numFmtId="0" fontId="11" fillId="7" borderId="13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/>
    <xf numFmtId="0" fontId="18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0" xfId="0" applyFont="1" applyAlignment="1"/>
    <xf numFmtId="0" fontId="18" fillId="0" borderId="2" xfId="0" applyFont="1" applyBorder="1" applyAlignment="1"/>
    <xf numFmtId="0" fontId="1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8" fillId="0" borderId="2" xfId="0" applyFont="1" applyBorder="1" applyAlignment="1"/>
    <xf numFmtId="0" fontId="18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8" fillId="0" borderId="1" xfId="0" applyFont="1" applyBorder="1"/>
    <xf numFmtId="0" fontId="1" fillId="0" borderId="8" xfId="0" applyFont="1" applyBorder="1" applyAlignment="1"/>
    <xf numFmtId="0" fontId="18" fillId="0" borderId="2" xfId="0" applyFont="1" applyBorder="1"/>
    <xf numFmtId="0" fontId="1" fillId="0" borderId="5" xfId="0" applyFont="1" applyBorder="1" applyAlignment="1"/>
    <xf numFmtId="0" fontId="1" fillId="0" borderId="5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1" fillId="0" borderId="2" xfId="0" applyFont="1" applyBorder="1" applyAlignment="1">
      <alignment horizontal="center"/>
    </xf>
    <xf numFmtId="0" fontId="15" fillId="0" borderId="1" xfId="0" applyFont="1" applyBorder="1" applyAlignment="1"/>
    <xf numFmtId="0" fontId="1" fillId="0" borderId="1" xfId="0" applyFont="1" applyBorder="1" applyAlignment="1"/>
    <xf numFmtId="0" fontId="3" fillId="0" borderId="1" xfId="0" applyFont="1" applyBorder="1"/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17" fillId="0" borderId="1" xfId="0" applyFont="1" applyBorder="1" applyAlignment="1"/>
    <xf numFmtId="0" fontId="17" fillId="0" borderId="2" xfId="0" applyFont="1" applyBorder="1" applyAlignment="1"/>
    <xf numFmtId="0" fontId="1" fillId="4" borderId="8" xfId="0" applyFont="1" applyFill="1" applyBorder="1" applyAlignment="1"/>
    <xf numFmtId="0" fontId="1" fillId="4" borderId="8" xfId="0" applyFont="1" applyFill="1" applyBorder="1" applyAlignme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1" fillId="4" borderId="1" xfId="0" applyFont="1" applyFill="1" applyBorder="1" applyAlignment="1"/>
    <xf numFmtId="0" fontId="1" fillId="4" borderId="5" xfId="0" applyFont="1" applyFill="1" applyBorder="1" applyAlignment="1"/>
    <xf numFmtId="0" fontId="18" fillId="0" borderId="0" xfId="0" applyFont="1" applyAlignment="1">
      <alignment horizontal="center"/>
    </xf>
    <xf numFmtId="0" fontId="3" fillId="4" borderId="0" xfId="0" applyFont="1" applyFill="1"/>
    <xf numFmtId="0" fontId="1" fillId="3" borderId="5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6" fillId="0" borderId="9" xfId="0" applyFont="1" applyBorder="1" applyAlignment="1"/>
    <xf numFmtId="0" fontId="6" fillId="4" borderId="1" xfId="0" applyFont="1" applyFill="1" applyBorder="1" applyAlignment="1">
      <alignment horizontal="center"/>
    </xf>
    <xf numFmtId="0" fontId="6" fillId="0" borderId="9" xfId="0" applyFont="1" applyBorder="1" applyAlignment="1"/>
    <xf numFmtId="0" fontId="6" fillId="7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3" borderId="9" xfId="0" applyFont="1" applyFill="1" applyBorder="1" applyAlignment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/>
    <xf numFmtId="0" fontId="1" fillId="3" borderId="1" xfId="0" applyFont="1" applyFill="1" applyBorder="1" applyAlignment="1"/>
    <xf numFmtId="0" fontId="6" fillId="8" borderId="1" xfId="0" applyFont="1" applyFill="1" applyBorder="1" applyAlignment="1">
      <alignment horizontal="center"/>
    </xf>
    <xf numFmtId="0" fontId="1" fillId="3" borderId="6" xfId="0" applyFont="1" applyFill="1" applyBorder="1" applyAlignment="1"/>
    <xf numFmtId="0" fontId="1" fillId="3" borderId="0" xfId="0" applyFont="1" applyFill="1" applyAlignment="1"/>
    <xf numFmtId="0" fontId="6" fillId="0" borderId="1" xfId="0" applyFont="1" applyBorder="1" applyAlignment="1"/>
    <xf numFmtId="0" fontId="23" fillId="0" borderId="1" xfId="0" applyFont="1" applyBorder="1" applyAlignment="1">
      <alignment horizontal="center"/>
    </xf>
    <xf numFmtId="0" fontId="24" fillId="0" borderId="14" xfId="0" applyFont="1" applyBorder="1" applyAlignment="1"/>
    <xf numFmtId="0" fontId="13" fillId="0" borderId="14" xfId="0" applyFont="1" applyBorder="1" applyAlignment="1">
      <alignment horizontal="center"/>
    </xf>
    <xf numFmtId="0" fontId="24" fillId="7" borderId="14" xfId="0" applyFont="1" applyFill="1" applyBorder="1" applyAlignment="1">
      <alignment horizontal="center" vertical="top"/>
    </xf>
    <xf numFmtId="0" fontId="13" fillId="0" borderId="14" xfId="0" applyFont="1" applyBorder="1" applyAlignment="1"/>
    <xf numFmtId="0" fontId="13" fillId="0" borderId="14" xfId="0" applyFont="1" applyBorder="1" applyAlignment="1">
      <alignment horizontal="center"/>
    </xf>
    <xf numFmtId="0" fontId="13" fillId="7" borderId="14" xfId="0" applyFont="1" applyFill="1" applyBorder="1" applyAlignment="1">
      <alignment horizontal="center" vertical="top"/>
    </xf>
    <xf numFmtId="0" fontId="6" fillId="0" borderId="14" xfId="0" applyFont="1" applyBorder="1" applyAlignment="1"/>
    <xf numFmtId="0" fontId="25" fillId="2" borderId="0" xfId="0" applyFont="1" applyFill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27" fillId="0" borderId="1" xfId="0" applyFont="1" applyBorder="1" applyAlignment="1">
      <alignment horizontal="center"/>
    </xf>
    <xf numFmtId="0" fontId="28" fillId="0" borderId="1" xfId="0" applyFont="1" applyBorder="1" applyAlignment="1"/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3" fillId="0" borderId="14" xfId="0" applyFont="1" applyBorder="1" applyAlignment="1">
      <alignment horizontal="center" vertical="top"/>
    </xf>
    <xf numFmtId="0" fontId="3" fillId="3" borderId="0" xfId="0" applyFont="1" applyFill="1"/>
    <xf numFmtId="0" fontId="11" fillId="3" borderId="3" xfId="0" applyFont="1" applyFill="1" applyBorder="1" applyAlignment="1">
      <alignment horizontal="center"/>
    </xf>
    <xf numFmtId="0" fontId="29" fillId="0" borderId="14" xfId="0" applyFont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26" fillId="3" borderId="5" xfId="0" applyFont="1" applyFill="1" applyBorder="1" applyAlignment="1">
      <alignment horizontal="center"/>
    </xf>
    <xf numFmtId="0" fontId="1" fillId="9" borderId="1" xfId="0" applyFont="1" applyFill="1" applyBorder="1" applyAlignment="1"/>
    <xf numFmtId="0" fontId="11" fillId="3" borderId="5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3" fillId="0" borderId="1" xfId="0" applyFont="1" applyBorder="1" applyAlignment="1"/>
    <xf numFmtId="0" fontId="13" fillId="6" borderId="15" xfId="0" applyFont="1" applyFill="1" applyBorder="1" applyAlignment="1"/>
    <xf numFmtId="0" fontId="13" fillId="6" borderId="15" xfId="0" applyFont="1" applyFill="1" applyBorder="1" applyAlignment="1">
      <alignment horizontal="center"/>
    </xf>
    <xf numFmtId="0" fontId="13" fillId="6" borderId="16" xfId="0" applyFont="1" applyFill="1" applyBorder="1" applyAlignment="1">
      <alignment horizontal="center"/>
    </xf>
    <xf numFmtId="0" fontId="23" fillId="0" borderId="1" xfId="0" applyFont="1" applyBorder="1" applyAlignment="1"/>
    <xf numFmtId="0" fontId="12" fillId="6" borderId="1" xfId="0" quotePrefix="1" applyFont="1" applyFill="1" applyBorder="1" applyAlignment="1">
      <alignment horizontal="center"/>
    </xf>
    <xf numFmtId="0" fontId="27" fillId="4" borderId="1" xfId="0" applyFont="1" applyFill="1" applyBorder="1" applyAlignment="1">
      <alignment horizontal="center"/>
    </xf>
    <xf numFmtId="0" fontId="28" fillId="4" borderId="1" xfId="0" applyFont="1" applyFill="1" applyBorder="1" applyAlignment="1"/>
    <xf numFmtId="0" fontId="12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3" fillId="8" borderId="14" xfId="0" applyFont="1" applyFill="1" applyBorder="1" applyAlignment="1"/>
    <xf numFmtId="0" fontId="13" fillId="8" borderId="14" xfId="0" applyFont="1" applyFill="1" applyBorder="1" applyAlignment="1">
      <alignment horizontal="center"/>
    </xf>
    <xf numFmtId="0" fontId="13" fillId="8" borderId="14" xfId="0" applyFont="1" applyFill="1" applyBorder="1" applyAlignment="1">
      <alignment horizontal="center"/>
    </xf>
    <xf numFmtId="0" fontId="13" fillId="8" borderId="14" xfId="0" applyFont="1" applyFill="1" applyBorder="1" applyAlignment="1">
      <alignment horizontal="center" vertical="top"/>
    </xf>
    <xf numFmtId="0" fontId="1" fillId="4" borderId="6" xfId="0" applyFont="1" applyFill="1" applyBorder="1" applyAlignment="1"/>
    <xf numFmtId="0" fontId="1" fillId="8" borderId="6" xfId="0" applyFont="1" applyFill="1" applyBorder="1" applyAlignment="1"/>
    <xf numFmtId="0" fontId="1" fillId="8" borderId="0" xfId="0" applyFont="1" applyFill="1" applyAlignment="1"/>
    <xf numFmtId="0" fontId="12" fillId="6" borderId="1" xfId="0" applyFont="1" applyFill="1" applyBorder="1" applyAlignment="1">
      <alignment horizontal="center"/>
    </xf>
    <xf numFmtId="0" fontId="30" fillId="3" borderId="1" xfId="0" applyFont="1" applyFill="1" applyBorder="1" applyAlignment="1"/>
    <xf numFmtId="0" fontId="30" fillId="0" borderId="1" xfId="0" applyFont="1" applyBorder="1" applyAlignment="1"/>
    <xf numFmtId="0" fontId="30" fillId="0" borderId="1" xfId="0" applyFont="1" applyBorder="1" applyAlignment="1"/>
    <xf numFmtId="0" fontId="30" fillId="9" borderId="1" xfId="0" applyFont="1" applyFill="1" applyBorder="1" applyAlignment="1"/>
    <xf numFmtId="0" fontId="30" fillId="0" borderId="6" xfId="0" applyFont="1" applyBorder="1" applyAlignment="1"/>
    <xf numFmtId="0" fontId="30" fillId="4" borderId="1" xfId="0" applyFont="1" applyFill="1" applyBorder="1" applyAlignment="1"/>
    <xf numFmtId="0" fontId="30" fillId="0" borderId="1" xfId="0" applyFont="1" applyBorder="1" applyAlignment="1"/>
    <xf numFmtId="0" fontId="11" fillId="0" borderId="1" xfId="0" applyFont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23" fillId="8" borderId="1" xfId="0" applyFont="1" applyFill="1" applyBorder="1" applyAlignment="1"/>
    <xf numFmtId="0" fontId="17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1" xfId="0" applyFont="1" applyFill="1" applyBorder="1" applyAlignment="1"/>
    <xf numFmtId="0" fontId="12" fillId="0" borderId="1" xfId="0" applyFont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30" fillId="2" borderId="4" xfId="0" applyFont="1" applyFill="1" applyBorder="1" applyAlignment="1">
      <alignment horizontal="center"/>
    </xf>
    <xf numFmtId="0" fontId="6" fillId="7" borderId="1" xfId="0" applyFont="1" applyFill="1" applyBorder="1" applyAlignment="1"/>
    <xf numFmtId="0" fontId="17" fillId="2" borderId="5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right"/>
    </xf>
    <xf numFmtId="0" fontId="31" fillId="0" borderId="1" xfId="0" applyFont="1" applyBorder="1" applyAlignment="1">
      <alignment horizontal="center"/>
    </xf>
    <xf numFmtId="0" fontId="31" fillId="0" borderId="1" xfId="0" applyFont="1" applyBorder="1" applyAlignment="1"/>
    <xf numFmtId="0" fontId="32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1" fillId="0" borderId="8" xfId="0" applyFont="1" applyBorder="1" applyAlignment="1">
      <alignment horizontal="center"/>
    </xf>
    <xf numFmtId="0" fontId="31" fillId="0" borderId="1" xfId="0" applyFont="1" applyBorder="1" applyAlignment="1"/>
    <xf numFmtId="0" fontId="31" fillId="10" borderId="1" xfId="0" applyFont="1" applyFill="1" applyBorder="1" applyAlignment="1"/>
    <xf numFmtId="0" fontId="19" fillId="0" borderId="1" xfId="0" applyFont="1" applyBorder="1" applyAlignment="1">
      <alignment horizontal="center"/>
    </xf>
    <xf numFmtId="0" fontId="19" fillId="6" borderId="0" xfId="0" applyFont="1" applyFill="1" applyAlignment="1"/>
    <xf numFmtId="0" fontId="31" fillId="0" borderId="1" xfId="0" applyFont="1" applyBorder="1" applyAlignment="1">
      <alignment horizontal="center"/>
    </xf>
    <xf numFmtId="0" fontId="30" fillId="0" borderId="1" xfId="0" applyFont="1" applyBorder="1" applyAlignment="1">
      <alignment horizontal="left"/>
    </xf>
    <xf numFmtId="0" fontId="30" fillId="6" borderId="1" xfId="0" applyFont="1" applyFill="1" applyBorder="1" applyAlignment="1">
      <alignment horizontal="center"/>
    </xf>
    <xf numFmtId="0" fontId="31" fillId="10" borderId="1" xfId="0" applyFont="1" applyFill="1" applyBorder="1" applyAlignment="1"/>
    <xf numFmtId="0" fontId="33" fillId="0" borderId="1" xfId="0" applyFont="1" applyBorder="1" applyAlignment="1">
      <alignment horizontal="left"/>
    </xf>
    <xf numFmtId="0" fontId="34" fillId="6" borderId="1" xfId="0" applyFont="1" applyFill="1" applyBorder="1" applyAlignment="1">
      <alignment horizontal="center"/>
    </xf>
    <xf numFmtId="49" fontId="31" fillId="0" borderId="1" xfId="0" applyNumberFormat="1" applyFont="1" applyBorder="1" applyAlignment="1">
      <alignment horizontal="center"/>
    </xf>
    <xf numFmtId="0" fontId="25" fillId="6" borderId="1" xfId="0" applyFont="1" applyFill="1" applyBorder="1" applyAlignment="1"/>
    <xf numFmtId="0" fontId="25" fillId="6" borderId="1" xfId="0" applyFont="1" applyFill="1" applyBorder="1" applyAlignment="1">
      <alignment horizontal="right"/>
    </xf>
    <xf numFmtId="0" fontId="6" fillId="0" borderId="1" xfId="0" applyFont="1" applyBorder="1" applyAlignment="1"/>
    <xf numFmtId="0" fontId="13" fillId="6" borderId="1" xfId="0" applyFont="1" applyFill="1" applyBorder="1" applyAlignment="1">
      <alignment horizontal="center"/>
    </xf>
    <xf numFmtId="0" fontId="29" fillId="6" borderId="1" xfId="0" applyFont="1" applyFill="1" applyBorder="1" applyAlignment="1">
      <alignment horizontal="center"/>
    </xf>
    <xf numFmtId="0" fontId="35" fillId="6" borderId="1" xfId="0" applyFont="1" applyFill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1" fillId="7" borderId="9" xfId="0" applyFont="1" applyFill="1" applyBorder="1" applyAlignment="1"/>
    <xf numFmtId="0" fontId="32" fillId="7" borderId="1" xfId="0" applyFont="1" applyFill="1" applyBorder="1" applyAlignment="1">
      <alignment horizontal="center"/>
    </xf>
    <xf numFmtId="0" fontId="31" fillId="7" borderId="1" xfId="0" applyFont="1" applyFill="1" applyBorder="1" applyAlignment="1">
      <alignment horizontal="center"/>
    </xf>
    <xf numFmtId="0" fontId="31" fillId="0" borderId="9" xfId="0" applyFont="1" applyBorder="1" applyAlignment="1"/>
    <xf numFmtId="0" fontId="35" fillId="0" borderId="1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3" fillId="9" borderId="0" xfId="0" applyFont="1" applyFill="1"/>
    <xf numFmtId="0" fontId="32" fillId="0" borderId="1" xfId="0" applyFont="1" applyBorder="1" applyAlignment="1"/>
    <xf numFmtId="0" fontId="32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6" fillId="0" borderId="1" xfId="0" applyFont="1" applyBorder="1" applyAlignment="1"/>
    <xf numFmtId="0" fontId="1" fillId="0" borderId="8" xfId="0" applyFont="1" applyBorder="1" applyAlignment="1">
      <alignment horizontal="center"/>
    </xf>
    <xf numFmtId="0" fontId="1" fillId="0" borderId="2" xfId="0" applyFont="1" applyBorder="1" applyAlignment="1"/>
    <xf numFmtId="0" fontId="1" fillId="0" borderId="2" xfId="0" applyFont="1" applyBorder="1" applyAlignment="1"/>
    <xf numFmtId="0" fontId="17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1" fillId="10" borderId="1" xfId="0" applyFont="1" applyFill="1" applyBorder="1" applyAlignment="1"/>
    <xf numFmtId="0" fontId="23" fillId="0" borderId="1" xfId="0" applyFont="1" applyBorder="1" applyAlignment="1"/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3" fillId="10" borderId="0" xfId="0" applyFont="1" applyFill="1"/>
    <xf numFmtId="0" fontId="5" fillId="2" borderId="2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0" fontId="39" fillId="0" borderId="1" xfId="0" applyFont="1" applyBorder="1" applyAlignment="1">
      <alignment horizontal="left"/>
    </xf>
    <xf numFmtId="0" fontId="39" fillId="0" borderId="1" xfId="0" applyFont="1" applyBorder="1" applyAlignment="1"/>
    <xf numFmtId="0" fontId="39" fillId="0" borderId="1" xfId="0" applyFont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30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7" fillId="3" borderId="5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10" fillId="3" borderId="14" xfId="0" applyFont="1" applyFill="1" applyBorder="1" applyAlignment="1">
      <alignment horizontal="center"/>
    </xf>
    <xf numFmtId="0" fontId="31" fillId="3" borderId="1" xfId="0" applyFont="1" applyFill="1" applyBorder="1" applyAlignment="1"/>
    <xf numFmtId="0" fontId="39" fillId="0" borderId="1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31" fillId="6" borderId="1" xfId="0" applyFont="1" applyFill="1" applyBorder="1" applyAlignment="1"/>
    <xf numFmtId="0" fontId="39" fillId="0" borderId="1" xfId="0" applyFont="1" applyBorder="1" applyAlignment="1"/>
    <xf numFmtId="0" fontId="39" fillId="0" borderId="1" xfId="0" applyFont="1" applyBorder="1" applyAlignment="1">
      <alignment horizontal="center"/>
    </xf>
    <xf numFmtId="0" fontId="31" fillId="3" borderId="1" xfId="0" applyFont="1" applyFill="1" applyBorder="1" applyAlignment="1"/>
    <xf numFmtId="0" fontId="1" fillId="6" borderId="1" xfId="0" applyFont="1" applyFill="1" applyBorder="1" applyAlignment="1"/>
    <xf numFmtId="0" fontId="5" fillId="2" borderId="6" xfId="0" applyFont="1" applyFill="1" applyBorder="1" applyAlignment="1">
      <alignment horizontal="center"/>
    </xf>
    <xf numFmtId="0" fontId="7" fillId="0" borderId="7" xfId="0" applyFont="1" applyBorder="1"/>
    <xf numFmtId="0" fontId="7" fillId="0" borderId="8" xfId="0" applyFont="1" applyBorder="1"/>
    <xf numFmtId="0" fontId="5" fillId="2" borderId="2" xfId="0" applyFont="1" applyFill="1" applyBorder="1" applyAlignment="1">
      <alignment horizontal="center"/>
    </xf>
    <xf numFmtId="0" fontId="7" fillId="0" borderId="9" xfId="0" applyFont="1" applyBorder="1"/>
    <xf numFmtId="0" fontId="1" fillId="2" borderId="0" xfId="0" applyFont="1" applyFill="1" applyAlignment="1"/>
    <xf numFmtId="0" fontId="0" fillId="0" borderId="0" xfId="0" applyFont="1" applyAlignment="1"/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/>
    </xf>
    <xf numFmtId="0" fontId="7" fillId="0" borderId="4" xfId="0" applyFont="1" applyBorder="1"/>
    <xf numFmtId="0" fontId="7" fillId="0" borderId="5" xfId="0" applyFont="1" applyBorder="1"/>
    <xf numFmtId="0" fontId="5" fillId="3" borderId="6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/>
    </xf>
    <xf numFmtId="0" fontId="7" fillId="0" borderId="10" xfId="0" applyFont="1" applyBorder="1"/>
    <xf numFmtId="0" fontId="4" fillId="3" borderId="2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2" borderId="2" xfId="0" applyFont="1" applyFill="1" applyBorder="1" applyAlignment="1">
      <alignment horizontal="center" wrapText="1"/>
    </xf>
    <xf numFmtId="0" fontId="11" fillId="3" borderId="2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994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ColWidth="12.6640625" defaultRowHeight="15.75" customHeight="1"/>
  <cols>
    <col min="1" max="1" width="9" customWidth="1"/>
    <col min="2" max="2" width="20.44140625" customWidth="1"/>
    <col min="3" max="3" width="8.88671875" customWidth="1"/>
    <col min="4" max="4" width="7.88671875" customWidth="1"/>
    <col min="5" max="5" width="14.21875" customWidth="1"/>
    <col min="6" max="6" width="7.77734375" customWidth="1"/>
    <col min="7" max="32" width="6.33203125" customWidth="1"/>
    <col min="33" max="33" width="9.109375" customWidth="1"/>
    <col min="34" max="34" width="9.6640625" customWidth="1"/>
    <col min="35" max="36" width="6.33203125" customWidth="1"/>
  </cols>
  <sheetData>
    <row r="1" spans="1:36">
      <c r="A1" s="1"/>
      <c r="B1" s="1"/>
      <c r="C1" s="3"/>
      <c r="D1" s="3"/>
      <c r="E1" s="3"/>
      <c r="F1" s="315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6"/>
      <c r="AD1" s="316"/>
      <c r="AE1" s="316"/>
      <c r="AF1" s="1"/>
      <c r="AG1" s="1"/>
      <c r="AH1" s="1"/>
      <c r="AI1" s="1"/>
      <c r="AJ1" s="1"/>
    </row>
    <row r="2" spans="1:36" ht="15.75" customHeight="1">
      <c r="A2" s="317" t="s">
        <v>0</v>
      </c>
      <c r="B2" s="318" t="s">
        <v>1</v>
      </c>
      <c r="C2" s="7"/>
      <c r="D2" s="9"/>
      <c r="E2" s="11"/>
      <c r="F2" s="12" t="s">
        <v>3</v>
      </c>
      <c r="G2" s="319" t="s">
        <v>4</v>
      </c>
      <c r="H2" s="320"/>
      <c r="I2" s="320"/>
      <c r="J2" s="320"/>
      <c r="K2" s="321"/>
      <c r="L2" s="319" t="s">
        <v>9</v>
      </c>
      <c r="M2" s="320"/>
      <c r="N2" s="320"/>
      <c r="O2" s="321"/>
      <c r="P2" s="319" t="s">
        <v>11</v>
      </c>
      <c r="Q2" s="320"/>
      <c r="R2" s="320"/>
      <c r="S2" s="321"/>
      <c r="T2" s="319" t="s">
        <v>13</v>
      </c>
      <c r="U2" s="320"/>
      <c r="V2" s="320"/>
      <c r="W2" s="321"/>
      <c r="X2" s="310" t="s">
        <v>14</v>
      </c>
      <c r="Y2" s="311"/>
      <c r="Z2" s="311"/>
      <c r="AA2" s="311"/>
      <c r="AB2" s="312"/>
      <c r="AC2" s="310" t="s">
        <v>16</v>
      </c>
      <c r="AD2" s="311"/>
      <c r="AE2" s="311"/>
      <c r="AF2" s="312"/>
      <c r="AG2" s="313" t="s">
        <v>18</v>
      </c>
      <c r="AH2" s="313" t="s">
        <v>19</v>
      </c>
      <c r="AI2" s="313" t="s">
        <v>20</v>
      </c>
      <c r="AJ2" s="17"/>
    </row>
    <row r="3" spans="1:36" ht="15.75" customHeight="1">
      <c r="A3" s="314"/>
      <c r="B3" s="314"/>
      <c r="C3" s="19" t="s">
        <v>5</v>
      </c>
      <c r="D3" s="19" t="s">
        <v>7</v>
      </c>
      <c r="E3" s="19" t="s">
        <v>8</v>
      </c>
      <c r="F3" s="19">
        <v>25</v>
      </c>
      <c r="G3" s="19">
        <v>2</v>
      </c>
      <c r="H3" s="19">
        <v>9</v>
      </c>
      <c r="I3" s="19">
        <v>16</v>
      </c>
      <c r="J3" s="19">
        <v>23</v>
      </c>
      <c r="K3" s="19">
        <v>30</v>
      </c>
      <c r="L3" s="19">
        <v>7</v>
      </c>
      <c r="M3" s="19">
        <v>14</v>
      </c>
      <c r="N3" s="19">
        <v>21</v>
      </c>
      <c r="O3" s="19">
        <v>28</v>
      </c>
      <c r="P3" s="19">
        <v>5</v>
      </c>
      <c r="Q3" s="19">
        <v>12</v>
      </c>
      <c r="R3" s="19">
        <v>19</v>
      </c>
      <c r="S3" s="19">
        <v>26</v>
      </c>
      <c r="T3" s="19">
        <v>3</v>
      </c>
      <c r="U3" s="26">
        <v>10</v>
      </c>
      <c r="V3" s="26">
        <v>17</v>
      </c>
      <c r="W3" s="19">
        <v>24</v>
      </c>
      <c r="X3" s="19">
        <v>1</v>
      </c>
      <c r="Y3" s="19">
        <v>8</v>
      </c>
      <c r="Z3" s="28">
        <v>15</v>
      </c>
      <c r="AA3" s="30">
        <v>22</v>
      </c>
      <c r="AB3" s="30">
        <v>29</v>
      </c>
      <c r="AC3" s="28">
        <v>6</v>
      </c>
      <c r="AD3" s="28">
        <v>13</v>
      </c>
      <c r="AE3" s="28">
        <v>20</v>
      </c>
      <c r="AF3" s="32">
        <v>27</v>
      </c>
      <c r="AG3" s="314"/>
      <c r="AH3" s="314"/>
      <c r="AI3" s="314"/>
      <c r="AJ3" s="34"/>
    </row>
    <row r="4" spans="1:36">
      <c r="A4" s="31" t="s">
        <v>21</v>
      </c>
      <c r="B4" s="35" t="s">
        <v>22</v>
      </c>
      <c r="C4" s="36">
        <v>29</v>
      </c>
      <c r="D4" s="36" t="s">
        <v>23</v>
      </c>
      <c r="E4" s="36">
        <v>942587270</v>
      </c>
      <c r="F4" s="42" t="s">
        <v>19</v>
      </c>
      <c r="G4" s="42" t="s">
        <v>19</v>
      </c>
      <c r="H4" s="42" t="s">
        <v>19</v>
      </c>
      <c r="I4" s="42" t="s">
        <v>19</v>
      </c>
      <c r="J4" s="42" t="s">
        <v>19</v>
      </c>
      <c r="K4" s="42" t="s">
        <v>19</v>
      </c>
      <c r="L4" s="42" t="s">
        <v>27</v>
      </c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6"/>
      <c r="AG4" s="48">
        <f t="shared" ref="AG4:AG143" si="0">COUNTIF(F4:AF4,"አለ/ች")</f>
        <v>1</v>
      </c>
      <c r="AH4" s="48">
        <f t="shared" ref="AH4:AH143" si="1">COUNTIF(F4:AF4,"ቀሪ")</f>
        <v>6</v>
      </c>
      <c r="AI4" s="48">
        <f t="shared" ref="AI4:AI143" si="2">AG4/6*100</f>
        <v>16.666666666666664</v>
      </c>
      <c r="AJ4" s="51"/>
    </row>
    <row r="5" spans="1:36">
      <c r="A5" s="31" t="s">
        <v>28</v>
      </c>
      <c r="B5" s="35" t="s">
        <v>29</v>
      </c>
      <c r="C5" s="49">
        <v>24</v>
      </c>
      <c r="D5" s="49" t="s">
        <v>23</v>
      </c>
      <c r="E5" s="49">
        <v>980277351</v>
      </c>
      <c r="F5" s="42" t="s">
        <v>19</v>
      </c>
      <c r="G5" s="42" t="s">
        <v>19</v>
      </c>
      <c r="H5" s="42" t="s">
        <v>19</v>
      </c>
      <c r="I5" s="42" t="s">
        <v>19</v>
      </c>
      <c r="J5" s="42" t="s">
        <v>19</v>
      </c>
      <c r="K5" s="42" t="s">
        <v>19</v>
      </c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6"/>
      <c r="AG5" s="48">
        <f t="shared" si="0"/>
        <v>0</v>
      </c>
      <c r="AH5" s="48">
        <f t="shared" si="1"/>
        <v>6</v>
      </c>
      <c r="AI5" s="48">
        <f t="shared" si="2"/>
        <v>0</v>
      </c>
      <c r="AJ5" s="51"/>
    </row>
    <row r="6" spans="1:36">
      <c r="A6" s="31" t="s">
        <v>30</v>
      </c>
      <c r="B6" s="52" t="s">
        <v>32</v>
      </c>
      <c r="C6" s="49">
        <v>22</v>
      </c>
      <c r="D6" s="49" t="s">
        <v>34</v>
      </c>
      <c r="E6" s="49">
        <v>975184120</v>
      </c>
      <c r="F6" s="42" t="s">
        <v>27</v>
      </c>
      <c r="G6" s="42" t="s">
        <v>27</v>
      </c>
      <c r="H6" s="42" t="s">
        <v>27</v>
      </c>
      <c r="I6" s="42" t="s">
        <v>27</v>
      </c>
      <c r="J6" s="42" t="s">
        <v>27</v>
      </c>
      <c r="K6" s="42" t="s">
        <v>27</v>
      </c>
      <c r="L6" s="42" t="s">
        <v>27</v>
      </c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6"/>
      <c r="AG6" s="48">
        <f t="shared" si="0"/>
        <v>7</v>
      </c>
      <c r="AH6" s="48">
        <f t="shared" si="1"/>
        <v>0</v>
      </c>
      <c r="AI6" s="48">
        <f t="shared" si="2"/>
        <v>116.66666666666667</v>
      </c>
      <c r="AJ6" s="51"/>
    </row>
    <row r="7" spans="1:36">
      <c r="A7" s="31" t="s">
        <v>36</v>
      </c>
      <c r="B7" s="54" t="s">
        <v>37</v>
      </c>
      <c r="C7" s="36">
        <v>22</v>
      </c>
      <c r="D7" s="36" t="s">
        <v>34</v>
      </c>
      <c r="E7" s="36">
        <v>934808278</v>
      </c>
      <c r="F7" s="42" t="s">
        <v>19</v>
      </c>
      <c r="G7" s="42" t="s">
        <v>19</v>
      </c>
      <c r="H7" s="42" t="s">
        <v>19</v>
      </c>
      <c r="I7" s="42" t="s">
        <v>19</v>
      </c>
      <c r="J7" s="42" t="s">
        <v>19</v>
      </c>
      <c r="K7" s="42" t="s">
        <v>19</v>
      </c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6"/>
      <c r="AG7" s="48">
        <f t="shared" si="0"/>
        <v>0</v>
      </c>
      <c r="AH7" s="48">
        <f t="shared" si="1"/>
        <v>6</v>
      </c>
      <c r="AI7" s="48">
        <f t="shared" si="2"/>
        <v>0</v>
      </c>
      <c r="AJ7" s="51"/>
    </row>
    <row r="8" spans="1:36">
      <c r="A8" s="31" t="s">
        <v>40</v>
      </c>
      <c r="B8" s="52" t="s">
        <v>41</v>
      </c>
      <c r="C8" s="49">
        <v>28</v>
      </c>
      <c r="D8" s="49" t="s">
        <v>23</v>
      </c>
      <c r="E8" s="49">
        <v>911817477</v>
      </c>
      <c r="F8" s="42" t="s">
        <v>19</v>
      </c>
      <c r="G8" s="42" t="s">
        <v>19</v>
      </c>
      <c r="H8" s="42" t="s">
        <v>19</v>
      </c>
      <c r="I8" s="42" t="s">
        <v>19</v>
      </c>
      <c r="J8" s="42" t="s">
        <v>19</v>
      </c>
      <c r="K8" s="42" t="s">
        <v>19</v>
      </c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6"/>
      <c r="AG8" s="48">
        <f t="shared" si="0"/>
        <v>0</v>
      </c>
      <c r="AH8" s="48">
        <f t="shared" si="1"/>
        <v>6</v>
      </c>
      <c r="AI8" s="48">
        <f t="shared" si="2"/>
        <v>0</v>
      </c>
      <c r="AJ8" s="51"/>
    </row>
    <row r="9" spans="1:36">
      <c r="A9" s="31" t="s">
        <v>44</v>
      </c>
      <c r="B9" s="54" t="s">
        <v>45</v>
      </c>
      <c r="C9" s="36">
        <v>26</v>
      </c>
      <c r="D9" s="36" t="s">
        <v>23</v>
      </c>
      <c r="E9" s="36">
        <v>914908467</v>
      </c>
      <c r="F9" s="42" t="s">
        <v>19</v>
      </c>
      <c r="G9" s="42" t="s">
        <v>27</v>
      </c>
      <c r="H9" s="42" t="s">
        <v>27</v>
      </c>
      <c r="I9" s="42" t="s">
        <v>27</v>
      </c>
      <c r="J9" s="42" t="s">
        <v>27</v>
      </c>
      <c r="K9" s="42" t="s">
        <v>27</v>
      </c>
      <c r="L9" s="42" t="s">
        <v>27</v>
      </c>
      <c r="M9" s="44"/>
      <c r="N9" s="44"/>
      <c r="O9" s="44"/>
      <c r="P9" s="44"/>
      <c r="Q9" s="44"/>
      <c r="R9" s="42" t="s">
        <v>27</v>
      </c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2" t="s">
        <v>27</v>
      </c>
      <c r="AE9" s="44"/>
      <c r="AF9" s="46"/>
      <c r="AG9" s="48">
        <f t="shared" si="0"/>
        <v>8</v>
      </c>
      <c r="AH9" s="48">
        <f t="shared" si="1"/>
        <v>1</v>
      </c>
      <c r="AI9" s="48">
        <f t="shared" si="2"/>
        <v>133.33333333333331</v>
      </c>
      <c r="AJ9" s="51"/>
    </row>
    <row r="10" spans="1:36">
      <c r="A10" s="31" t="s">
        <v>48</v>
      </c>
      <c r="B10" s="52" t="s">
        <v>49</v>
      </c>
      <c r="C10" s="49">
        <v>26</v>
      </c>
      <c r="D10" s="49" t="s">
        <v>34</v>
      </c>
      <c r="E10" s="49">
        <v>939915837</v>
      </c>
      <c r="F10" s="42" t="s">
        <v>19</v>
      </c>
      <c r="G10" s="42" t="s">
        <v>19</v>
      </c>
      <c r="H10" s="42" t="s">
        <v>27</v>
      </c>
      <c r="I10" s="42" t="s">
        <v>27</v>
      </c>
      <c r="J10" s="42" t="s">
        <v>27</v>
      </c>
      <c r="K10" s="42" t="s">
        <v>27</v>
      </c>
      <c r="L10" s="42" t="s">
        <v>27</v>
      </c>
      <c r="M10" s="44"/>
      <c r="N10" s="44"/>
      <c r="O10" s="44"/>
      <c r="P10" s="44"/>
      <c r="Q10" s="44"/>
      <c r="R10" s="42" t="s">
        <v>27</v>
      </c>
      <c r="S10" s="44"/>
      <c r="T10" s="44"/>
      <c r="U10" s="44"/>
      <c r="V10" s="44"/>
      <c r="W10" s="44"/>
      <c r="X10" s="42" t="s">
        <v>27</v>
      </c>
      <c r="Y10" s="42" t="s">
        <v>27</v>
      </c>
      <c r="Z10" s="42" t="s">
        <v>27</v>
      </c>
      <c r="AA10" s="44"/>
      <c r="AB10" s="44"/>
      <c r="AC10" s="42" t="s">
        <v>27</v>
      </c>
      <c r="AD10" s="42" t="s">
        <v>27</v>
      </c>
      <c r="AE10" s="44"/>
      <c r="AF10" s="46"/>
      <c r="AG10" s="48">
        <f t="shared" si="0"/>
        <v>11</v>
      </c>
      <c r="AH10" s="48">
        <f t="shared" si="1"/>
        <v>2</v>
      </c>
      <c r="AI10" s="48">
        <f t="shared" si="2"/>
        <v>183.33333333333331</v>
      </c>
      <c r="AJ10" s="51"/>
    </row>
    <row r="11" spans="1:36">
      <c r="A11" s="31" t="s">
        <v>50</v>
      </c>
      <c r="B11" s="54" t="s">
        <v>51</v>
      </c>
      <c r="C11" s="36">
        <v>42</v>
      </c>
      <c r="D11" s="36" t="s">
        <v>34</v>
      </c>
      <c r="E11" s="36">
        <v>911920887</v>
      </c>
      <c r="F11" s="42" t="s">
        <v>19</v>
      </c>
      <c r="G11" s="42" t="s">
        <v>19</v>
      </c>
      <c r="H11" s="42" t="s">
        <v>19</v>
      </c>
      <c r="I11" s="42" t="s">
        <v>19</v>
      </c>
      <c r="J11" s="42" t="s">
        <v>19</v>
      </c>
      <c r="K11" s="42" t="s">
        <v>19</v>
      </c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6"/>
      <c r="AG11" s="48">
        <f t="shared" si="0"/>
        <v>0</v>
      </c>
      <c r="AH11" s="48">
        <f t="shared" si="1"/>
        <v>6</v>
      </c>
      <c r="AI11" s="48">
        <f t="shared" si="2"/>
        <v>0</v>
      </c>
      <c r="AJ11" s="51"/>
    </row>
    <row r="12" spans="1:36">
      <c r="A12" s="31" t="s">
        <v>54</v>
      </c>
      <c r="B12" s="52" t="s">
        <v>55</v>
      </c>
      <c r="C12" s="49">
        <v>25</v>
      </c>
      <c r="D12" s="49" t="s">
        <v>23</v>
      </c>
      <c r="E12" s="49">
        <v>950479398</v>
      </c>
      <c r="F12" s="42" t="s">
        <v>27</v>
      </c>
      <c r="G12" s="42" t="s">
        <v>27</v>
      </c>
      <c r="H12" s="42" t="s">
        <v>27</v>
      </c>
      <c r="I12" s="42" t="s">
        <v>27</v>
      </c>
      <c r="J12" s="42" t="s">
        <v>19</v>
      </c>
      <c r="K12" s="42" t="s">
        <v>19</v>
      </c>
      <c r="L12" s="42" t="s">
        <v>27</v>
      </c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2" t="s">
        <v>27</v>
      </c>
      <c r="X12" s="44"/>
      <c r="Y12" s="44"/>
      <c r="Z12" s="44"/>
      <c r="AA12" s="44"/>
      <c r="AB12" s="44"/>
      <c r="AC12" s="42" t="s">
        <v>27</v>
      </c>
      <c r="AD12" s="42" t="s">
        <v>27</v>
      </c>
      <c r="AE12" s="44"/>
      <c r="AF12" s="46"/>
      <c r="AG12" s="48">
        <f t="shared" si="0"/>
        <v>8</v>
      </c>
      <c r="AH12" s="48">
        <f t="shared" si="1"/>
        <v>2</v>
      </c>
      <c r="AI12" s="48">
        <f t="shared" si="2"/>
        <v>133.33333333333331</v>
      </c>
      <c r="AJ12" s="51"/>
    </row>
    <row r="13" spans="1:36">
      <c r="A13" s="31" t="s">
        <v>56</v>
      </c>
      <c r="B13" s="54" t="s">
        <v>57</v>
      </c>
      <c r="C13" s="36">
        <v>54</v>
      </c>
      <c r="D13" s="36" t="s">
        <v>34</v>
      </c>
      <c r="E13" s="36">
        <v>913576921</v>
      </c>
      <c r="F13" s="42" t="s">
        <v>19</v>
      </c>
      <c r="G13" s="42" t="s">
        <v>19</v>
      </c>
      <c r="H13" s="42" t="s">
        <v>19</v>
      </c>
      <c r="I13" s="42" t="s">
        <v>19</v>
      </c>
      <c r="J13" s="42" t="s">
        <v>19</v>
      </c>
      <c r="K13" s="42" t="s">
        <v>19</v>
      </c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6"/>
      <c r="AG13" s="48">
        <f t="shared" si="0"/>
        <v>0</v>
      </c>
      <c r="AH13" s="48">
        <f t="shared" si="1"/>
        <v>6</v>
      </c>
      <c r="AI13" s="48">
        <f t="shared" si="2"/>
        <v>0</v>
      </c>
      <c r="AJ13" s="51"/>
    </row>
    <row r="14" spans="1:36">
      <c r="A14" s="31" t="s">
        <v>60</v>
      </c>
      <c r="B14" s="52" t="s">
        <v>61</v>
      </c>
      <c r="C14" s="49">
        <v>35</v>
      </c>
      <c r="D14" s="49" t="s">
        <v>34</v>
      </c>
      <c r="E14" s="49">
        <v>977096599</v>
      </c>
      <c r="F14" s="42" t="s">
        <v>19</v>
      </c>
      <c r="G14" s="42" t="s">
        <v>19</v>
      </c>
      <c r="H14" s="42" t="s">
        <v>19</v>
      </c>
      <c r="I14" s="42" t="s">
        <v>19</v>
      </c>
      <c r="J14" s="42" t="s">
        <v>19</v>
      </c>
      <c r="K14" s="42" t="s">
        <v>19</v>
      </c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6"/>
      <c r="AG14" s="48">
        <f t="shared" si="0"/>
        <v>0</v>
      </c>
      <c r="AH14" s="48">
        <f t="shared" si="1"/>
        <v>6</v>
      </c>
      <c r="AI14" s="48">
        <f t="shared" si="2"/>
        <v>0</v>
      </c>
      <c r="AJ14" s="51"/>
    </row>
    <row r="15" spans="1:36">
      <c r="A15" s="31" t="s">
        <v>62</v>
      </c>
      <c r="B15" s="54" t="s">
        <v>63</v>
      </c>
      <c r="C15" s="36">
        <v>5</v>
      </c>
      <c r="D15" s="36" t="s">
        <v>23</v>
      </c>
      <c r="E15" s="36">
        <v>941989870</v>
      </c>
      <c r="F15" s="42" t="s">
        <v>19</v>
      </c>
      <c r="G15" s="42" t="s">
        <v>19</v>
      </c>
      <c r="H15" s="42" t="s">
        <v>19</v>
      </c>
      <c r="I15" s="42" t="s">
        <v>19</v>
      </c>
      <c r="J15" s="42" t="s">
        <v>19</v>
      </c>
      <c r="K15" s="42" t="s">
        <v>19</v>
      </c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6"/>
      <c r="AG15" s="48">
        <f t="shared" si="0"/>
        <v>0</v>
      </c>
      <c r="AH15" s="48">
        <f t="shared" si="1"/>
        <v>6</v>
      </c>
      <c r="AI15" s="48">
        <f t="shared" si="2"/>
        <v>0</v>
      </c>
      <c r="AJ15" s="51"/>
    </row>
    <row r="16" spans="1:36">
      <c r="A16" s="31" t="s">
        <v>66</v>
      </c>
      <c r="B16" s="54" t="s">
        <v>67</v>
      </c>
      <c r="C16" s="36">
        <v>18</v>
      </c>
      <c r="D16" s="36" t="s">
        <v>23</v>
      </c>
      <c r="E16" s="36">
        <v>986204381</v>
      </c>
      <c r="F16" s="42" t="s">
        <v>27</v>
      </c>
      <c r="G16" s="42" t="s">
        <v>27</v>
      </c>
      <c r="H16" s="42" t="s">
        <v>27</v>
      </c>
      <c r="I16" s="42" t="s">
        <v>19</v>
      </c>
      <c r="J16" s="42" t="s">
        <v>19</v>
      </c>
      <c r="K16" s="42" t="s">
        <v>19</v>
      </c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6"/>
      <c r="AG16" s="48">
        <f t="shared" si="0"/>
        <v>3</v>
      </c>
      <c r="AH16" s="48">
        <f t="shared" si="1"/>
        <v>3</v>
      </c>
      <c r="AI16" s="48">
        <f t="shared" si="2"/>
        <v>50</v>
      </c>
      <c r="AJ16" s="51"/>
    </row>
    <row r="17" spans="1:36">
      <c r="A17" s="31" t="s">
        <v>70</v>
      </c>
      <c r="B17" s="54" t="s">
        <v>71</v>
      </c>
      <c r="C17" s="36">
        <v>24</v>
      </c>
      <c r="D17" s="36" t="s">
        <v>34</v>
      </c>
      <c r="E17" s="36">
        <v>965401984</v>
      </c>
      <c r="F17" s="42" t="s">
        <v>19</v>
      </c>
      <c r="G17" s="42" t="s">
        <v>19</v>
      </c>
      <c r="H17" s="42" t="s">
        <v>19</v>
      </c>
      <c r="I17" s="42" t="s">
        <v>19</v>
      </c>
      <c r="J17" s="42" t="s">
        <v>19</v>
      </c>
      <c r="K17" s="42" t="s">
        <v>19</v>
      </c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6"/>
      <c r="AG17" s="48">
        <f t="shared" si="0"/>
        <v>0</v>
      </c>
      <c r="AH17" s="48">
        <f t="shared" si="1"/>
        <v>6</v>
      </c>
      <c r="AI17" s="48">
        <f t="shared" si="2"/>
        <v>0</v>
      </c>
      <c r="AJ17" s="51"/>
    </row>
    <row r="18" spans="1:36">
      <c r="A18" s="31" t="s">
        <v>72</v>
      </c>
      <c r="B18" s="52" t="s">
        <v>73</v>
      </c>
      <c r="C18" s="49">
        <v>30</v>
      </c>
      <c r="D18" s="49" t="s">
        <v>34</v>
      </c>
      <c r="E18" s="49">
        <v>927690660</v>
      </c>
      <c r="F18" s="42" t="s">
        <v>19</v>
      </c>
      <c r="G18" s="42" t="s">
        <v>19</v>
      </c>
      <c r="H18" s="42" t="s">
        <v>19</v>
      </c>
      <c r="I18" s="42" t="s">
        <v>19</v>
      </c>
      <c r="J18" s="42" t="s">
        <v>19</v>
      </c>
      <c r="K18" s="42" t="s">
        <v>19</v>
      </c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6"/>
      <c r="AG18" s="48">
        <f t="shared" si="0"/>
        <v>0</v>
      </c>
      <c r="AH18" s="48">
        <f t="shared" si="1"/>
        <v>6</v>
      </c>
      <c r="AI18" s="48">
        <f t="shared" si="2"/>
        <v>0</v>
      </c>
      <c r="AJ18" s="51"/>
    </row>
    <row r="19" spans="1:36">
      <c r="A19" s="31" t="s">
        <v>76</v>
      </c>
      <c r="B19" s="54" t="s">
        <v>77</v>
      </c>
      <c r="C19" s="36">
        <v>36</v>
      </c>
      <c r="D19" s="36" t="s">
        <v>34</v>
      </c>
      <c r="E19" s="36">
        <v>911399021</v>
      </c>
      <c r="F19" s="42" t="s">
        <v>19</v>
      </c>
      <c r="G19" s="42" t="s">
        <v>19</v>
      </c>
      <c r="H19" s="42" t="s">
        <v>19</v>
      </c>
      <c r="I19" s="42" t="s">
        <v>19</v>
      </c>
      <c r="J19" s="42" t="s">
        <v>19</v>
      </c>
      <c r="K19" s="42" t="s">
        <v>19</v>
      </c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6"/>
      <c r="AG19" s="48">
        <f t="shared" si="0"/>
        <v>0</v>
      </c>
      <c r="AH19" s="48">
        <f t="shared" si="1"/>
        <v>6</v>
      </c>
      <c r="AI19" s="48">
        <f t="shared" si="2"/>
        <v>0</v>
      </c>
      <c r="AJ19" s="51"/>
    </row>
    <row r="20" spans="1:36">
      <c r="A20" s="31" t="s">
        <v>78</v>
      </c>
      <c r="B20" s="52" t="s">
        <v>79</v>
      </c>
      <c r="C20" s="49">
        <v>19</v>
      </c>
      <c r="D20" s="49" t="s">
        <v>34</v>
      </c>
      <c r="E20" s="49">
        <v>949452514</v>
      </c>
      <c r="F20" s="42" t="s">
        <v>19</v>
      </c>
      <c r="G20" s="42" t="s">
        <v>19</v>
      </c>
      <c r="H20" s="42" t="s">
        <v>19</v>
      </c>
      <c r="I20" s="42" t="s">
        <v>19</v>
      </c>
      <c r="J20" s="42" t="s">
        <v>19</v>
      </c>
      <c r="K20" s="42" t="s">
        <v>19</v>
      </c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6"/>
      <c r="AG20" s="48">
        <f t="shared" si="0"/>
        <v>0</v>
      </c>
      <c r="AH20" s="48">
        <f t="shared" si="1"/>
        <v>6</v>
      </c>
      <c r="AI20" s="48">
        <f t="shared" si="2"/>
        <v>0</v>
      </c>
      <c r="AJ20" s="51"/>
    </row>
    <row r="21" spans="1:36">
      <c r="A21" s="31" t="s">
        <v>82</v>
      </c>
      <c r="B21" s="54" t="s">
        <v>83</v>
      </c>
      <c r="C21" s="36">
        <v>25</v>
      </c>
      <c r="D21" s="36" t="s">
        <v>34</v>
      </c>
      <c r="E21" s="36">
        <v>951088921</v>
      </c>
      <c r="F21" s="42" t="s">
        <v>19</v>
      </c>
      <c r="G21" s="42" t="s">
        <v>19</v>
      </c>
      <c r="H21" s="42" t="s">
        <v>19</v>
      </c>
      <c r="I21" s="42" t="s">
        <v>19</v>
      </c>
      <c r="J21" s="42" t="s">
        <v>19</v>
      </c>
      <c r="K21" s="42" t="s">
        <v>19</v>
      </c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6"/>
      <c r="AG21" s="48">
        <f t="shared" si="0"/>
        <v>0</v>
      </c>
      <c r="AH21" s="48">
        <f t="shared" si="1"/>
        <v>6</v>
      </c>
      <c r="AI21" s="48">
        <f t="shared" si="2"/>
        <v>0</v>
      </c>
      <c r="AJ21" s="51"/>
    </row>
    <row r="22" spans="1:36">
      <c r="A22" s="31" t="s">
        <v>85</v>
      </c>
      <c r="B22" s="52" t="s">
        <v>87</v>
      </c>
      <c r="C22" s="49">
        <v>20</v>
      </c>
      <c r="D22" s="49" t="s">
        <v>34</v>
      </c>
      <c r="E22" s="49">
        <v>94031387</v>
      </c>
      <c r="F22" s="42" t="s">
        <v>19</v>
      </c>
      <c r="G22" s="42" t="s">
        <v>19</v>
      </c>
      <c r="H22" s="42" t="s">
        <v>19</v>
      </c>
      <c r="I22" s="42" t="s">
        <v>19</v>
      </c>
      <c r="J22" s="42" t="s">
        <v>19</v>
      </c>
      <c r="K22" s="42" t="s">
        <v>19</v>
      </c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6"/>
      <c r="AG22" s="48">
        <f t="shared" si="0"/>
        <v>0</v>
      </c>
      <c r="AH22" s="48">
        <f t="shared" si="1"/>
        <v>6</v>
      </c>
      <c r="AI22" s="48">
        <f t="shared" si="2"/>
        <v>0</v>
      </c>
      <c r="AJ22" s="51"/>
    </row>
    <row r="23" spans="1:36">
      <c r="A23" s="31" t="s">
        <v>88</v>
      </c>
      <c r="B23" s="52" t="s">
        <v>89</v>
      </c>
      <c r="C23" s="49">
        <v>20</v>
      </c>
      <c r="D23" s="49" t="s">
        <v>34</v>
      </c>
      <c r="E23" s="49">
        <v>901024888</v>
      </c>
      <c r="F23" s="42" t="s">
        <v>19</v>
      </c>
      <c r="G23" s="42" t="s">
        <v>19</v>
      </c>
      <c r="H23" s="42" t="s">
        <v>19</v>
      </c>
      <c r="I23" s="42" t="s">
        <v>19</v>
      </c>
      <c r="J23" s="42" t="s">
        <v>19</v>
      </c>
      <c r="K23" s="42" t="s">
        <v>19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6"/>
      <c r="AG23" s="48">
        <f t="shared" si="0"/>
        <v>0</v>
      </c>
      <c r="AH23" s="48">
        <f t="shared" si="1"/>
        <v>6</v>
      </c>
      <c r="AI23" s="48">
        <f t="shared" si="2"/>
        <v>0</v>
      </c>
      <c r="AJ23" s="51"/>
    </row>
    <row r="24" spans="1:36">
      <c r="A24" s="31" t="s">
        <v>92</v>
      </c>
      <c r="B24" s="52" t="s">
        <v>93</v>
      </c>
      <c r="C24" s="49">
        <v>33</v>
      </c>
      <c r="D24" s="49" t="s">
        <v>23</v>
      </c>
      <c r="E24" s="49">
        <v>985031306</v>
      </c>
      <c r="F24" s="42" t="s">
        <v>19</v>
      </c>
      <c r="G24" s="42" t="s">
        <v>19</v>
      </c>
      <c r="H24" s="42" t="s">
        <v>19</v>
      </c>
      <c r="I24" s="42" t="s">
        <v>19</v>
      </c>
      <c r="J24" s="42" t="s">
        <v>19</v>
      </c>
      <c r="K24" s="42" t="s">
        <v>19</v>
      </c>
      <c r="L24" s="42" t="s">
        <v>27</v>
      </c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6"/>
      <c r="AG24" s="48">
        <f t="shared" si="0"/>
        <v>1</v>
      </c>
      <c r="AH24" s="48">
        <f t="shared" si="1"/>
        <v>6</v>
      </c>
      <c r="AI24" s="48">
        <f t="shared" si="2"/>
        <v>16.666666666666664</v>
      </c>
      <c r="AJ24" s="51"/>
    </row>
    <row r="25" spans="1:36">
      <c r="A25" s="31" t="s">
        <v>94</v>
      </c>
      <c r="B25" s="52" t="s">
        <v>95</v>
      </c>
      <c r="C25" s="49">
        <v>21</v>
      </c>
      <c r="D25" s="49" t="s">
        <v>34</v>
      </c>
      <c r="E25" s="49">
        <v>988149779</v>
      </c>
      <c r="F25" s="42" t="s">
        <v>19</v>
      </c>
      <c r="G25" s="42" t="s">
        <v>19</v>
      </c>
      <c r="H25" s="42" t="s">
        <v>19</v>
      </c>
      <c r="I25" s="42" t="s">
        <v>19</v>
      </c>
      <c r="J25" s="42" t="s">
        <v>19</v>
      </c>
      <c r="K25" s="42" t="s">
        <v>19</v>
      </c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6"/>
      <c r="AG25" s="48">
        <f t="shared" si="0"/>
        <v>0</v>
      </c>
      <c r="AH25" s="48">
        <f t="shared" si="1"/>
        <v>6</v>
      </c>
      <c r="AI25" s="48">
        <f t="shared" si="2"/>
        <v>0</v>
      </c>
      <c r="AJ25" s="51"/>
    </row>
    <row r="26" spans="1:36">
      <c r="A26" s="31" t="s">
        <v>96</v>
      </c>
      <c r="B26" s="52" t="s">
        <v>97</v>
      </c>
      <c r="C26" s="49">
        <v>26</v>
      </c>
      <c r="D26" s="49" t="s">
        <v>34</v>
      </c>
      <c r="E26" s="49">
        <v>932313764</v>
      </c>
      <c r="F26" s="42" t="s">
        <v>19</v>
      </c>
      <c r="G26" s="42" t="s">
        <v>19</v>
      </c>
      <c r="H26" s="42" t="s">
        <v>19</v>
      </c>
      <c r="I26" s="42" t="s">
        <v>19</v>
      </c>
      <c r="J26" s="42" t="s">
        <v>19</v>
      </c>
      <c r="K26" s="42" t="s">
        <v>19</v>
      </c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6"/>
      <c r="AG26" s="48">
        <f t="shared" si="0"/>
        <v>0</v>
      </c>
      <c r="AH26" s="48">
        <f t="shared" si="1"/>
        <v>6</v>
      </c>
      <c r="AI26" s="48">
        <f t="shared" si="2"/>
        <v>0</v>
      </c>
      <c r="AJ26" s="51"/>
    </row>
    <row r="27" spans="1:36">
      <c r="A27" s="31" t="s">
        <v>100</v>
      </c>
      <c r="B27" s="52" t="s">
        <v>101</v>
      </c>
      <c r="C27" s="49">
        <v>26</v>
      </c>
      <c r="D27" s="49" t="s">
        <v>34</v>
      </c>
      <c r="E27" s="49">
        <v>924590992</v>
      </c>
      <c r="F27" s="42" t="s">
        <v>19</v>
      </c>
      <c r="G27" s="42" t="s">
        <v>19</v>
      </c>
      <c r="H27" s="42" t="s">
        <v>19</v>
      </c>
      <c r="I27" s="42" t="s">
        <v>19</v>
      </c>
      <c r="J27" s="42" t="s">
        <v>19</v>
      </c>
      <c r="K27" s="42" t="s">
        <v>19</v>
      </c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6"/>
      <c r="AG27" s="48">
        <f t="shared" si="0"/>
        <v>0</v>
      </c>
      <c r="AH27" s="48">
        <f t="shared" si="1"/>
        <v>6</v>
      </c>
      <c r="AI27" s="48">
        <f t="shared" si="2"/>
        <v>0</v>
      </c>
      <c r="AJ27" s="51"/>
    </row>
    <row r="28" spans="1:36">
      <c r="A28" s="31" t="s">
        <v>102</v>
      </c>
      <c r="B28" s="54" t="s">
        <v>103</v>
      </c>
      <c r="C28" s="36">
        <v>33</v>
      </c>
      <c r="D28" s="36" t="s">
        <v>34</v>
      </c>
      <c r="E28" s="36">
        <v>920955446</v>
      </c>
      <c r="F28" s="42" t="s">
        <v>19</v>
      </c>
      <c r="G28" s="42" t="s">
        <v>19</v>
      </c>
      <c r="H28" s="42" t="s">
        <v>19</v>
      </c>
      <c r="I28" s="42" t="s">
        <v>19</v>
      </c>
      <c r="J28" s="42" t="s">
        <v>19</v>
      </c>
      <c r="K28" s="42" t="s">
        <v>19</v>
      </c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6"/>
      <c r="AG28" s="48">
        <f t="shared" si="0"/>
        <v>0</v>
      </c>
      <c r="AH28" s="48">
        <f t="shared" si="1"/>
        <v>6</v>
      </c>
      <c r="AI28" s="48">
        <f t="shared" si="2"/>
        <v>0</v>
      </c>
      <c r="AJ28" s="51"/>
    </row>
    <row r="29" spans="1:36">
      <c r="A29" s="31" t="s">
        <v>106</v>
      </c>
      <c r="B29" s="52" t="s">
        <v>107</v>
      </c>
      <c r="C29" s="49">
        <v>25</v>
      </c>
      <c r="D29" s="49" t="s">
        <v>34</v>
      </c>
      <c r="E29" s="49">
        <v>941454064</v>
      </c>
      <c r="F29" s="42" t="s">
        <v>19</v>
      </c>
      <c r="G29" s="42" t="s">
        <v>19</v>
      </c>
      <c r="H29" s="42" t="s">
        <v>19</v>
      </c>
      <c r="I29" s="42" t="s">
        <v>19</v>
      </c>
      <c r="J29" s="42" t="s">
        <v>19</v>
      </c>
      <c r="K29" s="42" t="s">
        <v>19</v>
      </c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6"/>
      <c r="AG29" s="48">
        <f t="shared" si="0"/>
        <v>0</v>
      </c>
      <c r="AH29" s="48">
        <f t="shared" si="1"/>
        <v>6</v>
      </c>
      <c r="AI29" s="48">
        <f t="shared" si="2"/>
        <v>0</v>
      </c>
      <c r="AJ29" s="51"/>
    </row>
    <row r="30" spans="1:36">
      <c r="A30" s="31" t="s">
        <v>110</v>
      </c>
      <c r="B30" s="54" t="s">
        <v>111</v>
      </c>
      <c r="C30" s="36">
        <v>26</v>
      </c>
      <c r="D30" s="36" t="s">
        <v>34</v>
      </c>
      <c r="E30" s="36">
        <v>953465341</v>
      </c>
      <c r="F30" s="42" t="s">
        <v>19</v>
      </c>
      <c r="G30" s="42" t="s">
        <v>19</v>
      </c>
      <c r="H30" s="42" t="s">
        <v>27</v>
      </c>
      <c r="I30" s="42" t="s">
        <v>27</v>
      </c>
      <c r="J30" s="42" t="s">
        <v>27</v>
      </c>
      <c r="K30" s="42" t="s">
        <v>27</v>
      </c>
      <c r="L30" s="42" t="s">
        <v>27</v>
      </c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6"/>
      <c r="AG30" s="48">
        <f t="shared" si="0"/>
        <v>5</v>
      </c>
      <c r="AH30" s="48">
        <f t="shared" si="1"/>
        <v>2</v>
      </c>
      <c r="AI30" s="48">
        <f t="shared" si="2"/>
        <v>83.333333333333343</v>
      </c>
      <c r="AJ30" s="51"/>
    </row>
    <row r="31" spans="1:36">
      <c r="A31" s="31" t="s">
        <v>115</v>
      </c>
      <c r="B31" s="52" t="s">
        <v>116</v>
      </c>
      <c r="C31" s="49">
        <v>23</v>
      </c>
      <c r="D31" s="49" t="s">
        <v>34</v>
      </c>
      <c r="E31" s="49">
        <v>934237757</v>
      </c>
      <c r="F31" s="42" t="s">
        <v>19</v>
      </c>
      <c r="G31" s="42" t="s">
        <v>19</v>
      </c>
      <c r="H31" s="42" t="s">
        <v>19</v>
      </c>
      <c r="I31" s="42" t="s">
        <v>19</v>
      </c>
      <c r="J31" s="42" t="s">
        <v>19</v>
      </c>
      <c r="K31" s="42" t="s">
        <v>19</v>
      </c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6"/>
      <c r="AG31" s="48">
        <f t="shared" si="0"/>
        <v>0</v>
      </c>
      <c r="AH31" s="48">
        <f t="shared" si="1"/>
        <v>6</v>
      </c>
      <c r="AI31" s="48">
        <f t="shared" si="2"/>
        <v>0</v>
      </c>
      <c r="AJ31" s="51"/>
    </row>
    <row r="32" spans="1:36">
      <c r="A32" s="31" t="s">
        <v>117</v>
      </c>
      <c r="B32" s="52" t="s">
        <v>118</v>
      </c>
      <c r="C32" s="49">
        <v>24</v>
      </c>
      <c r="D32" s="49" t="s">
        <v>34</v>
      </c>
      <c r="E32" s="49">
        <v>947974914</v>
      </c>
      <c r="F32" s="42" t="s">
        <v>19</v>
      </c>
      <c r="G32" s="42" t="s">
        <v>19</v>
      </c>
      <c r="H32" s="42" t="s">
        <v>19</v>
      </c>
      <c r="I32" s="42" t="s">
        <v>19</v>
      </c>
      <c r="J32" s="42" t="s">
        <v>19</v>
      </c>
      <c r="K32" s="42" t="s">
        <v>19</v>
      </c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6"/>
      <c r="AG32" s="48">
        <f t="shared" si="0"/>
        <v>0</v>
      </c>
      <c r="AH32" s="48">
        <f t="shared" si="1"/>
        <v>6</v>
      </c>
      <c r="AI32" s="48">
        <f t="shared" si="2"/>
        <v>0</v>
      </c>
      <c r="AJ32" s="51"/>
    </row>
    <row r="33" spans="1:36">
      <c r="A33" s="31" t="s">
        <v>121</v>
      </c>
      <c r="B33" s="54" t="s">
        <v>122</v>
      </c>
      <c r="C33" s="36">
        <v>26</v>
      </c>
      <c r="D33" s="36" t="s">
        <v>23</v>
      </c>
      <c r="E33" s="36">
        <v>931292914</v>
      </c>
      <c r="F33" s="42" t="s">
        <v>19</v>
      </c>
      <c r="G33" s="42" t="s">
        <v>19</v>
      </c>
      <c r="H33" s="42" t="s">
        <v>27</v>
      </c>
      <c r="I33" s="42" t="s">
        <v>19</v>
      </c>
      <c r="J33" s="42" t="s">
        <v>19</v>
      </c>
      <c r="K33" s="42" t="s">
        <v>19</v>
      </c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6"/>
      <c r="AG33" s="48">
        <f t="shared" si="0"/>
        <v>1</v>
      </c>
      <c r="AH33" s="48">
        <f t="shared" si="1"/>
        <v>5</v>
      </c>
      <c r="AI33" s="48">
        <f t="shared" si="2"/>
        <v>16.666666666666664</v>
      </c>
      <c r="AJ33" s="51"/>
    </row>
    <row r="34" spans="1:36" ht="13.8">
      <c r="A34" s="31" t="s">
        <v>123</v>
      </c>
      <c r="B34" s="52" t="s">
        <v>122</v>
      </c>
      <c r="C34" s="49">
        <v>26</v>
      </c>
      <c r="D34" s="49" t="s">
        <v>23</v>
      </c>
      <c r="E34" s="49">
        <v>931292917</v>
      </c>
      <c r="F34" s="42" t="s">
        <v>19</v>
      </c>
      <c r="G34" s="42" t="s">
        <v>19</v>
      </c>
      <c r="H34" s="42" t="s">
        <v>19</v>
      </c>
      <c r="I34" s="42" t="s">
        <v>19</v>
      </c>
      <c r="J34" s="42" t="s">
        <v>19</v>
      </c>
      <c r="K34" s="42" t="s">
        <v>19</v>
      </c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6"/>
      <c r="AG34" s="48">
        <f t="shared" si="0"/>
        <v>0</v>
      </c>
      <c r="AH34" s="48">
        <f t="shared" si="1"/>
        <v>6</v>
      </c>
      <c r="AI34" s="48">
        <f t="shared" si="2"/>
        <v>0</v>
      </c>
      <c r="AJ34" s="51"/>
    </row>
    <row r="35" spans="1:36" ht="13.8">
      <c r="A35" s="31" t="s">
        <v>127</v>
      </c>
      <c r="B35" s="54" t="s">
        <v>124</v>
      </c>
      <c r="C35" s="36">
        <v>22</v>
      </c>
      <c r="D35" s="36" t="s">
        <v>23</v>
      </c>
      <c r="E35" s="36">
        <v>940392480</v>
      </c>
      <c r="F35" s="42" t="s">
        <v>27</v>
      </c>
      <c r="G35" s="42" t="s">
        <v>27</v>
      </c>
      <c r="H35" s="42" t="s">
        <v>19</v>
      </c>
      <c r="I35" s="42" t="s">
        <v>27</v>
      </c>
      <c r="J35" s="42" t="s">
        <v>27</v>
      </c>
      <c r="K35" s="42" t="s">
        <v>27</v>
      </c>
      <c r="L35" s="42" t="s">
        <v>27</v>
      </c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2" t="s">
        <v>27</v>
      </c>
      <c r="X35" s="44"/>
      <c r="Y35" s="44"/>
      <c r="Z35" s="44"/>
      <c r="AA35" s="44"/>
      <c r="AB35" s="44"/>
      <c r="AC35" s="42" t="s">
        <v>27</v>
      </c>
      <c r="AD35" s="44"/>
      <c r="AE35" s="44"/>
      <c r="AF35" s="46"/>
      <c r="AG35" s="48">
        <f t="shared" si="0"/>
        <v>8</v>
      </c>
      <c r="AH35" s="48">
        <f t="shared" si="1"/>
        <v>1</v>
      </c>
      <c r="AI35" s="48">
        <f t="shared" si="2"/>
        <v>133.33333333333331</v>
      </c>
      <c r="AJ35" s="51"/>
    </row>
    <row r="36" spans="1:36" ht="13.8">
      <c r="A36" s="31" t="s">
        <v>131</v>
      </c>
      <c r="B36" s="54" t="s">
        <v>128</v>
      </c>
      <c r="C36" s="36">
        <v>21</v>
      </c>
      <c r="D36" s="36" t="s">
        <v>34</v>
      </c>
      <c r="E36" s="36">
        <v>938310626</v>
      </c>
      <c r="F36" s="42" t="s">
        <v>19</v>
      </c>
      <c r="G36" s="42" t="s">
        <v>19</v>
      </c>
      <c r="H36" s="42" t="s">
        <v>19</v>
      </c>
      <c r="I36" s="42" t="s">
        <v>19</v>
      </c>
      <c r="J36" s="42" t="s">
        <v>19</v>
      </c>
      <c r="K36" s="42" t="s">
        <v>19</v>
      </c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6"/>
      <c r="AG36" s="48">
        <f t="shared" si="0"/>
        <v>0</v>
      </c>
      <c r="AH36" s="48">
        <f t="shared" si="1"/>
        <v>6</v>
      </c>
      <c r="AI36" s="48">
        <f t="shared" si="2"/>
        <v>0</v>
      </c>
      <c r="AJ36" s="51"/>
    </row>
    <row r="37" spans="1:36" ht="13.8">
      <c r="A37" s="31" t="s">
        <v>133</v>
      </c>
      <c r="B37" s="52" t="s">
        <v>132</v>
      </c>
      <c r="C37" s="49">
        <v>26</v>
      </c>
      <c r="D37" s="49" t="s">
        <v>34</v>
      </c>
      <c r="E37" s="49">
        <v>967367457</v>
      </c>
      <c r="F37" s="42" t="s">
        <v>19</v>
      </c>
      <c r="G37" s="42" t="s">
        <v>27</v>
      </c>
      <c r="H37" s="42" t="s">
        <v>27</v>
      </c>
      <c r="I37" s="42" t="s">
        <v>27</v>
      </c>
      <c r="J37" s="42" t="s">
        <v>19</v>
      </c>
      <c r="K37" s="42" t="s">
        <v>19</v>
      </c>
      <c r="L37" s="42" t="s">
        <v>27</v>
      </c>
      <c r="M37" s="44"/>
      <c r="N37" s="44"/>
      <c r="O37" s="44"/>
      <c r="P37" s="44"/>
      <c r="Q37" s="44"/>
      <c r="R37" s="42" t="s">
        <v>27</v>
      </c>
      <c r="S37" s="44"/>
      <c r="T37" s="44"/>
      <c r="U37" s="44"/>
      <c r="V37" s="44"/>
      <c r="W37" s="44"/>
      <c r="X37" s="42" t="s">
        <v>27</v>
      </c>
      <c r="Y37" s="42" t="s">
        <v>27</v>
      </c>
      <c r="Z37" s="42" t="s">
        <v>27</v>
      </c>
      <c r="AA37" s="44"/>
      <c r="AB37" s="44"/>
      <c r="AC37" s="42" t="s">
        <v>27</v>
      </c>
      <c r="AD37" s="42" t="s">
        <v>27</v>
      </c>
      <c r="AE37" s="44"/>
      <c r="AF37" s="46"/>
      <c r="AG37" s="48">
        <f t="shared" si="0"/>
        <v>10</v>
      </c>
      <c r="AH37" s="48">
        <f t="shared" si="1"/>
        <v>3</v>
      </c>
      <c r="AI37" s="48">
        <f t="shared" si="2"/>
        <v>166.66666666666669</v>
      </c>
      <c r="AJ37" s="51"/>
    </row>
    <row r="38" spans="1:36" ht="13.8">
      <c r="A38" s="31" t="s">
        <v>137</v>
      </c>
      <c r="B38" s="54" t="s">
        <v>134</v>
      </c>
      <c r="C38" s="36">
        <v>32</v>
      </c>
      <c r="D38" s="36" t="s">
        <v>23</v>
      </c>
      <c r="E38" s="36">
        <v>940392157</v>
      </c>
      <c r="F38" s="42" t="s">
        <v>19</v>
      </c>
      <c r="G38" s="42" t="s">
        <v>19</v>
      </c>
      <c r="H38" s="42" t="s">
        <v>27</v>
      </c>
      <c r="I38" s="42" t="s">
        <v>27</v>
      </c>
      <c r="J38" s="42" t="s">
        <v>27</v>
      </c>
      <c r="K38" s="42" t="s">
        <v>27</v>
      </c>
      <c r="L38" s="42" t="s">
        <v>27</v>
      </c>
      <c r="M38" s="44"/>
      <c r="N38" s="42" t="s">
        <v>27</v>
      </c>
      <c r="O38" s="42" t="s">
        <v>27</v>
      </c>
      <c r="P38" s="44"/>
      <c r="Q38" s="42" t="s">
        <v>27</v>
      </c>
      <c r="R38" s="42" t="s">
        <v>27</v>
      </c>
      <c r="S38" s="42" t="s">
        <v>27</v>
      </c>
      <c r="T38" s="42" t="s">
        <v>27</v>
      </c>
      <c r="U38" s="44"/>
      <c r="V38" s="44"/>
      <c r="W38" s="42" t="s">
        <v>27</v>
      </c>
      <c r="X38" s="44"/>
      <c r="Y38" s="44"/>
      <c r="Z38" s="44"/>
      <c r="AA38" s="44"/>
      <c r="AB38" s="44"/>
      <c r="AC38" s="42" t="s">
        <v>27</v>
      </c>
      <c r="AD38" s="44"/>
      <c r="AE38" s="42" t="s">
        <v>27</v>
      </c>
      <c r="AF38" s="64" t="s">
        <v>27</v>
      </c>
      <c r="AG38" s="48">
        <f t="shared" si="0"/>
        <v>15</v>
      </c>
      <c r="AH38" s="48">
        <f t="shared" si="1"/>
        <v>2</v>
      </c>
      <c r="AI38" s="48">
        <f t="shared" si="2"/>
        <v>250</v>
      </c>
      <c r="AJ38" s="51"/>
    </row>
    <row r="39" spans="1:36" ht="13.8">
      <c r="A39" s="31" t="s">
        <v>141</v>
      </c>
      <c r="B39" s="54" t="s">
        <v>138</v>
      </c>
      <c r="C39" s="36">
        <v>26</v>
      </c>
      <c r="D39" s="36" t="s">
        <v>34</v>
      </c>
      <c r="E39" s="36">
        <v>995874407</v>
      </c>
      <c r="F39" s="42" t="s">
        <v>19</v>
      </c>
      <c r="G39" s="42" t="s">
        <v>19</v>
      </c>
      <c r="H39" s="42" t="s">
        <v>19</v>
      </c>
      <c r="I39" s="42" t="s">
        <v>19</v>
      </c>
      <c r="J39" s="42" t="s">
        <v>19</v>
      </c>
      <c r="K39" s="42" t="s">
        <v>19</v>
      </c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6"/>
      <c r="AG39" s="48">
        <f t="shared" si="0"/>
        <v>0</v>
      </c>
      <c r="AH39" s="48">
        <f t="shared" si="1"/>
        <v>6</v>
      </c>
      <c r="AI39" s="48">
        <f t="shared" si="2"/>
        <v>0</v>
      </c>
      <c r="AJ39" s="51"/>
    </row>
    <row r="40" spans="1:36" ht="13.8">
      <c r="A40" s="31" t="s">
        <v>145</v>
      </c>
      <c r="B40" s="52" t="s">
        <v>142</v>
      </c>
      <c r="C40" s="49">
        <v>29</v>
      </c>
      <c r="D40" s="49" t="s">
        <v>34</v>
      </c>
      <c r="E40" s="49">
        <v>922869827</v>
      </c>
      <c r="F40" s="42" t="s">
        <v>19</v>
      </c>
      <c r="G40" s="42" t="s">
        <v>19</v>
      </c>
      <c r="H40" s="42" t="s">
        <v>19</v>
      </c>
      <c r="I40" s="42" t="s">
        <v>19</v>
      </c>
      <c r="J40" s="42" t="s">
        <v>19</v>
      </c>
      <c r="K40" s="42" t="s">
        <v>19</v>
      </c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6"/>
      <c r="AG40" s="48">
        <f t="shared" si="0"/>
        <v>0</v>
      </c>
      <c r="AH40" s="48">
        <f t="shared" si="1"/>
        <v>6</v>
      </c>
      <c r="AI40" s="48">
        <f t="shared" si="2"/>
        <v>0</v>
      </c>
      <c r="AJ40" s="51"/>
    </row>
    <row r="41" spans="1:36" ht="13.8">
      <c r="A41" s="31" t="s">
        <v>147</v>
      </c>
      <c r="B41" s="52" t="s">
        <v>146</v>
      </c>
      <c r="C41" s="49">
        <v>28</v>
      </c>
      <c r="D41" s="49" t="s">
        <v>34</v>
      </c>
      <c r="E41" s="49">
        <v>910431840</v>
      </c>
      <c r="F41" s="42" t="s">
        <v>19</v>
      </c>
      <c r="G41" s="42" t="s">
        <v>19</v>
      </c>
      <c r="H41" s="42" t="s">
        <v>19</v>
      </c>
      <c r="I41" s="42" t="s">
        <v>19</v>
      </c>
      <c r="J41" s="42" t="s">
        <v>19</v>
      </c>
      <c r="K41" s="42" t="s">
        <v>19</v>
      </c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6"/>
      <c r="AG41" s="48">
        <f t="shared" si="0"/>
        <v>0</v>
      </c>
      <c r="AH41" s="48">
        <f t="shared" si="1"/>
        <v>6</v>
      </c>
      <c r="AI41" s="48">
        <f t="shared" si="2"/>
        <v>0</v>
      </c>
      <c r="AJ41" s="51"/>
    </row>
    <row r="42" spans="1:36" ht="13.8">
      <c r="A42" s="31" t="s">
        <v>151</v>
      </c>
      <c r="B42" s="54" t="s">
        <v>148</v>
      </c>
      <c r="C42" s="36">
        <v>19</v>
      </c>
      <c r="D42" s="36" t="s">
        <v>34</v>
      </c>
      <c r="E42" s="36">
        <v>983370569</v>
      </c>
      <c r="F42" s="42" t="s">
        <v>19</v>
      </c>
      <c r="G42" s="42" t="s">
        <v>19</v>
      </c>
      <c r="H42" s="42" t="s">
        <v>19</v>
      </c>
      <c r="I42" s="42" t="s">
        <v>27</v>
      </c>
      <c r="J42" s="42" t="s">
        <v>19</v>
      </c>
      <c r="K42" s="42" t="s">
        <v>19</v>
      </c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6"/>
      <c r="AG42" s="48">
        <f t="shared" si="0"/>
        <v>1</v>
      </c>
      <c r="AH42" s="48">
        <f t="shared" si="1"/>
        <v>5</v>
      </c>
      <c r="AI42" s="48">
        <f t="shared" si="2"/>
        <v>16.666666666666664</v>
      </c>
      <c r="AJ42" s="51"/>
    </row>
    <row r="43" spans="1:36" ht="13.8">
      <c r="A43" s="31" t="s">
        <v>155</v>
      </c>
      <c r="B43" s="54" t="s">
        <v>152</v>
      </c>
      <c r="C43" s="36">
        <v>26</v>
      </c>
      <c r="D43" s="36" t="s">
        <v>23</v>
      </c>
      <c r="E43" s="36">
        <v>955992240</v>
      </c>
      <c r="F43" s="42" t="s">
        <v>19</v>
      </c>
      <c r="G43" s="42" t="s">
        <v>19</v>
      </c>
      <c r="H43" s="42" t="s">
        <v>19</v>
      </c>
      <c r="I43" s="42" t="s">
        <v>19</v>
      </c>
      <c r="J43" s="42" t="s">
        <v>19</v>
      </c>
      <c r="K43" s="42" t="s">
        <v>19</v>
      </c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6"/>
      <c r="AG43" s="48">
        <f t="shared" si="0"/>
        <v>0</v>
      </c>
      <c r="AH43" s="48">
        <f t="shared" si="1"/>
        <v>6</v>
      </c>
      <c r="AI43" s="48">
        <f t="shared" si="2"/>
        <v>0</v>
      </c>
      <c r="AJ43" s="51"/>
    </row>
    <row r="44" spans="1:36" ht="13.8">
      <c r="A44" s="31" t="s">
        <v>157</v>
      </c>
      <c r="B44" s="52" t="s">
        <v>156</v>
      </c>
      <c r="C44" s="49">
        <v>34</v>
      </c>
      <c r="D44" s="49" t="s">
        <v>34</v>
      </c>
      <c r="E44" s="49">
        <v>967549699</v>
      </c>
      <c r="F44" s="42" t="s">
        <v>19</v>
      </c>
      <c r="G44" s="42" t="s">
        <v>19</v>
      </c>
      <c r="H44" s="42" t="s">
        <v>19</v>
      </c>
      <c r="I44" s="42" t="s">
        <v>19</v>
      </c>
      <c r="J44" s="42" t="s">
        <v>27</v>
      </c>
      <c r="K44" s="42" t="s">
        <v>27</v>
      </c>
      <c r="L44" s="42" t="s">
        <v>27</v>
      </c>
      <c r="M44" s="42" t="s">
        <v>27</v>
      </c>
      <c r="N44" s="42" t="s">
        <v>27</v>
      </c>
      <c r="O44" s="42" t="s">
        <v>27</v>
      </c>
      <c r="P44" s="42" t="s">
        <v>27</v>
      </c>
      <c r="Q44" s="42" t="s">
        <v>27</v>
      </c>
      <c r="R44" s="42" t="s">
        <v>27</v>
      </c>
      <c r="S44" s="42" t="s">
        <v>27</v>
      </c>
      <c r="T44" s="42" t="s">
        <v>27</v>
      </c>
      <c r="U44" s="44"/>
      <c r="V44" s="44"/>
      <c r="W44" s="44"/>
      <c r="X44" s="42" t="s">
        <v>27</v>
      </c>
      <c r="Y44" s="42" t="s">
        <v>27</v>
      </c>
      <c r="Z44" s="42" t="s">
        <v>27</v>
      </c>
      <c r="AA44" s="44"/>
      <c r="AB44" s="44"/>
      <c r="AC44" s="42" t="s">
        <v>27</v>
      </c>
      <c r="AD44" s="44"/>
      <c r="AE44" s="44"/>
      <c r="AF44" s="46"/>
      <c r="AG44" s="48">
        <f t="shared" si="0"/>
        <v>15</v>
      </c>
      <c r="AH44" s="48">
        <f t="shared" si="1"/>
        <v>4</v>
      </c>
      <c r="AI44" s="48">
        <f t="shared" si="2"/>
        <v>250</v>
      </c>
      <c r="AJ44" s="51"/>
    </row>
    <row r="45" spans="1:36" ht="13.8">
      <c r="A45" s="31" t="s">
        <v>161</v>
      </c>
      <c r="B45" s="54" t="s">
        <v>158</v>
      </c>
      <c r="C45" s="36">
        <v>30</v>
      </c>
      <c r="D45" s="36" t="s">
        <v>34</v>
      </c>
      <c r="E45" s="36">
        <v>989973556</v>
      </c>
      <c r="F45" s="42" t="s">
        <v>19</v>
      </c>
      <c r="G45" s="42" t="s">
        <v>19</v>
      </c>
      <c r="H45" s="42" t="s">
        <v>19</v>
      </c>
      <c r="I45" s="42" t="s">
        <v>19</v>
      </c>
      <c r="J45" s="42" t="s">
        <v>19</v>
      </c>
      <c r="K45" s="42" t="s">
        <v>19</v>
      </c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6"/>
      <c r="AG45" s="48">
        <f t="shared" si="0"/>
        <v>0</v>
      </c>
      <c r="AH45" s="48">
        <f t="shared" si="1"/>
        <v>6</v>
      </c>
      <c r="AI45" s="48">
        <f t="shared" si="2"/>
        <v>0</v>
      </c>
      <c r="AJ45" s="51"/>
    </row>
    <row r="46" spans="1:36" ht="13.8">
      <c r="A46" s="31" t="s">
        <v>163</v>
      </c>
      <c r="B46" s="52" t="s">
        <v>162</v>
      </c>
      <c r="C46" s="49">
        <v>25</v>
      </c>
      <c r="D46" s="49" t="s">
        <v>23</v>
      </c>
      <c r="E46" s="49">
        <v>940200314</v>
      </c>
      <c r="F46" s="42" t="s">
        <v>19</v>
      </c>
      <c r="G46" s="42" t="s">
        <v>19</v>
      </c>
      <c r="H46" s="42" t="s">
        <v>27</v>
      </c>
      <c r="I46" s="42" t="s">
        <v>27</v>
      </c>
      <c r="J46" s="42" t="s">
        <v>27</v>
      </c>
      <c r="K46" s="42" t="s">
        <v>27</v>
      </c>
      <c r="L46" s="42" t="s">
        <v>27</v>
      </c>
      <c r="M46" s="42" t="s">
        <v>27</v>
      </c>
      <c r="N46" s="42" t="s">
        <v>27</v>
      </c>
      <c r="O46" s="42" t="s">
        <v>27</v>
      </c>
      <c r="P46" s="42" t="s">
        <v>27</v>
      </c>
      <c r="Q46" s="42" t="s">
        <v>27</v>
      </c>
      <c r="R46" s="42" t="s">
        <v>27</v>
      </c>
      <c r="S46" s="42" t="s">
        <v>27</v>
      </c>
      <c r="T46" s="42" t="s">
        <v>27</v>
      </c>
      <c r="U46" s="44"/>
      <c r="V46" s="44"/>
      <c r="W46" s="42" t="s">
        <v>27</v>
      </c>
      <c r="X46" s="44"/>
      <c r="Y46" s="44"/>
      <c r="Z46" s="44"/>
      <c r="AA46" s="44"/>
      <c r="AB46" s="44"/>
      <c r="AC46" s="44"/>
      <c r="AD46" s="44"/>
      <c r="AE46" s="44"/>
      <c r="AF46" s="46"/>
      <c r="AG46" s="48">
        <f t="shared" si="0"/>
        <v>14</v>
      </c>
      <c r="AH46" s="48">
        <f t="shared" si="1"/>
        <v>2</v>
      </c>
      <c r="AI46" s="48">
        <f t="shared" si="2"/>
        <v>233.33333333333334</v>
      </c>
      <c r="AJ46" s="51"/>
    </row>
    <row r="47" spans="1:36" ht="13.8">
      <c r="A47" s="31" t="s">
        <v>167</v>
      </c>
      <c r="B47" s="54" t="s">
        <v>164</v>
      </c>
      <c r="C47" s="36">
        <v>26</v>
      </c>
      <c r="D47" s="36" t="s">
        <v>23</v>
      </c>
      <c r="E47" s="36">
        <v>965926849</v>
      </c>
      <c r="F47" s="42" t="s">
        <v>19</v>
      </c>
      <c r="G47" s="42" t="s">
        <v>19</v>
      </c>
      <c r="H47" s="42" t="s">
        <v>19</v>
      </c>
      <c r="I47" s="42" t="s">
        <v>19</v>
      </c>
      <c r="J47" s="42" t="s">
        <v>19</v>
      </c>
      <c r="K47" s="42" t="s">
        <v>19</v>
      </c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6"/>
      <c r="AG47" s="48">
        <f t="shared" si="0"/>
        <v>0</v>
      </c>
      <c r="AH47" s="48">
        <f t="shared" si="1"/>
        <v>6</v>
      </c>
      <c r="AI47" s="48">
        <f t="shared" si="2"/>
        <v>0</v>
      </c>
      <c r="AJ47" s="51"/>
    </row>
    <row r="48" spans="1:36" ht="13.8">
      <c r="A48" s="31" t="s">
        <v>169</v>
      </c>
      <c r="B48" s="52" t="s">
        <v>168</v>
      </c>
      <c r="C48" s="49">
        <v>25</v>
      </c>
      <c r="D48" s="49" t="s">
        <v>23</v>
      </c>
      <c r="E48" s="49">
        <v>955414484</v>
      </c>
      <c r="F48" s="42" t="s">
        <v>19</v>
      </c>
      <c r="G48" s="42" t="s">
        <v>19</v>
      </c>
      <c r="H48" s="42" t="s">
        <v>27</v>
      </c>
      <c r="I48" s="42" t="s">
        <v>19</v>
      </c>
      <c r="J48" s="42" t="s">
        <v>27</v>
      </c>
      <c r="K48" s="42" t="s">
        <v>19</v>
      </c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6"/>
      <c r="AG48" s="48">
        <f t="shared" si="0"/>
        <v>2</v>
      </c>
      <c r="AH48" s="48">
        <f t="shared" si="1"/>
        <v>4</v>
      </c>
      <c r="AI48" s="48">
        <f t="shared" si="2"/>
        <v>33.333333333333329</v>
      </c>
      <c r="AJ48" s="51"/>
    </row>
    <row r="49" spans="1:36" ht="13.8">
      <c r="A49" s="31" t="s">
        <v>173</v>
      </c>
      <c r="B49" s="54" t="s">
        <v>170</v>
      </c>
      <c r="C49" s="36">
        <v>27</v>
      </c>
      <c r="D49" s="36" t="s">
        <v>23</v>
      </c>
      <c r="E49" s="36">
        <v>927614806</v>
      </c>
      <c r="F49" s="42" t="s">
        <v>19</v>
      </c>
      <c r="G49" s="42" t="s">
        <v>19</v>
      </c>
      <c r="H49" s="42" t="s">
        <v>19</v>
      </c>
      <c r="I49" s="42" t="s">
        <v>19</v>
      </c>
      <c r="J49" s="42" t="s">
        <v>19</v>
      </c>
      <c r="K49" s="42" t="s">
        <v>19</v>
      </c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6"/>
      <c r="AG49" s="48">
        <f t="shared" si="0"/>
        <v>0</v>
      </c>
      <c r="AH49" s="48">
        <f t="shared" si="1"/>
        <v>6</v>
      </c>
      <c r="AI49" s="48">
        <f t="shared" si="2"/>
        <v>0</v>
      </c>
      <c r="AJ49" s="51"/>
    </row>
    <row r="50" spans="1:36" ht="13.8">
      <c r="A50" s="31" t="s">
        <v>175</v>
      </c>
      <c r="B50" s="52" t="s">
        <v>174</v>
      </c>
      <c r="C50" s="49">
        <v>24</v>
      </c>
      <c r="D50" s="49" t="s">
        <v>34</v>
      </c>
      <c r="E50" s="49">
        <v>924302598</v>
      </c>
      <c r="F50" s="42" t="s">
        <v>19</v>
      </c>
      <c r="G50" s="42" t="s">
        <v>19</v>
      </c>
      <c r="H50" s="42" t="s">
        <v>27</v>
      </c>
      <c r="I50" s="42" t="s">
        <v>19</v>
      </c>
      <c r="J50" s="42" t="s">
        <v>19</v>
      </c>
      <c r="K50" s="42" t="s">
        <v>27</v>
      </c>
      <c r="L50" s="42" t="s">
        <v>27</v>
      </c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2" t="s">
        <v>27</v>
      </c>
      <c r="Z50" s="44"/>
      <c r="AA50" s="44"/>
      <c r="AB50" s="44"/>
      <c r="AC50" s="42" t="s">
        <v>27</v>
      </c>
      <c r="AD50" s="44"/>
      <c r="AE50" s="44"/>
      <c r="AF50" s="46"/>
      <c r="AG50" s="48">
        <f t="shared" si="0"/>
        <v>5</v>
      </c>
      <c r="AH50" s="48">
        <f t="shared" si="1"/>
        <v>4</v>
      </c>
      <c r="AI50" s="48">
        <f t="shared" si="2"/>
        <v>83.333333333333343</v>
      </c>
      <c r="AJ50" s="51"/>
    </row>
    <row r="51" spans="1:36" ht="13.8">
      <c r="A51" s="31" t="s">
        <v>179</v>
      </c>
      <c r="B51" s="52" t="s">
        <v>176</v>
      </c>
      <c r="C51" s="49">
        <v>18</v>
      </c>
      <c r="D51" s="49" t="s">
        <v>23</v>
      </c>
      <c r="E51" s="49">
        <v>972267930</v>
      </c>
      <c r="F51" s="42" t="s">
        <v>19</v>
      </c>
      <c r="G51" s="42" t="s">
        <v>19</v>
      </c>
      <c r="H51" s="42" t="s">
        <v>19</v>
      </c>
      <c r="I51" s="42" t="s">
        <v>19</v>
      </c>
      <c r="J51" s="42" t="s">
        <v>19</v>
      </c>
      <c r="K51" s="42" t="s">
        <v>19</v>
      </c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6"/>
      <c r="AG51" s="48">
        <f t="shared" si="0"/>
        <v>0</v>
      </c>
      <c r="AH51" s="48">
        <f t="shared" si="1"/>
        <v>6</v>
      </c>
      <c r="AI51" s="48">
        <f t="shared" si="2"/>
        <v>0</v>
      </c>
      <c r="AJ51" s="51"/>
    </row>
    <row r="52" spans="1:36" ht="13.8">
      <c r="A52" s="31" t="s">
        <v>181</v>
      </c>
      <c r="B52" s="54" t="s">
        <v>180</v>
      </c>
      <c r="C52" s="36">
        <v>26</v>
      </c>
      <c r="D52" s="36" t="s">
        <v>23</v>
      </c>
      <c r="E52" s="36">
        <v>922568678</v>
      </c>
      <c r="F52" s="42" t="s">
        <v>19</v>
      </c>
      <c r="G52" s="42" t="s">
        <v>19</v>
      </c>
      <c r="H52" s="42" t="s">
        <v>19</v>
      </c>
      <c r="I52" s="42" t="s">
        <v>19</v>
      </c>
      <c r="J52" s="42" t="s">
        <v>19</v>
      </c>
      <c r="K52" s="42" t="s">
        <v>19</v>
      </c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6"/>
      <c r="AG52" s="48">
        <f t="shared" si="0"/>
        <v>0</v>
      </c>
      <c r="AH52" s="48">
        <f t="shared" si="1"/>
        <v>6</v>
      </c>
      <c r="AI52" s="48">
        <f t="shared" si="2"/>
        <v>0</v>
      </c>
      <c r="AJ52" s="51"/>
    </row>
    <row r="53" spans="1:36" ht="13.8">
      <c r="A53" s="31" t="s">
        <v>185</v>
      </c>
      <c r="B53" s="52" t="s">
        <v>182</v>
      </c>
      <c r="C53" s="49">
        <v>39</v>
      </c>
      <c r="D53" s="49" t="s">
        <v>23</v>
      </c>
      <c r="E53" s="49">
        <v>910907687</v>
      </c>
      <c r="F53" s="42" t="s">
        <v>19</v>
      </c>
      <c r="G53" s="42" t="s">
        <v>19</v>
      </c>
      <c r="H53" s="42" t="s">
        <v>19</v>
      </c>
      <c r="I53" s="42" t="s">
        <v>19</v>
      </c>
      <c r="J53" s="42" t="s">
        <v>19</v>
      </c>
      <c r="K53" s="42" t="s">
        <v>19</v>
      </c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6"/>
      <c r="AG53" s="48">
        <f t="shared" si="0"/>
        <v>0</v>
      </c>
      <c r="AH53" s="48">
        <f t="shared" si="1"/>
        <v>6</v>
      </c>
      <c r="AI53" s="48">
        <f t="shared" si="2"/>
        <v>0</v>
      </c>
      <c r="AJ53" s="51"/>
    </row>
    <row r="54" spans="1:36" ht="13.8">
      <c r="A54" s="31" t="s">
        <v>187</v>
      </c>
      <c r="B54" s="54" t="s">
        <v>186</v>
      </c>
      <c r="C54" s="36">
        <v>39</v>
      </c>
      <c r="D54" s="36" t="s">
        <v>23</v>
      </c>
      <c r="E54" s="36">
        <v>913487374</v>
      </c>
      <c r="F54" s="42" t="s">
        <v>19</v>
      </c>
      <c r="G54" s="42" t="s">
        <v>19</v>
      </c>
      <c r="H54" s="42" t="s">
        <v>19</v>
      </c>
      <c r="I54" s="42" t="s">
        <v>19</v>
      </c>
      <c r="J54" s="42" t="s">
        <v>19</v>
      </c>
      <c r="K54" s="42" t="s">
        <v>19</v>
      </c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6"/>
      <c r="AG54" s="48">
        <f t="shared" si="0"/>
        <v>0</v>
      </c>
      <c r="AH54" s="48">
        <f t="shared" si="1"/>
        <v>6</v>
      </c>
      <c r="AI54" s="48">
        <f t="shared" si="2"/>
        <v>0</v>
      </c>
      <c r="AJ54" s="51"/>
    </row>
    <row r="55" spans="1:36" ht="13.8">
      <c r="A55" s="31" t="s">
        <v>191</v>
      </c>
      <c r="B55" s="52" t="s">
        <v>188</v>
      </c>
      <c r="C55" s="49">
        <v>28</v>
      </c>
      <c r="D55" s="49" t="s">
        <v>23</v>
      </c>
      <c r="E55" s="49">
        <v>945133013</v>
      </c>
      <c r="F55" s="42" t="s">
        <v>19</v>
      </c>
      <c r="G55" s="42" t="s">
        <v>27</v>
      </c>
      <c r="H55" s="42" t="s">
        <v>27</v>
      </c>
      <c r="I55" s="42" t="s">
        <v>27</v>
      </c>
      <c r="J55" s="42" t="s">
        <v>27</v>
      </c>
      <c r="K55" s="42" t="s">
        <v>27</v>
      </c>
      <c r="L55" s="42" t="s">
        <v>27</v>
      </c>
      <c r="M55" s="44"/>
      <c r="N55" s="42" t="s">
        <v>27</v>
      </c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6"/>
      <c r="AG55" s="48">
        <f t="shared" si="0"/>
        <v>7</v>
      </c>
      <c r="AH55" s="48">
        <f t="shared" si="1"/>
        <v>1</v>
      </c>
      <c r="AI55" s="48">
        <f t="shared" si="2"/>
        <v>116.66666666666667</v>
      </c>
      <c r="AJ55" s="51"/>
    </row>
    <row r="56" spans="1:36" ht="13.8">
      <c r="A56" s="31" t="s">
        <v>193</v>
      </c>
      <c r="B56" s="54" t="s">
        <v>192</v>
      </c>
      <c r="C56" s="36">
        <v>24</v>
      </c>
      <c r="D56" s="36" t="s">
        <v>34</v>
      </c>
      <c r="E56" s="36">
        <v>929140348</v>
      </c>
      <c r="F56" s="42" t="s">
        <v>27</v>
      </c>
      <c r="G56" s="42" t="s">
        <v>112</v>
      </c>
      <c r="H56" s="42" t="s">
        <v>27</v>
      </c>
      <c r="I56" s="42" t="s">
        <v>27</v>
      </c>
      <c r="J56" s="42" t="s">
        <v>19</v>
      </c>
      <c r="K56" s="42" t="s">
        <v>27</v>
      </c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6"/>
      <c r="AG56" s="48">
        <f t="shared" si="0"/>
        <v>4</v>
      </c>
      <c r="AH56" s="48">
        <f t="shared" si="1"/>
        <v>1</v>
      </c>
      <c r="AI56" s="48">
        <f t="shared" si="2"/>
        <v>66.666666666666657</v>
      </c>
      <c r="AJ56" s="51"/>
    </row>
    <row r="57" spans="1:36" ht="13.8">
      <c r="A57" s="31" t="s">
        <v>196</v>
      </c>
      <c r="B57" s="54" t="s">
        <v>194</v>
      </c>
      <c r="C57" s="36">
        <v>33</v>
      </c>
      <c r="D57" s="36" t="s">
        <v>23</v>
      </c>
      <c r="E57" s="36">
        <v>922749231</v>
      </c>
      <c r="F57" s="42" t="s">
        <v>19</v>
      </c>
      <c r="G57" s="42" t="s">
        <v>19</v>
      </c>
      <c r="H57" s="42" t="s">
        <v>19</v>
      </c>
      <c r="I57" s="42" t="s">
        <v>27</v>
      </c>
      <c r="J57" s="42" t="s">
        <v>27</v>
      </c>
      <c r="K57" s="42" t="s">
        <v>19</v>
      </c>
      <c r="L57" s="42" t="s">
        <v>27</v>
      </c>
      <c r="M57" s="42" t="s">
        <v>27</v>
      </c>
      <c r="N57" s="42" t="s">
        <v>27</v>
      </c>
      <c r="O57" s="44"/>
      <c r="P57" s="42" t="s">
        <v>27</v>
      </c>
      <c r="Q57" s="42" t="s">
        <v>27</v>
      </c>
      <c r="R57" s="44"/>
      <c r="S57" s="42" t="s">
        <v>27</v>
      </c>
      <c r="T57" s="42" t="s">
        <v>27</v>
      </c>
      <c r="U57" s="44"/>
      <c r="V57" s="44"/>
      <c r="W57" s="42" t="s">
        <v>27</v>
      </c>
      <c r="X57" s="44"/>
      <c r="Y57" s="42" t="s">
        <v>27</v>
      </c>
      <c r="Z57" s="44"/>
      <c r="AA57" s="44"/>
      <c r="AB57" s="44"/>
      <c r="AC57" s="42" t="s">
        <v>27</v>
      </c>
      <c r="AD57" s="44"/>
      <c r="AE57" s="44"/>
      <c r="AF57" s="46"/>
      <c r="AG57" s="48">
        <f t="shared" si="0"/>
        <v>12</v>
      </c>
      <c r="AH57" s="48">
        <f t="shared" si="1"/>
        <v>4</v>
      </c>
      <c r="AI57" s="48">
        <f t="shared" si="2"/>
        <v>200</v>
      </c>
      <c r="AJ57" s="51"/>
    </row>
    <row r="58" spans="1:36" ht="13.8">
      <c r="A58" s="31" t="s">
        <v>199</v>
      </c>
      <c r="B58" s="52" t="s">
        <v>197</v>
      </c>
      <c r="C58" s="49">
        <v>27</v>
      </c>
      <c r="D58" s="49" t="s">
        <v>34</v>
      </c>
      <c r="E58" s="49">
        <v>970411323</v>
      </c>
      <c r="F58" s="42" t="s">
        <v>19</v>
      </c>
      <c r="G58" s="42" t="s">
        <v>27</v>
      </c>
      <c r="H58" s="42" t="s">
        <v>27</v>
      </c>
      <c r="I58" s="42" t="s">
        <v>19</v>
      </c>
      <c r="J58" s="42" t="s">
        <v>19</v>
      </c>
      <c r="K58" s="42" t="s">
        <v>27</v>
      </c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6"/>
      <c r="AG58" s="48">
        <f t="shared" si="0"/>
        <v>3</v>
      </c>
      <c r="AH58" s="48">
        <f t="shared" si="1"/>
        <v>3</v>
      </c>
      <c r="AI58" s="48">
        <f t="shared" si="2"/>
        <v>50</v>
      </c>
      <c r="AJ58" s="51"/>
    </row>
    <row r="59" spans="1:36" ht="13.8">
      <c r="A59" s="31" t="s">
        <v>201</v>
      </c>
      <c r="B59" s="54" t="s">
        <v>200</v>
      </c>
      <c r="C59" s="36">
        <v>26</v>
      </c>
      <c r="D59" s="36" t="s">
        <v>34</v>
      </c>
      <c r="E59" s="36">
        <v>935328899</v>
      </c>
      <c r="F59" s="42" t="s">
        <v>27</v>
      </c>
      <c r="G59" s="42" t="s">
        <v>27</v>
      </c>
      <c r="H59" s="42" t="s">
        <v>19</v>
      </c>
      <c r="I59" s="42" t="s">
        <v>27</v>
      </c>
      <c r="J59" s="42" t="s">
        <v>19</v>
      </c>
      <c r="K59" s="42" t="s">
        <v>19</v>
      </c>
      <c r="L59" s="44"/>
      <c r="M59" s="42" t="s">
        <v>27</v>
      </c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6"/>
      <c r="AG59" s="48">
        <f t="shared" si="0"/>
        <v>4</v>
      </c>
      <c r="AH59" s="48">
        <f t="shared" si="1"/>
        <v>3</v>
      </c>
      <c r="AI59" s="48">
        <f t="shared" si="2"/>
        <v>66.666666666666657</v>
      </c>
      <c r="AJ59" s="51"/>
    </row>
    <row r="60" spans="1:36" ht="13.8">
      <c r="A60" s="31" t="s">
        <v>205</v>
      </c>
      <c r="B60" s="52" t="s">
        <v>202</v>
      </c>
      <c r="C60" s="49">
        <v>26</v>
      </c>
      <c r="D60" s="49" t="s">
        <v>34</v>
      </c>
      <c r="E60" s="49">
        <v>925984069</v>
      </c>
      <c r="F60" s="42" t="s">
        <v>19</v>
      </c>
      <c r="G60" s="42" t="s">
        <v>19</v>
      </c>
      <c r="H60" s="42" t="s">
        <v>19</v>
      </c>
      <c r="I60" s="42" t="s">
        <v>19</v>
      </c>
      <c r="J60" s="42" t="s">
        <v>27</v>
      </c>
      <c r="K60" s="42" t="s">
        <v>27</v>
      </c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6"/>
      <c r="AG60" s="48">
        <f t="shared" si="0"/>
        <v>2</v>
      </c>
      <c r="AH60" s="48">
        <f t="shared" si="1"/>
        <v>4</v>
      </c>
      <c r="AI60" s="48">
        <f t="shared" si="2"/>
        <v>33.333333333333329</v>
      </c>
      <c r="AJ60" s="51"/>
    </row>
    <row r="61" spans="1:36" ht="13.8">
      <c r="A61" s="31" t="s">
        <v>207</v>
      </c>
      <c r="B61" s="69" t="s">
        <v>206</v>
      </c>
      <c r="C61" s="70">
        <v>24</v>
      </c>
      <c r="D61" s="70" t="s">
        <v>34</v>
      </c>
      <c r="E61" s="70">
        <v>973802438</v>
      </c>
      <c r="F61" s="42" t="s">
        <v>19</v>
      </c>
      <c r="G61" s="42" t="s">
        <v>19</v>
      </c>
      <c r="H61" s="42" t="s">
        <v>19</v>
      </c>
      <c r="I61" s="42" t="s">
        <v>19</v>
      </c>
      <c r="J61" s="42" t="s">
        <v>19</v>
      </c>
      <c r="K61" s="42" t="s">
        <v>19</v>
      </c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6"/>
      <c r="AG61" s="48">
        <f t="shared" si="0"/>
        <v>0</v>
      </c>
      <c r="AH61" s="48">
        <f t="shared" si="1"/>
        <v>6</v>
      </c>
      <c r="AI61" s="48">
        <f t="shared" si="2"/>
        <v>0</v>
      </c>
      <c r="AJ61" s="51"/>
    </row>
    <row r="62" spans="1:36" ht="13.8">
      <c r="A62" s="31" t="s">
        <v>211</v>
      </c>
      <c r="B62" s="72" t="s">
        <v>208</v>
      </c>
      <c r="C62" s="73">
        <v>26</v>
      </c>
      <c r="D62" s="73" t="s">
        <v>34</v>
      </c>
      <c r="E62" s="73">
        <v>927729417</v>
      </c>
      <c r="F62" s="42" t="s">
        <v>19</v>
      </c>
      <c r="G62" s="42" t="s">
        <v>19</v>
      </c>
      <c r="H62" s="42" t="s">
        <v>27</v>
      </c>
      <c r="I62" s="42" t="s">
        <v>27</v>
      </c>
      <c r="J62" s="42" t="s">
        <v>27</v>
      </c>
      <c r="K62" s="42" t="s">
        <v>27</v>
      </c>
      <c r="L62" s="44"/>
      <c r="M62" s="42" t="s">
        <v>27</v>
      </c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2" t="s">
        <v>27</v>
      </c>
      <c r="Z62" s="44"/>
      <c r="AA62" s="44"/>
      <c r="AB62" s="44"/>
      <c r="AC62" s="42" t="s">
        <v>27</v>
      </c>
      <c r="AD62" s="44"/>
      <c r="AE62" s="44"/>
      <c r="AF62" s="46"/>
      <c r="AG62" s="48">
        <f t="shared" si="0"/>
        <v>7</v>
      </c>
      <c r="AH62" s="48">
        <f t="shared" si="1"/>
        <v>2</v>
      </c>
      <c r="AI62" s="48">
        <f t="shared" si="2"/>
        <v>116.66666666666667</v>
      </c>
      <c r="AJ62" s="51"/>
    </row>
    <row r="63" spans="1:36" ht="13.8">
      <c r="A63" s="31" t="s">
        <v>215</v>
      </c>
      <c r="B63" s="54" t="s">
        <v>212</v>
      </c>
      <c r="C63" s="36">
        <v>24</v>
      </c>
      <c r="D63" s="36" t="s">
        <v>23</v>
      </c>
      <c r="E63" s="36">
        <v>909044950</v>
      </c>
      <c r="F63" s="42" t="s">
        <v>27</v>
      </c>
      <c r="G63" s="42" t="s">
        <v>19</v>
      </c>
      <c r="H63" s="42" t="s">
        <v>27</v>
      </c>
      <c r="I63" s="42" t="s">
        <v>27</v>
      </c>
      <c r="J63" s="42" t="s">
        <v>27</v>
      </c>
      <c r="K63" s="42" t="s">
        <v>27</v>
      </c>
      <c r="L63" s="42" t="s">
        <v>27</v>
      </c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6"/>
      <c r="AG63" s="48">
        <f t="shared" si="0"/>
        <v>6</v>
      </c>
      <c r="AH63" s="48">
        <f t="shared" si="1"/>
        <v>1</v>
      </c>
      <c r="AI63" s="48">
        <f t="shared" si="2"/>
        <v>100</v>
      </c>
      <c r="AJ63" s="51"/>
    </row>
    <row r="64" spans="1:36" ht="13.8">
      <c r="A64" s="31" t="s">
        <v>217</v>
      </c>
      <c r="B64" s="52" t="s">
        <v>216</v>
      </c>
      <c r="C64" s="49">
        <v>30</v>
      </c>
      <c r="D64" s="49" t="s">
        <v>23</v>
      </c>
      <c r="E64" s="49">
        <v>904208923</v>
      </c>
      <c r="F64" s="42" t="s">
        <v>19</v>
      </c>
      <c r="G64" s="42" t="s">
        <v>19</v>
      </c>
      <c r="H64" s="42" t="s">
        <v>19</v>
      </c>
      <c r="I64" s="42" t="s">
        <v>19</v>
      </c>
      <c r="J64" s="42" t="s">
        <v>19</v>
      </c>
      <c r="K64" s="42" t="s">
        <v>19</v>
      </c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6"/>
      <c r="AG64" s="48">
        <f t="shared" si="0"/>
        <v>0</v>
      </c>
      <c r="AH64" s="48">
        <f t="shared" si="1"/>
        <v>6</v>
      </c>
      <c r="AI64" s="48">
        <f t="shared" si="2"/>
        <v>0</v>
      </c>
      <c r="AJ64" s="51"/>
    </row>
    <row r="65" spans="1:36" ht="13.8">
      <c r="A65" s="31" t="s">
        <v>221</v>
      </c>
      <c r="B65" s="54" t="s">
        <v>218</v>
      </c>
      <c r="C65" s="36">
        <v>24</v>
      </c>
      <c r="D65" s="36" t="s">
        <v>23</v>
      </c>
      <c r="E65" s="36">
        <v>927248518</v>
      </c>
      <c r="F65" s="42" t="s">
        <v>19</v>
      </c>
      <c r="G65" s="42" t="s">
        <v>19</v>
      </c>
      <c r="H65" s="42" t="s">
        <v>19</v>
      </c>
      <c r="I65" s="42" t="s">
        <v>19</v>
      </c>
      <c r="J65" s="42" t="s">
        <v>19</v>
      </c>
      <c r="K65" s="42" t="s">
        <v>19</v>
      </c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6"/>
      <c r="AG65" s="48">
        <f t="shared" si="0"/>
        <v>0</v>
      </c>
      <c r="AH65" s="48">
        <f t="shared" si="1"/>
        <v>6</v>
      </c>
      <c r="AI65" s="48">
        <f t="shared" si="2"/>
        <v>0</v>
      </c>
      <c r="AJ65" s="51"/>
    </row>
    <row r="66" spans="1:36" ht="13.8">
      <c r="A66" s="31" t="s">
        <v>223</v>
      </c>
      <c r="B66" s="52" t="s">
        <v>222</v>
      </c>
      <c r="C66" s="49">
        <v>19</v>
      </c>
      <c r="D66" s="49" t="s">
        <v>34</v>
      </c>
      <c r="E66" s="49">
        <v>977079580</v>
      </c>
      <c r="F66" s="42" t="s">
        <v>19</v>
      </c>
      <c r="G66" s="42" t="s">
        <v>19</v>
      </c>
      <c r="H66" s="42" t="s">
        <v>19</v>
      </c>
      <c r="I66" s="42" t="s">
        <v>19</v>
      </c>
      <c r="J66" s="42" t="s">
        <v>19</v>
      </c>
      <c r="K66" s="42" t="s">
        <v>19</v>
      </c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6"/>
      <c r="AG66" s="48">
        <f t="shared" si="0"/>
        <v>0</v>
      </c>
      <c r="AH66" s="48">
        <f t="shared" si="1"/>
        <v>6</v>
      </c>
      <c r="AI66" s="48">
        <f t="shared" si="2"/>
        <v>0</v>
      </c>
      <c r="AJ66" s="51"/>
    </row>
    <row r="67" spans="1:36" ht="13.8">
      <c r="A67" s="31" t="s">
        <v>227</v>
      </c>
      <c r="B67" s="54" t="s">
        <v>224</v>
      </c>
      <c r="C67" s="36">
        <v>32</v>
      </c>
      <c r="D67" s="36" t="s">
        <v>23</v>
      </c>
      <c r="E67" s="36">
        <v>961169412</v>
      </c>
      <c r="F67" s="42" t="s">
        <v>19</v>
      </c>
      <c r="G67" s="42" t="s">
        <v>19</v>
      </c>
      <c r="H67" s="42" t="s">
        <v>27</v>
      </c>
      <c r="I67" s="42" t="s">
        <v>27</v>
      </c>
      <c r="J67" s="42" t="s">
        <v>27</v>
      </c>
      <c r="K67" s="42" t="s">
        <v>27</v>
      </c>
      <c r="L67" s="42" t="s">
        <v>27</v>
      </c>
      <c r="M67" s="42" t="s">
        <v>27</v>
      </c>
      <c r="N67" s="44"/>
      <c r="O67" s="44"/>
      <c r="P67" s="44"/>
      <c r="Q67" s="44"/>
      <c r="R67" s="42" t="s">
        <v>27</v>
      </c>
      <c r="S67" s="42" t="s">
        <v>27</v>
      </c>
      <c r="T67" s="42" t="s">
        <v>27</v>
      </c>
      <c r="U67" s="44"/>
      <c r="V67" s="44"/>
      <c r="W67" s="44"/>
      <c r="X67" s="44"/>
      <c r="Y67" s="44"/>
      <c r="Z67" s="44"/>
      <c r="AA67" s="44"/>
      <c r="AB67" s="44"/>
      <c r="AC67" s="44"/>
      <c r="AD67" s="42" t="s">
        <v>27</v>
      </c>
      <c r="AE67" s="44"/>
      <c r="AF67" s="46"/>
      <c r="AG67" s="48">
        <f t="shared" si="0"/>
        <v>10</v>
      </c>
      <c r="AH67" s="48">
        <f t="shared" si="1"/>
        <v>2</v>
      </c>
      <c r="AI67" s="48">
        <f t="shared" si="2"/>
        <v>166.66666666666669</v>
      </c>
      <c r="AJ67" s="51"/>
    </row>
    <row r="68" spans="1:36" ht="13.8">
      <c r="A68" s="31" t="s">
        <v>229</v>
      </c>
      <c r="B68" s="54" t="s">
        <v>228</v>
      </c>
      <c r="C68" s="36">
        <v>30</v>
      </c>
      <c r="D68" s="36" t="s">
        <v>23</v>
      </c>
      <c r="E68" s="36">
        <v>943301657</v>
      </c>
      <c r="F68" s="42" t="s">
        <v>19</v>
      </c>
      <c r="G68" s="42" t="s">
        <v>19</v>
      </c>
      <c r="H68" s="42" t="s">
        <v>19</v>
      </c>
      <c r="I68" s="42" t="s">
        <v>19</v>
      </c>
      <c r="J68" s="42" t="s">
        <v>19</v>
      </c>
      <c r="K68" s="42" t="s">
        <v>19</v>
      </c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6"/>
      <c r="AG68" s="48">
        <f t="shared" si="0"/>
        <v>0</v>
      </c>
      <c r="AH68" s="48">
        <f t="shared" si="1"/>
        <v>6</v>
      </c>
      <c r="AI68" s="48">
        <f t="shared" si="2"/>
        <v>0</v>
      </c>
      <c r="AJ68" s="51"/>
    </row>
    <row r="69" spans="1:36" ht="13.8">
      <c r="A69" s="31" t="s">
        <v>231</v>
      </c>
      <c r="B69" s="52" t="s">
        <v>230</v>
      </c>
      <c r="C69" s="49">
        <v>21</v>
      </c>
      <c r="D69" s="49" t="s">
        <v>34</v>
      </c>
      <c r="E69" s="49">
        <v>970720000</v>
      </c>
      <c r="F69" s="42" t="s">
        <v>19</v>
      </c>
      <c r="G69" s="42" t="s">
        <v>19</v>
      </c>
      <c r="H69" s="42" t="s">
        <v>19</v>
      </c>
      <c r="I69" s="42" t="s">
        <v>19</v>
      </c>
      <c r="J69" s="42" t="s">
        <v>19</v>
      </c>
      <c r="K69" s="42" t="s">
        <v>19</v>
      </c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6"/>
      <c r="AG69" s="48">
        <f t="shared" si="0"/>
        <v>0</v>
      </c>
      <c r="AH69" s="48">
        <f t="shared" si="1"/>
        <v>6</v>
      </c>
      <c r="AI69" s="48">
        <f t="shared" si="2"/>
        <v>0</v>
      </c>
      <c r="AJ69" s="51"/>
    </row>
    <row r="70" spans="1:36" ht="13.8">
      <c r="A70" s="31" t="s">
        <v>235</v>
      </c>
      <c r="B70" s="54" t="s">
        <v>232</v>
      </c>
      <c r="C70" s="36">
        <v>26</v>
      </c>
      <c r="D70" s="36" t="s">
        <v>34</v>
      </c>
      <c r="E70" s="36">
        <v>936993424</v>
      </c>
      <c r="F70" s="42" t="s">
        <v>19</v>
      </c>
      <c r="G70" s="42" t="s">
        <v>27</v>
      </c>
      <c r="H70" s="42" t="s">
        <v>19</v>
      </c>
      <c r="I70" s="42" t="s">
        <v>19</v>
      </c>
      <c r="J70" s="42" t="s">
        <v>27</v>
      </c>
      <c r="K70" s="42" t="s">
        <v>27</v>
      </c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6"/>
      <c r="AG70" s="48">
        <f t="shared" si="0"/>
        <v>3</v>
      </c>
      <c r="AH70" s="48">
        <f t="shared" si="1"/>
        <v>3</v>
      </c>
      <c r="AI70" s="48">
        <f t="shared" si="2"/>
        <v>50</v>
      </c>
      <c r="AJ70" s="51"/>
    </row>
    <row r="71" spans="1:36" ht="13.8">
      <c r="A71" s="31" t="s">
        <v>237</v>
      </c>
      <c r="B71" s="54" t="s">
        <v>236</v>
      </c>
      <c r="C71" s="36">
        <v>31</v>
      </c>
      <c r="D71" s="36" t="s">
        <v>23</v>
      </c>
      <c r="E71" s="36">
        <v>923398200</v>
      </c>
      <c r="F71" s="42" t="s">
        <v>27</v>
      </c>
      <c r="G71" s="42" t="s">
        <v>27</v>
      </c>
      <c r="H71" s="42" t="s">
        <v>19</v>
      </c>
      <c r="I71" s="42" t="s">
        <v>19</v>
      </c>
      <c r="J71" s="42" t="s">
        <v>19</v>
      </c>
      <c r="K71" s="42" t="s">
        <v>19</v>
      </c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6"/>
      <c r="AG71" s="48">
        <f t="shared" si="0"/>
        <v>2</v>
      </c>
      <c r="AH71" s="48">
        <f t="shared" si="1"/>
        <v>4</v>
      </c>
      <c r="AI71" s="48">
        <f t="shared" si="2"/>
        <v>33.333333333333329</v>
      </c>
      <c r="AJ71" s="51"/>
    </row>
    <row r="72" spans="1:36" ht="13.8">
      <c r="A72" s="31" t="s">
        <v>241</v>
      </c>
      <c r="B72" s="76" t="s">
        <v>238</v>
      </c>
      <c r="C72" s="59">
        <v>20</v>
      </c>
      <c r="D72" s="59" t="s">
        <v>23</v>
      </c>
      <c r="E72" s="59">
        <v>998234427</v>
      </c>
      <c r="F72" s="42" t="s">
        <v>19</v>
      </c>
      <c r="G72" s="42" t="s">
        <v>27</v>
      </c>
      <c r="H72" s="42" t="s">
        <v>19</v>
      </c>
      <c r="I72" s="42" t="s">
        <v>19</v>
      </c>
      <c r="J72" s="42" t="s">
        <v>19</v>
      </c>
      <c r="K72" s="42" t="s">
        <v>19</v>
      </c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6"/>
      <c r="AG72" s="48">
        <f t="shared" si="0"/>
        <v>1</v>
      </c>
      <c r="AH72" s="48">
        <f t="shared" si="1"/>
        <v>5</v>
      </c>
      <c r="AI72" s="48">
        <f t="shared" si="2"/>
        <v>16.666666666666664</v>
      </c>
      <c r="AJ72" s="51"/>
    </row>
    <row r="73" spans="1:36" ht="13.8">
      <c r="A73" s="31" t="s">
        <v>245</v>
      </c>
      <c r="B73" s="72" t="s">
        <v>242</v>
      </c>
      <c r="C73" s="78">
        <v>24</v>
      </c>
      <c r="D73" s="78" t="s">
        <v>35</v>
      </c>
      <c r="E73" s="78">
        <v>937561330</v>
      </c>
      <c r="F73" s="42" t="s">
        <v>19</v>
      </c>
      <c r="G73" s="42" t="s">
        <v>19</v>
      </c>
      <c r="H73" s="42" t="s">
        <v>19</v>
      </c>
      <c r="I73" s="42" t="s">
        <v>19</v>
      </c>
      <c r="J73" s="42" t="s">
        <v>19</v>
      </c>
      <c r="K73" s="42" t="s">
        <v>19</v>
      </c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6"/>
      <c r="AG73" s="48">
        <f t="shared" si="0"/>
        <v>0</v>
      </c>
      <c r="AH73" s="48">
        <f t="shared" si="1"/>
        <v>6</v>
      </c>
      <c r="AI73" s="48">
        <f t="shared" si="2"/>
        <v>0</v>
      </c>
      <c r="AJ73" s="51"/>
    </row>
    <row r="74" spans="1:36" ht="13.8">
      <c r="A74" s="31" t="s">
        <v>247</v>
      </c>
      <c r="B74" s="76" t="s">
        <v>246</v>
      </c>
      <c r="C74" s="59">
        <v>25</v>
      </c>
      <c r="D74" s="59" t="s">
        <v>26</v>
      </c>
      <c r="E74" s="59">
        <v>966312479</v>
      </c>
      <c r="F74" s="42" t="s">
        <v>19</v>
      </c>
      <c r="G74" s="42" t="s">
        <v>27</v>
      </c>
      <c r="H74" s="42" t="s">
        <v>27</v>
      </c>
      <c r="I74" s="42" t="s">
        <v>27</v>
      </c>
      <c r="J74" s="42" t="s">
        <v>27</v>
      </c>
      <c r="K74" s="42" t="s">
        <v>27</v>
      </c>
      <c r="L74" s="42" t="s">
        <v>27</v>
      </c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6"/>
      <c r="AG74" s="48">
        <f t="shared" si="0"/>
        <v>6</v>
      </c>
      <c r="AH74" s="48">
        <f t="shared" si="1"/>
        <v>1</v>
      </c>
      <c r="AI74" s="48">
        <f t="shared" si="2"/>
        <v>100</v>
      </c>
      <c r="AJ74" s="51"/>
    </row>
    <row r="75" spans="1:36" ht="13.8">
      <c r="A75" s="31" t="s">
        <v>251</v>
      </c>
      <c r="B75" s="76" t="s">
        <v>248</v>
      </c>
      <c r="C75" s="59">
        <v>35</v>
      </c>
      <c r="D75" s="59" t="s">
        <v>26</v>
      </c>
      <c r="E75" s="59">
        <v>920303156</v>
      </c>
      <c r="F75" s="42" t="s">
        <v>19</v>
      </c>
      <c r="G75" s="42" t="s">
        <v>27</v>
      </c>
      <c r="H75" s="42" t="s">
        <v>27</v>
      </c>
      <c r="I75" s="42" t="s">
        <v>27</v>
      </c>
      <c r="J75" s="42" t="s">
        <v>27</v>
      </c>
      <c r="K75" s="42" t="s">
        <v>27</v>
      </c>
      <c r="L75" s="42" t="s">
        <v>27</v>
      </c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6"/>
      <c r="AG75" s="48">
        <f t="shared" si="0"/>
        <v>6</v>
      </c>
      <c r="AH75" s="48">
        <f t="shared" si="1"/>
        <v>1</v>
      </c>
      <c r="AI75" s="48">
        <f t="shared" si="2"/>
        <v>100</v>
      </c>
      <c r="AJ75" s="51"/>
    </row>
    <row r="76" spans="1:36" ht="13.8">
      <c r="A76" s="31" t="s">
        <v>255</v>
      </c>
      <c r="B76" s="76" t="s">
        <v>252</v>
      </c>
      <c r="C76" s="59">
        <v>46</v>
      </c>
      <c r="D76" s="59" t="s">
        <v>26</v>
      </c>
      <c r="E76" s="59">
        <v>945773867</v>
      </c>
      <c r="F76" s="42" t="s">
        <v>19</v>
      </c>
      <c r="G76" s="42" t="s">
        <v>19</v>
      </c>
      <c r="H76" s="42" t="s">
        <v>27</v>
      </c>
      <c r="I76" s="42" t="s">
        <v>19</v>
      </c>
      <c r="J76" s="42" t="s">
        <v>19</v>
      </c>
      <c r="K76" s="42" t="s">
        <v>19</v>
      </c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6"/>
      <c r="AG76" s="48">
        <f t="shared" si="0"/>
        <v>1</v>
      </c>
      <c r="AH76" s="48">
        <f t="shared" si="1"/>
        <v>5</v>
      </c>
      <c r="AI76" s="48">
        <f t="shared" si="2"/>
        <v>16.666666666666664</v>
      </c>
      <c r="AJ76" s="51"/>
    </row>
    <row r="77" spans="1:36" ht="13.8">
      <c r="A77" s="31" t="s">
        <v>257</v>
      </c>
      <c r="B77" s="76" t="s">
        <v>256</v>
      </c>
      <c r="C77" s="59">
        <v>22</v>
      </c>
      <c r="D77" s="59" t="s">
        <v>26</v>
      </c>
      <c r="E77" s="59">
        <v>938094009</v>
      </c>
      <c r="F77" s="42" t="s">
        <v>27</v>
      </c>
      <c r="G77" s="42" t="s">
        <v>27</v>
      </c>
      <c r="H77" s="42" t="s">
        <v>27</v>
      </c>
      <c r="I77" s="42" t="s">
        <v>27</v>
      </c>
      <c r="J77" s="42" t="s">
        <v>27</v>
      </c>
      <c r="K77" s="42" t="s">
        <v>27</v>
      </c>
      <c r="L77" s="42" t="s">
        <v>27</v>
      </c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2" t="s">
        <v>27</v>
      </c>
      <c r="Z77" s="44"/>
      <c r="AA77" s="44"/>
      <c r="AB77" s="44"/>
      <c r="AC77" s="42" t="s">
        <v>27</v>
      </c>
      <c r="AD77" s="42" t="s">
        <v>27</v>
      </c>
      <c r="AE77" s="42" t="s">
        <v>27</v>
      </c>
      <c r="AF77" s="64" t="s">
        <v>27</v>
      </c>
      <c r="AG77" s="48">
        <f t="shared" si="0"/>
        <v>12</v>
      </c>
      <c r="AH77" s="48">
        <f t="shared" si="1"/>
        <v>0</v>
      </c>
      <c r="AI77" s="48">
        <f t="shared" si="2"/>
        <v>200</v>
      </c>
      <c r="AJ77" s="51"/>
    </row>
    <row r="78" spans="1:36" ht="13.8">
      <c r="A78" s="31" t="s">
        <v>261</v>
      </c>
      <c r="B78" s="76" t="s">
        <v>258</v>
      </c>
      <c r="C78" s="59">
        <v>29</v>
      </c>
      <c r="D78" s="59" t="s">
        <v>26</v>
      </c>
      <c r="E78" s="59">
        <v>913255636</v>
      </c>
      <c r="F78" s="42" t="s">
        <v>27</v>
      </c>
      <c r="G78" s="42" t="s">
        <v>27</v>
      </c>
      <c r="H78" s="42" t="s">
        <v>27</v>
      </c>
      <c r="I78" s="42" t="s">
        <v>19</v>
      </c>
      <c r="J78" s="42" t="s">
        <v>27</v>
      </c>
      <c r="K78" s="42" t="s">
        <v>19</v>
      </c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6"/>
      <c r="AG78" s="48">
        <f t="shared" si="0"/>
        <v>4</v>
      </c>
      <c r="AH78" s="48">
        <f t="shared" si="1"/>
        <v>2</v>
      </c>
      <c r="AI78" s="48">
        <f t="shared" si="2"/>
        <v>66.666666666666657</v>
      </c>
      <c r="AJ78" s="51"/>
    </row>
    <row r="79" spans="1:36" ht="13.8">
      <c r="A79" s="31" t="s">
        <v>263</v>
      </c>
      <c r="B79" s="76" t="s">
        <v>262</v>
      </c>
      <c r="C79" s="59">
        <v>27</v>
      </c>
      <c r="D79" s="59" t="s">
        <v>26</v>
      </c>
      <c r="E79" s="59">
        <v>984953625</v>
      </c>
      <c r="F79" s="42" t="s">
        <v>19</v>
      </c>
      <c r="G79" s="42" t="s">
        <v>19</v>
      </c>
      <c r="H79" s="42" t="s">
        <v>27</v>
      </c>
      <c r="I79" s="42" t="s">
        <v>19</v>
      </c>
      <c r="J79" s="42" t="s">
        <v>27</v>
      </c>
      <c r="K79" s="42" t="s">
        <v>19</v>
      </c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6"/>
      <c r="AG79" s="48">
        <f t="shared" si="0"/>
        <v>2</v>
      </c>
      <c r="AH79" s="48">
        <f t="shared" si="1"/>
        <v>4</v>
      </c>
      <c r="AI79" s="48">
        <f t="shared" si="2"/>
        <v>33.333333333333329</v>
      </c>
      <c r="AJ79" s="51"/>
    </row>
    <row r="80" spans="1:36" ht="14.4">
      <c r="A80" s="31" t="s">
        <v>265</v>
      </c>
      <c r="B80" s="84" t="s">
        <v>32</v>
      </c>
      <c r="C80" s="85">
        <v>22</v>
      </c>
      <c r="D80" s="85" t="s">
        <v>34</v>
      </c>
      <c r="E80" s="85">
        <v>975184120</v>
      </c>
      <c r="F80" s="42" t="s">
        <v>19</v>
      </c>
      <c r="G80" s="42" t="s">
        <v>19</v>
      </c>
      <c r="H80" s="42" t="s">
        <v>19</v>
      </c>
      <c r="I80" s="42" t="s">
        <v>19</v>
      </c>
      <c r="J80" s="42" t="s">
        <v>19</v>
      </c>
      <c r="K80" s="42" t="s">
        <v>19</v>
      </c>
      <c r="L80" s="42" t="s">
        <v>27</v>
      </c>
      <c r="M80" s="42" t="s">
        <v>27</v>
      </c>
      <c r="N80" s="42" t="s">
        <v>27</v>
      </c>
      <c r="O80" s="44"/>
      <c r="P80" s="42" t="s">
        <v>27</v>
      </c>
      <c r="Q80" s="42" t="s">
        <v>27</v>
      </c>
      <c r="R80" s="44"/>
      <c r="S80" s="42" t="s">
        <v>27</v>
      </c>
      <c r="T80" s="42" t="s">
        <v>27</v>
      </c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6"/>
      <c r="AG80" s="48">
        <f t="shared" si="0"/>
        <v>7</v>
      </c>
      <c r="AH80" s="48">
        <f t="shared" si="1"/>
        <v>6</v>
      </c>
      <c r="AI80" s="48">
        <f t="shared" si="2"/>
        <v>116.66666666666667</v>
      </c>
      <c r="AJ80" s="51"/>
    </row>
    <row r="81" spans="1:36" ht="14.4">
      <c r="A81" s="31" t="s">
        <v>271</v>
      </c>
      <c r="B81" s="84" t="s">
        <v>264</v>
      </c>
      <c r="C81" s="85">
        <v>18</v>
      </c>
      <c r="D81" s="85" t="s">
        <v>23</v>
      </c>
      <c r="E81" s="85">
        <v>953958948</v>
      </c>
      <c r="F81" s="42" t="s">
        <v>19</v>
      </c>
      <c r="G81" s="42" t="s">
        <v>19</v>
      </c>
      <c r="H81" s="42" t="s">
        <v>19</v>
      </c>
      <c r="I81" s="42" t="s">
        <v>19</v>
      </c>
      <c r="J81" s="42" t="s">
        <v>19</v>
      </c>
      <c r="K81" s="42" t="s">
        <v>19</v>
      </c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6"/>
      <c r="AG81" s="48">
        <f t="shared" si="0"/>
        <v>0</v>
      </c>
      <c r="AH81" s="48">
        <f t="shared" si="1"/>
        <v>6</v>
      </c>
      <c r="AI81" s="48">
        <f t="shared" si="2"/>
        <v>0</v>
      </c>
      <c r="AJ81" s="51"/>
    </row>
    <row r="82" spans="1:36" ht="14.4">
      <c r="A82" s="31" t="s">
        <v>275</v>
      </c>
      <c r="B82" s="84" t="s">
        <v>266</v>
      </c>
      <c r="C82" s="85">
        <v>28</v>
      </c>
      <c r="D82" s="85" t="s">
        <v>34</v>
      </c>
      <c r="E82" s="85">
        <v>934410238</v>
      </c>
      <c r="F82" s="42" t="s">
        <v>19</v>
      </c>
      <c r="G82" s="42" t="s">
        <v>19</v>
      </c>
      <c r="H82" s="42" t="s">
        <v>19</v>
      </c>
      <c r="I82" s="42" t="s">
        <v>19</v>
      </c>
      <c r="J82" s="42" t="s">
        <v>19</v>
      </c>
      <c r="K82" s="42" t="s">
        <v>19</v>
      </c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6"/>
      <c r="AG82" s="48">
        <f t="shared" si="0"/>
        <v>0</v>
      </c>
      <c r="AH82" s="48">
        <f t="shared" si="1"/>
        <v>6</v>
      </c>
      <c r="AI82" s="48">
        <f t="shared" si="2"/>
        <v>0</v>
      </c>
      <c r="AJ82" s="51"/>
    </row>
    <row r="83" spans="1:36" ht="14.4">
      <c r="A83" s="31" t="s">
        <v>279</v>
      </c>
      <c r="B83" s="87" t="s">
        <v>270</v>
      </c>
      <c r="C83" s="88">
        <v>27</v>
      </c>
      <c r="D83" s="88" t="s">
        <v>23</v>
      </c>
      <c r="E83" s="88">
        <v>919206483</v>
      </c>
      <c r="F83" s="42" t="s">
        <v>19</v>
      </c>
      <c r="G83" s="42" t="s">
        <v>19</v>
      </c>
      <c r="H83" s="42" t="s">
        <v>27</v>
      </c>
      <c r="I83" s="42" t="s">
        <v>27</v>
      </c>
      <c r="J83" s="42" t="s">
        <v>27</v>
      </c>
      <c r="K83" s="42" t="s">
        <v>19</v>
      </c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6"/>
      <c r="AG83" s="48">
        <f t="shared" si="0"/>
        <v>3</v>
      </c>
      <c r="AH83" s="48">
        <f t="shared" si="1"/>
        <v>3</v>
      </c>
      <c r="AI83" s="48">
        <f t="shared" si="2"/>
        <v>50</v>
      </c>
      <c r="AJ83" s="51"/>
    </row>
    <row r="84" spans="1:36" ht="14.4">
      <c r="A84" s="31" t="s">
        <v>282</v>
      </c>
      <c r="B84" s="84" t="s">
        <v>272</v>
      </c>
      <c r="C84" s="85">
        <v>20</v>
      </c>
      <c r="D84" s="85" t="s">
        <v>23</v>
      </c>
      <c r="E84" s="85">
        <v>968588139</v>
      </c>
      <c r="F84" s="42" t="s">
        <v>19</v>
      </c>
      <c r="G84" s="42" t="s">
        <v>19</v>
      </c>
      <c r="H84" s="42" t="s">
        <v>19</v>
      </c>
      <c r="I84" s="42" t="s">
        <v>19</v>
      </c>
      <c r="J84" s="42" t="s">
        <v>19</v>
      </c>
      <c r="K84" s="42" t="s">
        <v>19</v>
      </c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6"/>
      <c r="AG84" s="48">
        <f t="shared" si="0"/>
        <v>0</v>
      </c>
      <c r="AH84" s="48">
        <f t="shared" si="1"/>
        <v>6</v>
      </c>
      <c r="AI84" s="48">
        <f t="shared" si="2"/>
        <v>0</v>
      </c>
      <c r="AJ84" s="51"/>
    </row>
    <row r="85" spans="1:36" ht="14.4">
      <c r="A85" s="31" t="s">
        <v>285</v>
      </c>
      <c r="B85" s="87" t="s">
        <v>276</v>
      </c>
      <c r="C85" s="88">
        <v>22</v>
      </c>
      <c r="D85" s="88" t="s">
        <v>34</v>
      </c>
      <c r="E85" s="88">
        <v>987920756</v>
      </c>
      <c r="F85" s="42" t="s">
        <v>19</v>
      </c>
      <c r="G85" s="42" t="s">
        <v>19</v>
      </c>
      <c r="H85" s="42" t="s">
        <v>19</v>
      </c>
      <c r="I85" s="42" t="s">
        <v>19</v>
      </c>
      <c r="J85" s="42" t="s">
        <v>19</v>
      </c>
      <c r="K85" s="42" t="s">
        <v>19</v>
      </c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6"/>
      <c r="AG85" s="48">
        <f t="shared" si="0"/>
        <v>0</v>
      </c>
      <c r="AH85" s="48">
        <f t="shared" si="1"/>
        <v>6</v>
      </c>
      <c r="AI85" s="48">
        <f t="shared" si="2"/>
        <v>0</v>
      </c>
      <c r="AJ85" s="51"/>
    </row>
    <row r="86" spans="1:36" ht="14.4">
      <c r="A86" s="31" t="s">
        <v>289</v>
      </c>
      <c r="B86" s="87" t="s">
        <v>280</v>
      </c>
      <c r="C86" s="88">
        <v>25</v>
      </c>
      <c r="D86" s="88" t="s">
        <v>23</v>
      </c>
      <c r="E86" s="88">
        <v>923929826</v>
      </c>
      <c r="F86" s="42" t="s">
        <v>19</v>
      </c>
      <c r="G86" s="42" t="s">
        <v>19</v>
      </c>
      <c r="H86" s="42" t="s">
        <v>19</v>
      </c>
      <c r="I86" s="42" t="s">
        <v>19</v>
      </c>
      <c r="J86" s="42" t="s">
        <v>27</v>
      </c>
      <c r="K86" s="42" t="s">
        <v>27</v>
      </c>
      <c r="L86" s="42" t="s">
        <v>27</v>
      </c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6"/>
      <c r="AG86" s="48">
        <f t="shared" si="0"/>
        <v>3</v>
      </c>
      <c r="AH86" s="48">
        <f t="shared" si="1"/>
        <v>4</v>
      </c>
      <c r="AI86" s="48">
        <f t="shared" si="2"/>
        <v>50</v>
      </c>
      <c r="AJ86" s="51"/>
    </row>
    <row r="87" spans="1:36" ht="14.4">
      <c r="A87" s="31" t="s">
        <v>291</v>
      </c>
      <c r="B87" s="84" t="s">
        <v>284</v>
      </c>
      <c r="C87" s="85">
        <v>19</v>
      </c>
      <c r="D87" s="85" t="s">
        <v>23</v>
      </c>
      <c r="E87" s="85">
        <v>961056610</v>
      </c>
      <c r="F87" s="42" t="s">
        <v>19</v>
      </c>
      <c r="G87" s="42" t="s">
        <v>19</v>
      </c>
      <c r="H87" s="42" t="s">
        <v>19</v>
      </c>
      <c r="I87" s="42" t="s">
        <v>19</v>
      </c>
      <c r="J87" s="42" t="s">
        <v>27</v>
      </c>
      <c r="K87" s="42" t="s">
        <v>27</v>
      </c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6"/>
      <c r="AG87" s="48">
        <f t="shared" si="0"/>
        <v>2</v>
      </c>
      <c r="AH87" s="48">
        <f t="shared" si="1"/>
        <v>4</v>
      </c>
      <c r="AI87" s="48">
        <f t="shared" si="2"/>
        <v>33.333333333333329</v>
      </c>
      <c r="AJ87" s="51"/>
    </row>
    <row r="88" spans="1:36" ht="14.4">
      <c r="A88" s="31" t="s">
        <v>295</v>
      </c>
      <c r="B88" s="84" t="s">
        <v>286</v>
      </c>
      <c r="C88" s="85">
        <v>26</v>
      </c>
      <c r="D88" s="85" t="s">
        <v>34</v>
      </c>
      <c r="E88" s="85">
        <v>953306326</v>
      </c>
      <c r="F88" s="42" t="s">
        <v>19</v>
      </c>
      <c r="G88" s="42" t="s">
        <v>19</v>
      </c>
      <c r="H88" s="42" t="s">
        <v>19</v>
      </c>
      <c r="I88" s="42" t="s">
        <v>19</v>
      </c>
      <c r="J88" s="42" t="s">
        <v>27</v>
      </c>
      <c r="K88" s="42" t="s">
        <v>19</v>
      </c>
      <c r="L88" s="42" t="s">
        <v>27</v>
      </c>
      <c r="M88" s="42" t="s">
        <v>27</v>
      </c>
      <c r="N88" s="42" t="s">
        <v>27</v>
      </c>
      <c r="O88" s="44"/>
      <c r="P88" s="42" t="s">
        <v>27</v>
      </c>
      <c r="Q88" s="42" t="s">
        <v>27</v>
      </c>
      <c r="R88" s="42" t="s">
        <v>27</v>
      </c>
      <c r="S88" s="42" t="s">
        <v>27</v>
      </c>
      <c r="T88" s="42" t="s">
        <v>27</v>
      </c>
      <c r="U88" s="44"/>
      <c r="V88" s="44"/>
      <c r="W88" s="42" t="s">
        <v>27</v>
      </c>
      <c r="X88" s="42" t="s">
        <v>27</v>
      </c>
      <c r="Y88" s="42" t="s">
        <v>27</v>
      </c>
      <c r="Z88" s="42" t="s">
        <v>27</v>
      </c>
      <c r="AA88" s="44"/>
      <c r="AB88" s="44"/>
      <c r="AC88" s="42" t="s">
        <v>27</v>
      </c>
      <c r="AD88" s="42" t="s">
        <v>27</v>
      </c>
      <c r="AE88" s="44"/>
      <c r="AF88" s="46"/>
      <c r="AG88" s="48">
        <f t="shared" si="0"/>
        <v>15</v>
      </c>
      <c r="AH88" s="48">
        <f t="shared" si="1"/>
        <v>5</v>
      </c>
      <c r="AI88" s="48">
        <f t="shared" si="2"/>
        <v>250</v>
      </c>
      <c r="AJ88" s="51"/>
    </row>
    <row r="89" spans="1:36" ht="14.4">
      <c r="A89" s="31" t="s">
        <v>301</v>
      </c>
      <c r="B89" s="84" t="s">
        <v>290</v>
      </c>
      <c r="C89" s="85">
        <v>22</v>
      </c>
      <c r="D89" s="85" t="s">
        <v>34</v>
      </c>
      <c r="E89" s="103"/>
      <c r="F89" s="42" t="s">
        <v>19</v>
      </c>
      <c r="G89" s="42" t="s">
        <v>19</v>
      </c>
      <c r="H89" s="42" t="s">
        <v>19</v>
      </c>
      <c r="I89" s="42" t="s">
        <v>27</v>
      </c>
      <c r="J89" s="42" t="s">
        <v>19</v>
      </c>
      <c r="K89" s="42" t="s">
        <v>19</v>
      </c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6"/>
      <c r="AG89" s="48">
        <f t="shared" si="0"/>
        <v>1</v>
      </c>
      <c r="AH89" s="48">
        <f t="shared" si="1"/>
        <v>5</v>
      </c>
      <c r="AI89" s="48">
        <f t="shared" si="2"/>
        <v>16.666666666666664</v>
      </c>
      <c r="AJ89" s="51"/>
    </row>
    <row r="90" spans="1:36" ht="14.4">
      <c r="A90" s="31" t="s">
        <v>303</v>
      </c>
      <c r="B90" s="87" t="s">
        <v>292</v>
      </c>
      <c r="C90" s="88">
        <v>21</v>
      </c>
      <c r="D90" s="88" t="s">
        <v>34</v>
      </c>
      <c r="E90" s="88">
        <v>906061757</v>
      </c>
      <c r="F90" s="42" t="s">
        <v>19</v>
      </c>
      <c r="G90" s="42" t="s">
        <v>19</v>
      </c>
      <c r="H90" s="42" t="s">
        <v>19</v>
      </c>
      <c r="I90" s="42" t="s">
        <v>19</v>
      </c>
      <c r="J90" s="42" t="s">
        <v>19</v>
      </c>
      <c r="K90" s="42" t="s">
        <v>19</v>
      </c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6"/>
      <c r="AG90" s="48">
        <f t="shared" si="0"/>
        <v>0</v>
      </c>
      <c r="AH90" s="48">
        <f t="shared" si="1"/>
        <v>6</v>
      </c>
      <c r="AI90" s="48">
        <f t="shared" si="2"/>
        <v>0</v>
      </c>
      <c r="AJ90" s="51"/>
    </row>
    <row r="91" spans="1:36" ht="14.4">
      <c r="A91" s="31" t="s">
        <v>307</v>
      </c>
      <c r="B91" s="84" t="s">
        <v>296</v>
      </c>
      <c r="C91" s="85">
        <v>24</v>
      </c>
      <c r="D91" s="85" t="s">
        <v>23</v>
      </c>
      <c r="E91" s="85">
        <v>987884550</v>
      </c>
      <c r="F91" s="42" t="s">
        <v>19</v>
      </c>
      <c r="G91" s="42" t="s">
        <v>19</v>
      </c>
      <c r="H91" s="42" t="s">
        <v>19</v>
      </c>
      <c r="I91" s="42" t="s">
        <v>19</v>
      </c>
      <c r="J91" s="42" t="s">
        <v>19</v>
      </c>
      <c r="K91" s="42" t="s">
        <v>19</v>
      </c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6"/>
      <c r="AG91" s="48">
        <f t="shared" si="0"/>
        <v>0</v>
      </c>
      <c r="AH91" s="48">
        <f t="shared" si="1"/>
        <v>6</v>
      </c>
      <c r="AI91" s="48">
        <f t="shared" si="2"/>
        <v>0</v>
      </c>
      <c r="AJ91" s="51"/>
    </row>
    <row r="92" spans="1:36" ht="14.4">
      <c r="A92" s="31" t="s">
        <v>311</v>
      </c>
      <c r="B92" s="84" t="s">
        <v>298</v>
      </c>
      <c r="C92" s="85">
        <v>21</v>
      </c>
      <c r="D92" s="85" t="s">
        <v>34</v>
      </c>
      <c r="E92" s="85">
        <v>929705961</v>
      </c>
      <c r="F92" s="42" t="s">
        <v>19</v>
      </c>
      <c r="G92" s="42" t="s">
        <v>19</v>
      </c>
      <c r="H92" s="42" t="s">
        <v>19</v>
      </c>
      <c r="I92" s="42" t="s">
        <v>27</v>
      </c>
      <c r="J92" s="42" t="s">
        <v>27</v>
      </c>
      <c r="K92" s="42" t="s">
        <v>27</v>
      </c>
      <c r="L92" s="42" t="s">
        <v>27</v>
      </c>
      <c r="M92" s="42" t="s">
        <v>27</v>
      </c>
      <c r="N92" s="42" t="s">
        <v>27</v>
      </c>
      <c r="O92" s="44"/>
      <c r="P92" s="42" t="s">
        <v>27</v>
      </c>
      <c r="Q92" s="42" t="s">
        <v>27</v>
      </c>
      <c r="R92" s="42" t="s">
        <v>27</v>
      </c>
      <c r="S92" s="42" t="s">
        <v>27</v>
      </c>
      <c r="T92" s="42" t="s">
        <v>27</v>
      </c>
      <c r="U92" s="44"/>
      <c r="V92" s="44"/>
      <c r="W92" s="42" t="s">
        <v>27</v>
      </c>
      <c r="X92" s="44"/>
      <c r="Y92" s="44"/>
      <c r="Z92" s="44"/>
      <c r="AA92" s="44"/>
      <c r="AB92" s="44"/>
      <c r="AC92" s="42" t="s">
        <v>27</v>
      </c>
      <c r="AD92" s="44"/>
      <c r="AE92" s="44"/>
      <c r="AF92" s="46"/>
      <c r="AG92" s="48">
        <f t="shared" si="0"/>
        <v>13</v>
      </c>
      <c r="AH92" s="48">
        <f t="shared" si="1"/>
        <v>3</v>
      </c>
      <c r="AI92" s="48">
        <f t="shared" si="2"/>
        <v>216.66666666666666</v>
      </c>
      <c r="AJ92" s="51"/>
    </row>
    <row r="93" spans="1:36" ht="14.4">
      <c r="A93" s="31" t="s">
        <v>313</v>
      </c>
      <c r="B93" s="84" t="s">
        <v>302</v>
      </c>
      <c r="C93" s="85">
        <v>23</v>
      </c>
      <c r="D93" s="85" t="s">
        <v>23</v>
      </c>
      <c r="E93" s="85">
        <v>972721116</v>
      </c>
      <c r="F93" s="42" t="s">
        <v>19</v>
      </c>
      <c r="G93" s="42" t="s">
        <v>19</v>
      </c>
      <c r="H93" s="42" t="s">
        <v>27</v>
      </c>
      <c r="I93" s="42" t="s">
        <v>19</v>
      </c>
      <c r="J93" s="42" t="s">
        <v>27</v>
      </c>
      <c r="K93" s="42" t="s">
        <v>19</v>
      </c>
      <c r="L93" s="42" t="s">
        <v>27</v>
      </c>
      <c r="M93" s="42" t="s">
        <v>27</v>
      </c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6"/>
      <c r="AG93" s="48">
        <f t="shared" si="0"/>
        <v>4</v>
      </c>
      <c r="AH93" s="48">
        <f t="shared" si="1"/>
        <v>4</v>
      </c>
      <c r="AI93" s="48">
        <f t="shared" si="2"/>
        <v>66.666666666666657</v>
      </c>
      <c r="AJ93" s="51"/>
    </row>
    <row r="94" spans="1:36" ht="14.4">
      <c r="A94" s="31" t="s">
        <v>317</v>
      </c>
      <c r="B94" s="87" t="s">
        <v>304</v>
      </c>
      <c r="C94" s="88">
        <v>23</v>
      </c>
      <c r="D94" s="88" t="s">
        <v>34</v>
      </c>
      <c r="E94" s="88">
        <v>946870308</v>
      </c>
      <c r="F94" s="42" t="s">
        <v>19</v>
      </c>
      <c r="G94" s="42" t="s">
        <v>19</v>
      </c>
      <c r="H94" s="42" t="s">
        <v>19</v>
      </c>
      <c r="I94" s="42" t="s">
        <v>19</v>
      </c>
      <c r="J94" s="42" t="s">
        <v>19</v>
      </c>
      <c r="K94" s="42" t="s">
        <v>19</v>
      </c>
      <c r="L94" s="42" t="s">
        <v>27</v>
      </c>
      <c r="M94" s="44"/>
      <c r="N94" s="42" t="s">
        <v>27</v>
      </c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6"/>
      <c r="AG94" s="48">
        <f t="shared" si="0"/>
        <v>2</v>
      </c>
      <c r="AH94" s="48">
        <f t="shared" si="1"/>
        <v>6</v>
      </c>
      <c r="AI94" s="48">
        <f t="shared" si="2"/>
        <v>33.333333333333329</v>
      </c>
      <c r="AJ94" s="51"/>
    </row>
    <row r="95" spans="1:36" ht="14.4">
      <c r="A95" s="31" t="s">
        <v>319</v>
      </c>
      <c r="B95" s="84" t="s">
        <v>308</v>
      </c>
      <c r="C95" s="85">
        <v>18</v>
      </c>
      <c r="D95" s="85" t="s">
        <v>23</v>
      </c>
      <c r="E95" s="85">
        <v>951517452</v>
      </c>
      <c r="F95" s="42" t="s">
        <v>19</v>
      </c>
      <c r="G95" s="42" t="s">
        <v>19</v>
      </c>
      <c r="H95" s="42" t="s">
        <v>19</v>
      </c>
      <c r="I95" s="42" t="s">
        <v>19</v>
      </c>
      <c r="J95" s="42" t="s">
        <v>27</v>
      </c>
      <c r="K95" s="42" t="s">
        <v>19</v>
      </c>
      <c r="L95" s="42" t="s">
        <v>27</v>
      </c>
      <c r="M95" s="44"/>
      <c r="N95" s="44"/>
      <c r="O95" s="44"/>
      <c r="P95" s="44"/>
      <c r="Q95" s="42" t="s">
        <v>27</v>
      </c>
      <c r="R95" s="44"/>
      <c r="S95" s="44"/>
      <c r="T95" s="42" t="s">
        <v>27</v>
      </c>
      <c r="U95" s="44"/>
      <c r="V95" s="44"/>
      <c r="W95" s="42" t="s">
        <v>27</v>
      </c>
      <c r="X95" s="42" t="s">
        <v>27</v>
      </c>
      <c r="Y95" s="42" t="s">
        <v>27</v>
      </c>
      <c r="Z95" s="42" t="s">
        <v>27</v>
      </c>
      <c r="AA95" s="44"/>
      <c r="AB95" s="44"/>
      <c r="AC95" s="44"/>
      <c r="AD95" s="42" t="s">
        <v>27</v>
      </c>
      <c r="AE95" s="44"/>
      <c r="AF95" s="46"/>
      <c r="AG95" s="48">
        <f t="shared" si="0"/>
        <v>9</v>
      </c>
      <c r="AH95" s="48">
        <f t="shared" si="1"/>
        <v>5</v>
      </c>
      <c r="AI95" s="48">
        <f t="shared" si="2"/>
        <v>150</v>
      </c>
      <c r="AJ95" s="51"/>
    </row>
    <row r="96" spans="1:36" ht="14.4">
      <c r="A96" s="31" t="s">
        <v>323</v>
      </c>
      <c r="B96" s="87" t="s">
        <v>312</v>
      </c>
      <c r="C96" s="88">
        <v>20</v>
      </c>
      <c r="D96" s="88" t="s">
        <v>34</v>
      </c>
      <c r="E96" s="88">
        <v>979010999</v>
      </c>
      <c r="F96" s="42" t="s">
        <v>19</v>
      </c>
      <c r="G96" s="42" t="s">
        <v>19</v>
      </c>
      <c r="H96" s="42" t="s">
        <v>19</v>
      </c>
      <c r="I96" s="42" t="s">
        <v>27</v>
      </c>
      <c r="J96" s="42" t="s">
        <v>27</v>
      </c>
      <c r="K96" s="42" t="s">
        <v>19</v>
      </c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2" t="s">
        <v>27</v>
      </c>
      <c r="Y96" s="42" t="s">
        <v>27</v>
      </c>
      <c r="Z96" s="42" t="s">
        <v>27</v>
      </c>
      <c r="AA96" s="44"/>
      <c r="AB96" s="44"/>
      <c r="AC96" s="42" t="s">
        <v>27</v>
      </c>
      <c r="AD96" s="42" t="s">
        <v>27</v>
      </c>
      <c r="AE96" s="44"/>
      <c r="AF96" s="46"/>
      <c r="AG96" s="48">
        <f t="shared" si="0"/>
        <v>7</v>
      </c>
      <c r="AH96" s="48">
        <f t="shared" si="1"/>
        <v>4</v>
      </c>
      <c r="AI96" s="48">
        <f t="shared" si="2"/>
        <v>116.66666666666667</v>
      </c>
      <c r="AJ96" s="51"/>
    </row>
    <row r="97" spans="1:36" ht="14.4">
      <c r="A97" s="31" t="s">
        <v>329</v>
      </c>
      <c r="B97" s="87" t="s">
        <v>314</v>
      </c>
      <c r="C97" s="88">
        <v>22</v>
      </c>
      <c r="D97" s="88" t="s">
        <v>23</v>
      </c>
      <c r="E97" s="88">
        <v>963531682</v>
      </c>
      <c r="F97" s="42" t="s">
        <v>19</v>
      </c>
      <c r="G97" s="42" t="s">
        <v>19</v>
      </c>
      <c r="H97" s="42" t="s">
        <v>19</v>
      </c>
      <c r="I97" s="42" t="s">
        <v>19</v>
      </c>
      <c r="J97" s="42" t="s">
        <v>19</v>
      </c>
      <c r="K97" s="42" t="s">
        <v>19</v>
      </c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2" t="s">
        <v>27</v>
      </c>
      <c r="Y97" s="42" t="s">
        <v>27</v>
      </c>
      <c r="Z97" s="44"/>
      <c r="AA97" s="44"/>
      <c r="AB97" s="44"/>
      <c r="AC97" s="44"/>
      <c r="AD97" s="44"/>
      <c r="AE97" s="44"/>
      <c r="AF97" s="46"/>
      <c r="AG97" s="48">
        <f t="shared" si="0"/>
        <v>2</v>
      </c>
      <c r="AH97" s="48">
        <f t="shared" si="1"/>
        <v>6</v>
      </c>
      <c r="AI97" s="48">
        <f t="shared" si="2"/>
        <v>33.333333333333329</v>
      </c>
      <c r="AJ97" s="51"/>
    </row>
    <row r="98" spans="1:36" ht="14.4">
      <c r="A98" s="31" t="s">
        <v>331</v>
      </c>
      <c r="B98" s="84" t="s">
        <v>318</v>
      </c>
      <c r="C98" s="85">
        <v>27</v>
      </c>
      <c r="D98" s="85" t="s">
        <v>23</v>
      </c>
      <c r="E98" s="85">
        <v>984988760</v>
      </c>
      <c r="F98" s="42" t="s">
        <v>19</v>
      </c>
      <c r="G98" s="42" t="s">
        <v>27</v>
      </c>
      <c r="H98" s="42" t="s">
        <v>27</v>
      </c>
      <c r="I98" s="42" t="s">
        <v>27</v>
      </c>
      <c r="J98" s="42" t="s">
        <v>27</v>
      </c>
      <c r="K98" s="42" t="s">
        <v>27</v>
      </c>
      <c r="L98" s="42" t="s">
        <v>27</v>
      </c>
      <c r="M98" s="42" t="s">
        <v>27</v>
      </c>
      <c r="N98" s="44"/>
      <c r="O98" s="44"/>
      <c r="P98" s="42" t="s">
        <v>27</v>
      </c>
      <c r="Q98" s="42" t="s">
        <v>27</v>
      </c>
      <c r="R98" s="44"/>
      <c r="S98" s="42" t="s">
        <v>27</v>
      </c>
      <c r="T98" s="42" t="s">
        <v>27</v>
      </c>
      <c r="U98" s="44"/>
      <c r="V98" s="44"/>
      <c r="W98" s="42" t="s">
        <v>27</v>
      </c>
      <c r="X98" s="44"/>
      <c r="Y98" s="42" t="s">
        <v>27</v>
      </c>
      <c r="Z98" s="42" t="s">
        <v>27</v>
      </c>
      <c r="AA98" s="44"/>
      <c r="AB98" s="44"/>
      <c r="AC98" s="42" t="s">
        <v>27</v>
      </c>
      <c r="AD98" s="42" t="s">
        <v>27</v>
      </c>
      <c r="AE98" s="44"/>
      <c r="AF98" s="46"/>
      <c r="AG98" s="48">
        <f t="shared" si="0"/>
        <v>16</v>
      </c>
      <c r="AH98" s="48">
        <f t="shared" si="1"/>
        <v>1</v>
      </c>
      <c r="AI98" s="48">
        <f t="shared" si="2"/>
        <v>266.66666666666663</v>
      </c>
      <c r="AJ98" s="51"/>
    </row>
    <row r="99" spans="1:36" ht="14.4">
      <c r="A99" s="31" t="s">
        <v>335</v>
      </c>
      <c r="B99" s="87" t="s">
        <v>320</v>
      </c>
      <c r="C99" s="88">
        <v>15</v>
      </c>
      <c r="D99" s="88" t="s">
        <v>34</v>
      </c>
      <c r="E99" s="88">
        <v>972712206</v>
      </c>
      <c r="F99" s="42" t="s">
        <v>19</v>
      </c>
      <c r="G99" s="42" t="s">
        <v>19</v>
      </c>
      <c r="H99" s="42" t="s">
        <v>19</v>
      </c>
      <c r="I99" s="42" t="s">
        <v>19</v>
      </c>
      <c r="J99" s="42" t="s">
        <v>27</v>
      </c>
      <c r="K99" s="42" t="s">
        <v>19</v>
      </c>
      <c r="L99" s="42" t="s">
        <v>27</v>
      </c>
      <c r="M99" s="42" t="s">
        <v>27</v>
      </c>
      <c r="N99" s="44"/>
      <c r="O99" s="44"/>
      <c r="P99" s="42" t="s">
        <v>27</v>
      </c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6"/>
      <c r="AG99" s="48">
        <f t="shared" si="0"/>
        <v>4</v>
      </c>
      <c r="AH99" s="48">
        <f t="shared" si="1"/>
        <v>5</v>
      </c>
      <c r="AI99" s="48">
        <f t="shared" si="2"/>
        <v>66.666666666666657</v>
      </c>
      <c r="AJ99" s="51"/>
    </row>
    <row r="100" spans="1:36" ht="14.4">
      <c r="A100" s="31" t="s">
        <v>342</v>
      </c>
      <c r="B100" s="87" t="s">
        <v>326</v>
      </c>
      <c r="C100" s="88">
        <v>18</v>
      </c>
      <c r="D100" s="88" t="s">
        <v>34</v>
      </c>
      <c r="E100" s="88">
        <v>992828978</v>
      </c>
      <c r="F100" s="42" t="s">
        <v>19</v>
      </c>
      <c r="G100" s="42" t="s">
        <v>19</v>
      </c>
      <c r="H100" s="42" t="s">
        <v>19</v>
      </c>
      <c r="I100" s="42" t="s">
        <v>19</v>
      </c>
      <c r="J100" s="42" t="s">
        <v>27</v>
      </c>
      <c r="K100" s="42" t="s">
        <v>27</v>
      </c>
      <c r="L100" s="44"/>
      <c r="M100" s="44"/>
      <c r="N100" s="42" t="s">
        <v>27</v>
      </c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6"/>
      <c r="AG100" s="48">
        <f t="shared" si="0"/>
        <v>3</v>
      </c>
      <c r="AH100" s="48">
        <f t="shared" si="1"/>
        <v>4</v>
      </c>
      <c r="AI100" s="48">
        <f t="shared" si="2"/>
        <v>50</v>
      </c>
      <c r="AJ100" s="51"/>
    </row>
    <row r="101" spans="1:36" ht="14.4">
      <c r="A101" s="31" t="s">
        <v>337</v>
      </c>
      <c r="B101" s="84" t="s">
        <v>324</v>
      </c>
      <c r="C101" s="85">
        <v>17</v>
      </c>
      <c r="D101" s="85" t="s">
        <v>34</v>
      </c>
      <c r="E101" s="85">
        <v>950264453</v>
      </c>
      <c r="F101" s="42" t="s">
        <v>19</v>
      </c>
      <c r="G101" s="42" t="s">
        <v>19</v>
      </c>
      <c r="H101" s="42" t="s">
        <v>19</v>
      </c>
      <c r="I101" s="42" t="s">
        <v>27</v>
      </c>
      <c r="J101" s="42" t="s">
        <v>27</v>
      </c>
      <c r="K101" s="42" t="s">
        <v>19</v>
      </c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6"/>
      <c r="AG101" s="48">
        <f t="shared" si="0"/>
        <v>2</v>
      </c>
      <c r="AH101" s="48">
        <f t="shared" si="1"/>
        <v>4</v>
      </c>
      <c r="AI101" s="48">
        <f t="shared" si="2"/>
        <v>33.333333333333329</v>
      </c>
      <c r="AJ101" s="51"/>
    </row>
    <row r="102" spans="1:36" ht="14.4">
      <c r="A102" s="31" t="s">
        <v>344</v>
      </c>
      <c r="B102" s="84" t="s">
        <v>330</v>
      </c>
      <c r="C102" s="85">
        <v>20</v>
      </c>
      <c r="D102" s="85" t="s">
        <v>23</v>
      </c>
      <c r="E102" s="85">
        <v>963302385</v>
      </c>
      <c r="F102" s="42" t="s">
        <v>19</v>
      </c>
      <c r="G102" s="42" t="s">
        <v>19</v>
      </c>
      <c r="H102" s="42" t="s">
        <v>19</v>
      </c>
      <c r="I102" s="42" t="s">
        <v>27</v>
      </c>
      <c r="J102" s="42" t="s">
        <v>27</v>
      </c>
      <c r="K102" s="42" t="s">
        <v>19</v>
      </c>
      <c r="L102" s="42" t="s">
        <v>27</v>
      </c>
      <c r="M102" s="42" t="s">
        <v>27</v>
      </c>
      <c r="N102" s="44"/>
      <c r="O102" s="42" t="s">
        <v>27</v>
      </c>
      <c r="P102" s="42" t="s">
        <v>27</v>
      </c>
      <c r="Q102" s="42" t="s">
        <v>27</v>
      </c>
      <c r="R102" s="44"/>
      <c r="S102" s="44"/>
      <c r="T102" s="42" t="s">
        <v>27</v>
      </c>
      <c r="U102" s="44"/>
      <c r="V102" s="44"/>
      <c r="W102" s="42" t="s">
        <v>27</v>
      </c>
      <c r="X102" s="44"/>
      <c r="Y102" s="44"/>
      <c r="Z102" s="44"/>
      <c r="AA102" s="44"/>
      <c r="AB102" s="44"/>
      <c r="AC102" s="44"/>
      <c r="AD102" s="42" t="s">
        <v>27</v>
      </c>
      <c r="AE102" s="44"/>
      <c r="AF102" s="46"/>
      <c r="AG102" s="48">
        <f t="shared" si="0"/>
        <v>10</v>
      </c>
      <c r="AH102" s="48">
        <f t="shared" si="1"/>
        <v>4</v>
      </c>
      <c r="AI102" s="48">
        <f t="shared" si="2"/>
        <v>166.66666666666669</v>
      </c>
      <c r="AJ102" s="51"/>
    </row>
    <row r="103" spans="1:36" ht="14.4">
      <c r="A103" s="31" t="s">
        <v>348</v>
      </c>
      <c r="B103" s="87" t="s">
        <v>332</v>
      </c>
      <c r="C103" s="88">
        <v>24</v>
      </c>
      <c r="D103" s="88" t="s">
        <v>23</v>
      </c>
      <c r="E103" s="88">
        <v>931830667</v>
      </c>
      <c r="F103" s="42" t="s">
        <v>19</v>
      </c>
      <c r="G103" s="42" t="s">
        <v>19</v>
      </c>
      <c r="H103" s="42" t="s">
        <v>19</v>
      </c>
      <c r="I103" s="42" t="s">
        <v>27</v>
      </c>
      <c r="J103" s="42" t="s">
        <v>27</v>
      </c>
      <c r="K103" s="42" t="s">
        <v>19</v>
      </c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2" t="s">
        <v>27</v>
      </c>
      <c r="AE103" s="44"/>
      <c r="AF103" s="46"/>
      <c r="AG103" s="48">
        <f t="shared" si="0"/>
        <v>3</v>
      </c>
      <c r="AH103" s="48">
        <f t="shared" si="1"/>
        <v>4</v>
      </c>
      <c r="AI103" s="48">
        <f t="shared" si="2"/>
        <v>50</v>
      </c>
      <c r="AJ103" s="51"/>
    </row>
    <row r="104" spans="1:36" ht="14.4">
      <c r="A104" s="31" t="s">
        <v>350</v>
      </c>
      <c r="B104" s="84" t="s">
        <v>336</v>
      </c>
      <c r="C104" s="85">
        <v>29</v>
      </c>
      <c r="D104" s="85" t="s">
        <v>23</v>
      </c>
      <c r="E104" s="85">
        <v>932202329</v>
      </c>
      <c r="F104" s="42" t="s">
        <v>19</v>
      </c>
      <c r="G104" s="42" t="s">
        <v>19</v>
      </c>
      <c r="H104" s="42" t="s">
        <v>19</v>
      </c>
      <c r="I104" s="42" t="s">
        <v>19</v>
      </c>
      <c r="J104" s="42" t="s">
        <v>27</v>
      </c>
      <c r="K104" s="42" t="s">
        <v>19</v>
      </c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6"/>
      <c r="AG104" s="48">
        <f t="shared" si="0"/>
        <v>1</v>
      </c>
      <c r="AH104" s="48">
        <f t="shared" si="1"/>
        <v>5</v>
      </c>
      <c r="AI104" s="48">
        <f t="shared" si="2"/>
        <v>16.666666666666664</v>
      </c>
      <c r="AJ104" s="51"/>
    </row>
    <row r="105" spans="1:36" ht="14.4">
      <c r="A105" s="31" t="s">
        <v>354</v>
      </c>
      <c r="B105" s="87" t="s">
        <v>338</v>
      </c>
      <c r="C105" s="88">
        <v>23</v>
      </c>
      <c r="D105" s="88" t="s">
        <v>23</v>
      </c>
      <c r="E105" s="88">
        <v>955913331</v>
      </c>
      <c r="F105" s="42" t="s">
        <v>19</v>
      </c>
      <c r="G105" s="42" t="s">
        <v>19</v>
      </c>
      <c r="H105" s="42" t="s">
        <v>19</v>
      </c>
      <c r="I105" s="42" t="s">
        <v>19</v>
      </c>
      <c r="J105" s="42" t="s">
        <v>19</v>
      </c>
      <c r="K105" s="42" t="s">
        <v>19</v>
      </c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6"/>
      <c r="AG105" s="48">
        <f t="shared" si="0"/>
        <v>0</v>
      </c>
      <c r="AH105" s="48">
        <f t="shared" si="1"/>
        <v>6</v>
      </c>
      <c r="AI105" s="48">
        <f t="shared" si="2"/>
        <v>0</v>
      </c>
      <c r="AJ105" s="51"/>
    </row>
    <row r="106" spans="1:36" ht="14.4">
      <c r="A106" s="31" t="s">
        <v>356</v>
      </c>
      <c r="B106" s="84" t="s">
        <v>343</v>
      </c>
      <c r="C106" s="85">
        <v>23</v>
      </c>
      <c r="D106" s="85" t="s">
        <v>34</v>
      </c>
      <c r="E106" s="85">
        <v>905562409</v>
      </c>
      <c r="F106" s="42" t="s">
        <v>19</v>
      </c>
      <c r="G106" s="42" t="s">
        <v>19</v>
      </c>
      <c r="H106" s="42" t="s">
        <v>19</v>
      </c>
      <c r="I106" s="42" t="s">
        <v>19</v>
      </c>
      <c r="J106" s="42" t="s">
        <v>19</v>
      </c>
      <c r="K106" s="42" t="s">
        <v>27</v>
      </c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6"/>
      <c r="AG106" s="48">
        <f t="shared" si="0"/>
        <v>1</v>
      </c>
      <c r="AH106" s="48">
        <f t="shared" si="1"/>
        <v>5</v>
      </c>
      <c r="AI106" s="48">
        <f t="shared" si="2"/>
        <v>16.666666666666664</v>
      </c>
      <c r="AJ106" s="51"/>
    </row>
    <row r="107" spans="1:36" ht="14.4">
      <c r="A107" s="31" t="s">
        <v>360</v>
      </c>
      <c r="B107" s="87" t="s">
        <v>345</v>
      </c>
      <c r="C107" s="88">
        <v>28</v>
      </c>
      <c r="D107" s="88" t="s">
        <v>34</v>
      </c>
      <c r="E107" s="88">
        <v>983331337</v>
      </c>
      <c r="F107" s="42" t="s">
        <v>19</v>
      </c>
      <c r="G107" s="42" t="s">
        <v>19</v>
      </c>
      <c r="H107" s="42" t="s">
        <v>27</v>
      </c>
      <c r="I107" s="42" t="s">
        <v>27</v>
      </c>
      <c r="J107" s="42" t="s">
        <v>27</v>
      </c>
      <c r="K107" s="42" t="s">
        <v>27</v>
      </c>
      <c r="L107" s="42" t="s">
        <v>27</v>
      </c>
      <c r="M107" s="42" t="s">
        <v>27</v>
      </c>
      <c r="N107" s="44"/>
      <c r="O107" s="44"/>
      <c r="P107" s="44"/>
      <c r="Q107" s="42" t="s">
        <v>27</v>
      </c>
      <c r="R107" s="42" t="s">
        <v>27</v>
      </c>
      <c r="S107" s="42" t="s">
        <v>27</v>
      </c>
      <c r="T107" s="42" t="s">
        <v>27</v>
      </c>
      <c r="U107" s="44"/>
      <c r="V107" s="44"/>
      <c r="W107" s="44"/>
      <c r="X107" s="42" t="s">
        <v>27</v>
      </c>
      <c r="Y107" s="42" t="s">
        <v>27</v>
      </c>
      <c r="Z107" s="42" t="s">
        <v>27</v>
      </c>
      <c r="AA107" s="44"/>
      <c r="AB107" s="44"/>
      <c r="AC107" s="44"/>
      <c r="AD107" s="44"/>
      <c r="AE107" s="44"/>
      <c r="AF107" s="46"/>
      <c r="AG107" s="48">
        <f t="shared" si="0"/>
        <v>13</v>
      </c>
      <c r="AH107" s="48">
        <f t="shared" si="1"/>
        <v>2</v>
      </c>
      <c r="AI107" s="48">
        <f t="shared" si="2"/>
        <v>216.66666666666666</v>
      </c>
      <c r="AJ107" s="51"/>
    </row>
    <row r="108" spans="1:36" ht="14.4">
      <c r="A108" s="31" t="s">
        <v>362</v>
      </c>
      <c r="B108" s="84" t="s">
        <v>349</v>
      </c>
      <c r="C108" s="85">
        <v>24</v>
      </c>
      <c r="D108" s="85" t="s">
        <v>34</v>
      </c>
      <c r="E108" s="85">
        <v>960710749</v>
      </c>
      <c r="F108" s="42" t="s">
        <v>19</v>
      </c>
      <c r="G108" s="42" t="s">
        <v>19</v>
      </c>
      <c r="H108" s="42" t="s">
        <v>19</v>
      </c>
      <c r="I108" s="42" t="s">
        <v>112</v>
      </c>
      <c r="J108" s="42" t="s">
        <v>19</v>
      </c>
      <c r="K108" s="42" t="s">
        <v>19</v>
      </c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2" t="s">
        <v>27</v>
      </c>
      <c r="Y108" s="44"/>
      <c r="Z108" s="42" t="s">
        <v>27</v>
      </c>
      <c r="AA108" s="44"/>
      <c r="AB108" s="44"/>
      <c r="AC108" s="44"/>
      <c r="AD108" s="44"/>
      <c r="AE108" s="44"/>
      <c r="AF108" s="46"/>
      <c r="AG108" s="48">
        <f t="shared" si="0"/>
        <v>2</v>
      </c>
      <c r="AH108" s="48">
        <f t="shared" si="1"/>
        <v>5</v>
      </c>
      <c r="AI108" s="48">
        <f t="shared" si="2"/>
        <v>33.333333333333329</v>
      </c>
      <c r="AJ108" s="51"/>
    </row>
    <row r="109" spans="1:36" ht="14.4">
      <c r="A109" s="31" t="s">
        <v>364</v>
      </c>
      <c r="B109" s="87" t="s">
        <v>351</v>
      </c>
      <c r="C109" s="88">
        <v>23</v>
      </c>
      <c r="D109" s="88" t="s">
        <v>34</v>
      </c>
      <c r="E109" s="85">
        <v>960710749</v>
      </c>
      <c r="F109" s="42" t="s">
        <v>27</v>
      </c>
      <c r="G109" s="42" t="s">
        <v>27</v>
      </c>
      <c r="H109" s="42" t="s">
        <v>27</v>
      </c>
      <c r="I109" s="42" t="s">
        <v>27</v>
      </c>
      <c r="J109" s="42" t="s">
        <v>19</v>
      </c>
      <c r="K109" s="42" t="s">
        <v>19</v>
      </c>
      <c r="L109" s="42" t="s">
        <v>27</v>
      </c>
      <c r="M109" s="42" t="s">
        <v>27</v>
      </c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2" t="s">
        <v>27</v>
      </c>
      <c r="Y109" s="42" t="s">
        <v>27</v>
      </c>
      <c r="Z109" s="42" t="s">
        <v>27</v>
      </c>
      <c r="AA109" s="44"/>
      <c r="AB109" s="44"/>
      <c r="AC109" s="42" t="s">
        <v>27</v>
      </c>
      <c r="AD109" s="42" t="s">
        <v>27</v>
      </c>
      <c r="AE109" s="44"/>
      <c r="AF109" s="46"/>
      <c r="AG109" s="48">
        <f t="shared" si="0"/>
        <v>11</v>
      </c>
      <c r="AH109" s="48">
        <f t="shared" si="1"/>
        <v>2</v>
      </c>
      <c r="AI109" s="48">
        <f t="shared" si="2"/>
        <v>183.33333333333331</v>
      </c>
      <c r="AJ109" s="51"/>
    </row>
    <row r="110" spans="1:36" ht="14.4">
      <c r="A110" s="31" t="s">
        <v>368</v>
      </c>
      <c r="B110" s="84" t="s">
        <v>355</v>
      </c>
      <c r="C110" s="85">
        <v>31</v>
      </c>
      <c r="D110" s="85" t="s">
        <v>23</v>
      </c>
      <c r="E110" s="85">
        <v>918536286</v>
      </c>
      <c r="F110" s="42" t="s">
        <v>19</v>
      </c>
      <c r="G110" s="42" t="s">
        <v>19</v>
      </c>
      <c r="H110" s="42" t="s">
        <v>19</v>
      </c>
      <c r="I110" s="42" t="s">
        <v>27</v>
      </c>
      <c r="J110" s="42" t="s">
        <v>27</v>
      </c>
      <c r="K110" s="42" t="s">
        <v>27</v>
      </c>
      <c r="L110" s="42" t="s">
        <v>27</v>
      </c>
      <c r="M110" s="42" t="s">
        <v>27</v>
      </c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2" t="s">
        <v>27</v>
      </c>
      <c r="AD110" s="42" t="s">
        <v>27</v>
      </c>
      <c r="AE110" s="44"/>
      <c r="AF110" s="64" t="s">
        <v>27</v>
      </c>
      <c r="AG110" s="48">
        <f t="shared" si="0"/>
        <v>8</v>
      </c>
      <c r="AH110" s="48">
        <f t="shared" si="1"/>
        <v>3</v>
      </c>
      <c r="AI110" s="48">
        <f t="shared" si="2"/>
        <v>133.33333333333331</v>
      </c>
      <c r="AJ110" s="51"/>
    </row>
    <row r="111" spans="1:36" ht="14.4">
      <c r="A111" s="31" t="s">
        <v>370</v>
      </c>
      <c r="B111" s="87" t="s">
        <v>357</v>
      </c>
      <c r="C111" s="88">
        <v>18</v>
      </c>
      <c r="D111" s="88" t="s">
        <v>34</v>
      </c>
      <c r="E111" s="88" t="s">
        <v>421</v>
      </c>
      <c r="F111" s="42" t="s">
        <v>19</v>
      </c>
      <c r="G111" s="42" t="s">
        <v>19</v>
      </c>
      <c r="H111" s="42" t="s">
        <v>19</v>
      </c>
      <c r="I111" s="42" t="s">
        <v>19</v>
      </c>
      <c r="J111" s="42" t="s">
        <v>19</v>
      </c>
      <c r="K111" s="42" t="s">
        <v>19</v>
      </c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6"/>
      <c r="AG111" s="48">
        <f t="shared" si="0"/>
        <v>0</v>
      </c>
      <c r="AH111" s="48">
        <f t="shared" si="1"/>
        <v>6</v>
      </c>
      <c r="AI111" s="48">
        <f t="shared" si="2"/>
        <v>0</v>
      </c>
      <c r="AJ111" s="51"/>
    </row>
    <row r="112" spans="1:36" ht="14.4">
      <c r="A112" s="31" t="s">
        <v>374</v>
      </c>
      <c r="B112" s="84" t="s">
        <v>361</v>
      </c>
      <c r="C112" s="85">
        <v>20</v>
      </c>
      <c r="D112" s="85" t="s">
        <v>34</v>
      </c>
      <c r="E112" s="85">
        <v>918187147</v>
      </c>
      <c r="F112" s="42" t="s">
        <v>19</v>
      </c>
      <c r="G112" s="42" t="s">
        <v>19</v>
      </c>
      <c r="H112" s="42" t="s">
        <v>19</v>
      </c>
      <c r="I112" s="42" t="s">
        <v>19</v>
      </c>
      <c r="J112" s="42" t="s">
        <v>19</v>
      </c>
      <c r="K112" s="42" t="s">
        <v>19</v>
      </c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6"/>
      <c r="AG112" s="48">
        <f t="shared" si="0"/>
        <v>0</v>
      </c>
      <c r="AH112" s="48">
        <f t="shared" si="1"/>
        <v>6</v>
      </c>
      <c r="AI112" s="48">
        <f t="shared" si="2"/>
        <v>0</v>
      </c>
      <c r="AJ112" s="51"/>
    </row>
    <row r="113" spans="1:36" ht="14.4">
      <c r="A113" s="31" t="s">
        <v>377</v>
      </c>
      <c r="B113" s="87" t="s">
        <v>363</v>
      </c>
      <c r="C113" s="88">
        <v>16</v>
      </c>
      <c r="D113" s="88" t="s">
        <v>34</v>
      </c>
      <c r="E113" s="88" t="s">
        <v>426</v>
      </c>
      <c r="F113" s="42" t="s">
        <v>19</v>
      </c>
      <c r="G113" s="42" t="s">
        <v>19</v>
      </c>
      <c r="H113" s="42" t="s">
        <v>19</v>
      </c>
      <c r="I113" s="42" t="s">
        <v>19</v>
      </c>
      <c r="J113" s="42" t="s">
        <v>19</v>
      </c>
      <c r="K113" s="42" t="s">
        <v>19</v>
      </c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6"/>
      <c r="AG113" s="48">
        <f t="shared" si="0"/>
        <v>0</v>
      </c>
      <c r="AH113" s="48">
        <f t="shared" si="1"/>
        <v>6</v>
      </c>
      <c r="AI113" s="48">
        <f t="shared" si="2"/>
        <v>0</v>
      </c>
      <c r="AJ113" s="51"/>
    </row>
    <row r="114" spans="1:36" ht="14.4">
      <c r="A114" s="31" t="s">
        <v>383</v>
      </c>
      <c r="B114" s="84" t="s">
        <v>365</v>
      </c>
      <c r="C114" s="85">
        <v>19</v>
      </c>
      <c r="D114" s="85" t="s">
        <v>34</v>
      </c>
      <c r="E114" s="85">
        <v>955734741</v>
      </c>
      <c r="F114" s="42" t="s">
        <v>19</v>
      </c>
      <c r="G114" s="42" t="s">
        <v>19</v>
      </c>
      <c r="H114" s="42" t="s">
        <v>19</v>
      </c>
      <c r="I114" s="42" t="s">
        <v>19</v>
      </c>
      <c r="J114" s="42" t="s">
        <v>19</v>
      </c>
      <c r="K114" s="42" t="s">
        <v>19</v>
      </c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6"/>
      <c r="AG114" s="48">
        <f t="shared" si="0"/>
        <v>0</v>
      </c>
      <c r="AH114" s="48">
        <f t="shared" si="1"/>
        <v>6</v>
      </c>
      <c r="AI114" s="48">
        <f t="shared" si="2"/>
        <v>0</v>
      </c>
      <c r="AJ114" s="51"/>
    </row>
    <row r="115" spans="1:36" ht="14.4">
      <c r="A115" s="31" t="s">
        <v>387</v>
      </c>
      <c r="B115" s="87" t="s">
        <v>369</v>
      </c>
      <c r="C115" s="88">
        <v>19</v>
      </c>
      <c r="D115" s="88" t="s">
        <v>34</v>
      </c>
      <c r="E115" s="88">
        <v>989480276</v>
      </c>
      <c r="F115" s="42" t="s">
        <v>19</v>
      </c>
      <c r="G115" s="42" t="s">
        <v>19</v>
      </c>
      <c r="H115" s="42" t="s">
        <v>19</v>
      </c>
      <c r="I115" s="42" t="s">
        <v>19</v>
      </c>
      <c r="J115" s="42" t="s">
        <v>19</v>
      </c>
      <c r="K115" s="42" t="s">
        <v>19</v>
      </c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6"/>
      <c r="AG115" s="48">
        <f t="shared" si="0"/>
        <v>0</v>
      </c>
      <c r="AH115" s="48">
        <f t="shared" si="1"/>
        <v>6</v>
      </c>
      <c r="AI115" s="48">
        <f t="shared" si="2"/>
        <v>0</v>
      </c>
      <c r="AJ115" s="51"/>
    </row>
    <row r="116" spans="1:36" ht="14.4">
      <c r="A116" s="31" t="s">
        <v>389</v>
      </c>
      <c r="B116" s="84" t="s">
        <v>371</v>
      </c>
      <c r="C116" s="85">
        <v>29</v>
      </c>
      <c r="D116" s="85" t="s">
        <v>34</v>
      </c>
      <c r="E116" s="85">
        <v>919999834</v>
      </c>
      <c r="F116" s="42" t="s">
        <v>19</v>
      </c>
      <c r="G116" s="42" t="s">
        <v>19</v>
      </c>
      <c r="H116" s="42" t="s">
        <v>19</v>
      </c>
      <c r="I116" s="42" t="s">
        <v>19</v>
      </c>
      <c r="J116" s="42" t="s">
        <v>19</v>
      </c>
      <c r="K116" s="42" t="s">
        <v>19</v>
      </c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6"/>
      <c r="AG116" s="48">
        <f t="shared" si="0"/>
        <v>0</v>
      </c>
      <c r="AH116" s="48">
        <f t="shared" si="1"/>
        <v>6</v>
      </c>
      <c r="AI116" s="48">
        <f t="shared" si="2"/>
        <v>0</v>
      </c>
      <c r="AJ116" s="51"/>
    </row>
    <row r="117" spans="1:36" ht="14.4">
      <c r="A117" s="31" t="s">
        <v>393</v>
      </c>
      <c r="B117" s="87" t="s">
        <v>375</v>
      </c>
      <c r="C117" s="88">
        <v>17</v>
      </c>
      <c r="D117" s="88" t="s">
        <v>34</v>
      </c>
      <c r="E117" s="88">
        <v>986327420</v>
      </c>
      <c r="F117" s="42" t="s">
        <v>19</v>
      </c>
      <c r="G117" s="42" t="s">
        <v>19</v>
      </c>
      <c r="H117" s="42" t="s">
        <v>19</v>
      </c>
      <c r="I117" s="42" t="s">
        <v>27</v>
      </c>
      <c r="J117" s="42" t="s">
        <v>19</v>
      </c>
      <c r="K117" s="42" t="s">
        <v>19</v>
      </c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6"/>
      <c r="AG117" s="48">
        <f t="shared" si="0"/>
        <v>1</v>
      </c>
      <c r="AH117" s="48">
        <f t="shared" si="1"/>
        <v>5</v>
      </c>
      <c r="AI117" s="48">
        <f t="shared" si="2"/>
        <v>16.666666666666664</v>
      </c>
      <c r="AJ117" s="51"/>
    </row>
    <row r="118" spans="1:36" ht="13.8">
      <c r="A118" s="31" t="s">
        <v>396</v>
      </c>
      <c r="B118" s="113" t="s">
        <v>380</v>
      </c>
      <c r="C118" s="58">
        <v>30</v>
      </c>
      <c r="D118" s="117"/>
      <c r="E118" s="58">
        <v>942056827</v>
      </c>
      <c r="F118" s="42" t="s">
        <v>19</v>
      </c>
      <c r="G118" s="42" t="s">
        <v>19</v>
      </c>
      <c r="H118" s="42" t="s">
        <v>19</v>
      </c>
      <c r="I118" s="42" t="s">
        <v>27</v>
      </c>
      <c r="J118" s="42" t="s">
        <v>27</v>
      </c>
      <c r="K118" s="42" t="s">
        <v>27</v>
      </c>
      <c r="L118" s="42" t="s">
        <v>27</v>
      </c>
      <c r="M118" s="44"/>
      <c r="N118" s="42" t="s">
        <v>27</v>
      </c>
      <c r="O118" s="42" t="s">
        <v>27</v>
      </c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2" t="s">
        <v>27</v>
      </c>
      <c r="AD118" s="44"/>
      <c r="AE118" s="44"/>
      <c r="AF118" s="46"/>
      <c r="AG118" s="48">
        <f t="shared" si="0"/>
        <v>7</v>
      </c>
      <c r="AH118" s="48">
        <f t="shared" si="1"/>
        <v>3</v>
      </c>
      <c r="AI118" s="48">
        <f t="shared" si="2"/>
        <v>116.66666666666667</v>
      </c>
      <c r="AJ118" s="51"/>
    </row>
    <row r="119" spans="1:36" ht="13.8">
      <c r="A119" s="31" t="s">
        <v>399</v>
      </c>
      <c r="B119" s="113" t="s">
        <v>384</v>
      </c>
      <c r="C119" s="58">
        <v>23</v>
      </c>
      <c r="D119" s="117"/>
      <c r="E119" s="58">
        <v>970900345</v>
      </c>
      <c r="F119" s="42" t="s">
        <v>19</v>
      </c>
      <c r="G119" s="42" t="s">
        <v>19</v>
      </c>
      <c r="H119" s="42" t="s">
        <v>27</v>
      </c>
      <c r="I119" s="42" t="s">
        <v>27</v>
      </c>
      <c r="J119" s="42" t="s">
        <v>27</v>
      </c>
      <c r="K119" s="42" t="s">
        <v>27</v>
      </c>
      <c r="L119" s="42" t="s">
        <v>27</v>
      </c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2" t="s">
        <v>27</v>
      </c>
      <c r="AE119" s="44"/>
      <c r="AF119" s="46"/>
      <c r="AG119" s="48">
        <f t="shared" si="0"/>
        <v>6</v>
      </c>
      <c r="AH119" s="48">
        <f t="shared" si="1"/>
        <v>2</v>
      </c>
      <c r="AI119" s="48">
        <f t="shared" si="2"/>
        <v>100</v>
      </c>
      <c r="AJ119" s="51"/>
    </row>
    <row r="120" spans="1:36" ht="13.8">
      <c r="A120" s="31" t="s">
        <v>403</v>
      </c>
      <c r="B120" s="113" t="s">
        <v>388</v>
      </c>
      <c r="C120" s="58">
        <v>19</v>
      </c>
      <c r="D120" s="117"/>
      <c r="E120" s="58">
        <v>990242745</v>
      </c>
      <c r="F120" s="42" t="s">
        <v>19</v>
      </c>
      <c r="G120" s="42" t="s">
        <v>19</v>
      </c>
      <c r="H120" s="42" t="s">
        <v>27</v>
      </c>
      <c r="I120" s="42" t="s">
        <v>27</v>
      </c>
      <c r="J120" s="42" t="s">
        <v>19</v>
      </c>
      <c r="K120" s="42" t="s">
        <v>27</v>
      </c>
      <c r="L120" s="42" t="s">
        <v>27</v>
      </c>
      <c r="M120" s="44"/>
      <c r="N120" s="44"/>
      <c r="O120" s="42" t="s">
        <v>27</v>
      </c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2" t="s">
        <v>27</v>
      </c>
      <c r="AE120" s="44"/>
      <c r="AF120" s="46"/>
      <c r="AG120" s="48">
        <f t="shared" si="0"/>
        <v>6</v>
      </c>
      <c r="AH120" s="48">
        <f t="shared" si="1"/>
        <v>3</v>
      </c>
      <c r="AI120" s="48">
        <f t="shared" si="2"/>
        <v>100</v>
      </c>
      <c r="AJ120" s="51"/>
    </row>
    <row r="121" spans="1:36" ht="13.8">
      <c r="A121" s="31" t="s">
        <v>407</v>
      </c>
      <c r="B121" s="113" t="s">
        <v>390</v>
      </c>
      <c r="C121" s="58">
        <v>24</v>
      </c>
      <c r="D121" s="117"/>
      <c r="E121" s="58">
        <v>978264213</v>
      </c>
      <c r="F121" s="42" t="s">
        <v>19</v>
      </c>
      <c r="G121" s="42" t="s">
        <v>27</v>
      </c>
      <c r="H121" s="42" t="s">
        <v>27</v>
      </c>
      <c r="I121" s="42" t="s">
        <v>27</v>
      </c>
      <c r="J121" s="42" t="s">
        <v>19</v>
      </c>
      <c r="K121" s="42" t="s">
        <v>19</v>
      </c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6"/>
      <c r="AG121" s="48">
        <f t="shared" si="0"/>
        <v>3</v>
      </c>
      <c r="AH121" s="48">
        <f t="shared" si="1"/>
        <v>3</v>
      </c>
      <c r="AI121" s="48">
        <f t="shared" si="2"/>
        <v>50</v>
      </c>
      <c r="AJ121" s="51"/>
    </row>
    <row r="122" spans="1:36" ht="13.8">
      <c r="A122" s="31" t="s">
        <v>411</v>
      </c>
      <c r="B122" s="113" t="s">
        <v>394</v>
      </c>
      <c r="C122" s="58">
        <v>20</v>
      </c>
      <c r="D122" s="117"/>
      <c r="E122" s="58">
        <v>988108909</v>
      </c>
      <c r="F122" s="42" t="s">
        <v>19</v>
      </c>
      <c r="G122" s="42" t="s">
        <v>27</v>
      </c>
      <c r="H122" s="42" t="s">
        <v>27</v>
      </c>
      <c r="I122" s="42" t="s">
        <v>19</v>
      </c>
      <c r="J122" s="42" t="s">
        <v>27</v>
      </c>
      <c r="K122" s="42" t="s">
        <v>19</v>
      </c>
      <c r="L122" s="42" t="s">
        <v>27</v>
      </c>
      <c r="M122" s="44"/>
      <c r="N122" s="44"/>
      <c r="O122" s="44"/>
      <c r="P122" s="42" t="s">
        <v>27</v>
      </c>
      <c r="Q122" s="44"/>
      <c r="R122" s="44"/>
      <c r="S122" s="44"/>
      <c r="T122" s="44"/>
      <c r="U122" s="44"/>
      <c r="V122" s="44"/>
      <c r="W122" s="44"/>
      <c r="X122" s="42" t="s">
        <v>27</v>
      </c>
      <c r="Y122" s="44"/>
      <c r="Z122" s="42" t="s">
        <v>27</v>
      </c>
      <c r="AA122" s="44"/>
      <c r="AB122" s="44"/>
      <c r="AC122" s="44"/>
      <c r="AD122" s="44"/>
      <c r="AE122" s="44"/>
      <c r="AF122" s="46"/>
      <c r="AG122" s="48">
        <f t="shared" si="0"/>
        <v>7</v>
      </c>
      <c r="AH122" s="48">
        <f t="shared" si="1"/>
        <v>3</v>
      </c>
      <c r="AI122" s="48">
        <f t="shared" si="2"/>
        <v>116.66666666666667</v>
      </c>
      <c r="AJ122" s="51"/>
    </row>
    <row r="123" spans="1:36" ht="13.8">
      <c r="A123" s="31" t="s">
        <v>415</v>
      </c>
      <c r="B123" s="113" t="s">
        <v>398</v>
      </c>
      <c r="C123" s="58">
        <v>25</v>
      </c>
      <c r="D123" s="117"/>
      <c r="E123" s="58">
        <v>953306326</v>
      </c>
      <c r="F123" s="42" t="s">
        <v>19</v>
      </c>
      <c r="G123" s="42" t="s">
        <v>19</v>
      </c>
      <c r="H123" s="42" t="s">
        <v>19</v>
      </c>
      <c r="I123" s="42" t="s">
        <v>27</v>
      </c>
      <c r="J123" s="42" t="s">
        <v>27</v>
      </c>
      <c r="K123" s="42" t="s">
        <v>19</v>
      </c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6"/>
      <c r="AG123" s="48">
        <f t="shared" si="0"/>
        <v>2</v>
      </c>
      <c r="AH123" s="48">
        <f t="shared" si="1"/>
        <v>4</v>
      </c>
      <c r="AI123" s="48">
        <f t="shared" si="2"/>
        <v>33.333333333333329</v>
      </c>
      <c r="AJ123" s="51"/>
    </row>
    <row r="124" spans="1:36" ht="13.8">
      <c r="A124" s="31" t="s">
        <v>419</v>
      </c>
      <c r="B124" s="113" t="s">
        <v>400</v>
      </c>
      <c r="C124" s="58">
        <v>28</v>
      </c>
      <c r="D124" s="117"/>
      <c r="E124" s="58">
        <v>938480940</v>
      </c>
      <c r="F124" s="42" t="s">
        <v>19</v>
      </c>
      <c r="G124" s="42" t="s">
        <v>19</v>
      </c>
      <c r="H124" s="42" t="s">
        <v>19</v>
      </c>
      <c r="I124" s="42" t="s">
        <v>27</v>
      </c>
      <c r="J124" s="42" t="s">
        <v>19</v>
      </c>
      <c r="K124" s="42" t="s">
        <v>19</v>
      </c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6"/>
      <c r="AG124" s="48">
        <f t="shared" si="0"/>
        <v>1</v>
      </c>
      <c r="AH124" s="48">
        <f t="shared" si="1"/>
        <v>5</v>
      </c>
      <c r="AI124" s="48">
        <f t="shared" si="2"/>
        <v>16.666666666666664</v>
      </c>
      <c r="AJ124" s="51"/>
    </row>
    <row r="125" spans="1:36" ht="13.8">
      <c r="A125" s="31" t="s">
        <v>424</v>
      </c>
      <c r="B125" s="113" t="s">
        <v>404</v>
      </c>
      <c r="C125" s="58">
        <v>26</v>
      </c>
      <c r="D125" s="117"/>
      <c r="E125" s="58">
        <v>984953625</v>
      </c>
      <c r="F125" s="42" t="s">
        <v>19</v>
      </c>
      <c r="G125" s="42" t="s">
        <v>19</v>
      </c>
      <c r="H125" s="42" t="s">
        <v>19</v>
      </c>
      <c r="I125" s="42" t="s">
        <v>19</v>
      </c>
      <c r="J125" s="42" t="s">
        <v>19</v>
      </c>
      <c r="K125" s="42" t="s">
        <v>19</v>
      </c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6"/>
      <c r="AG125" s="48">
        <f t="shared" si="0"/>
        <v>0</v>
      </c>
      <c r="AH125" s="48">
        <f t="shared" si="1"/>
        <v>6</v>
      </c>
      <c r="AI125" s="48">
        <f t="shared" si="2"/>
        <v>0</v>
      </c>
      <c r="AJ125" s="51"/>
    </row>
    <row r="126" spans="1:36" ht="13.8">
      <c r="A126" s="31" t="s">
        <v>429</v>
      </c>
      <c r="B126" s="119" t="s">
        <v>408</v>
      </c>
      <c r="C126" s="58">
        <v>28</v>
      </c>
      <c r="D126" s="117"/>
      <c r="E126" s="58">
        <v>983331337</v>
      </c>
      <c r="F126" s="42" t="s">
        <v>19</v>
      </c>
      <c r="G126" s="42" t="s">
        <v>19</v>
      </c>
      <c r="H126" s="42" t="s">
        <v>19</v>
      </c>
      <c r="I126" s="42" t="s">
        <v>19</v>
      </c>
      <c r="J126" s="42" t="s">
        <v>19</v>
      </c>
      <c r="K126" s="42" t="s">
        <v>19</v>
      </c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6"/>
      <c r="AG126" s="48">
        <f t="shared" si="0"/>
        <v>0</v>
      </c>
      <c r="AH126" s="48">
        <f t="shared" si="1"/>
        <v>6</v>
      </c>
      <c r="AI126" s="48">
        <f t="shared" si="2"/>
        <v>0</v>
      </c>
      <c r="AJ126" s="51"/>
    </row>
    <row r="127" spans="1:36" ht="13.8">
      <c r="A127" s="31" t="s">
        <v>433</v>
      </c>
      <c r="B127" s="113" t="s">
        <v>412</v>
      </c>
      <c r="C127" s="58">
        <v>27</v>
      </c>
      <c r="D127" s="117"/>
      <c r="E127" s="58">
        <v>923810376</v>
      </c>
      <c r="F127" s="42" t="s">
        <v>19</v>
      </c>
      <c r="G127" s="42" t="s">
        <v>19</v>
      </c>
      <c r="H127" s="42" t="s">
        <v>19</v>
      </c>
      <c r="I127" s="42" t="s">
        <v>19</v>
      </c>
      <c r="J127" s="42" t="s">
        <v>19</v>
      </c>
      <c r="K127" s="42" t="s">
        <v>19</v>
      </c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6"/>
      <c r="AG127" s="48">
        <f t="shared" si="0"/>
        <v>0</v>
      </c>
      <c r="AH127" s="48">
        <f t="shared" si="1"/>
        <v>6</v>
      </c>
      <c r="AI127" s="48">
        <f t="shared" si="2"/>
        <v>0</v>
      </c>
      <c r="AJ127" s="51"/>
    </row>
    <row r="128" spans="1:36" ht="13.8">
      <c r="A128" s="31" t="s">
        <v>437</v>
      </c>
      <c r="B128" s="113" t="s">
        <v>416</v>
      </c>
      <c r="C128" s="58">
        <v>22</v>
      </c>
      <c r="D128" s="117"/>
      <c r="E128" s="58">
        <v>902286345</v>
      </c>
      <c r="F128" s="42" t="s">
        <v>19</v>
      </c>
      <c r="G128" s="42" t="s">
        <v>19</v>
      </c>
      <c r="H128" s="42" t="s">
        <v>19</v>
      </c>
      <c r="I128" s="42" t="s">
        <v>19</v>
      </c>
      <c r="J128" s="42" t="s">
        <v>19</v>
      </c>
      <c r="K128" s="42" t="s">
        <v>19</v>
      </c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6"/>
      <c r="AG128" s="48">
        <f t="shared" si="0"/>
        <v>0</v>
      </c>
      <c r="AH128" s="48">
        <f t="shared" si="1"/>
        <v>6</v>
      </c>
      <c r="AI128" s="48">
        <f t="shared" si="2"/>
        <v>0</v>
      </c>
      <c r="AJ128" s="51"/>
    </row>
    <row r="129" spans="1:36" ht="13.8">
      <c r="A129" s="31" t="s">
        <v>441</v>
      </c>
      <c r="B129" s="113" t="s">
        <v>420</v>
      </c>
      <c r="C129" s="58">
        <v>16</v>
      </c>
      <c r="D129" s="117"/>
      <c r="E129" s="58">
        <v>919528145</v>
      </c>
      <c r="F129" s="44"/>
      <c r="G129" s="42" t="s">
        <v>19</v>
      </c>
      <c r="H129" s="42" t="s">
        <v>19</v>
      </c>
      <c r="I129" s="42" t="s">
        <v>19</v>
      </c>
      <c r="J129" s="42" t="s">
        <v>27</v>
      </c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6"/>
      <c r="AG129" s="48">
        <f t="shared" si="0"/>
        <v>1</v>
      </c>
      <c r="AH129" s="48">
        <f t="shared" si="1"/>
        <v>3</v>
      </c>
      <c r="AI129" s="48">
        <f t="shared" si="2"/>
        <v>16.666666666666664</v>
      </c>
      <c r="AJ129" s="51"/>
    </row>
    <row r="130" spans="1:36" ht="13.8">
      <c r="A130" s="31" t="s">
        <v>445</v>
      </c>
      <c r="B130" s="113" t="s">
        <v>425</v>
      </c>
      <c r="C130" s="58">
        <v>27</v>
      </c>
      <c r="D130" s="117"/>
      <c r="E130" s="58">
        <v>948229267</v>
      </c>
      <c r="F130" s="44"/>
      <c r="G130" s="42" t="s">
        <v>27</v>
      </c>
      <c r="H130" s="42" t="s">
        <v>27</v>
      </c>
      <c r="I130" s="42" t="s">
        <v>27</v>
      </c>
      <c r="J130" s="42" t="s">
        <v>27</v>
      </c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6"/>
      <c r="AG130" s="48">
        <f t="shared" si="0"/>
        <v>4</v>
      </c>
      <c r="AH130" s="48">
        <f t="shared" si="1"/>
        <v>0</v>
      </c>
      <c r="AI130" s="48">
        <f t="shared" si="2"/>
        <v>66.666666666666657</v>
      </c>
      <c r="AJ130" s="51"/>
    </row>
    <row r="131" spans="1:36" ht="13.8">
      <c r="A131" s="135" t="s">
        <v>449</v>
      </c>
      <c r="B131" s="120" t="s">
        <v>430</v>
      </c>
      <c r="C131" s="121">
        <v>26</v>
      </c>
      <c r="D131" s="122"/>
      <c r="E131" s="121">
        <v>969110798</v>
      </c>
      <c r="F131" s="44"/>
      <c r="G131" s="42" t="s">
        <v>27</v>
      </c>
      <c r="H131" s="42" t="s">
        <v>27</v>
      </c>
      <c r="I131" s="42" t="s">
        <v>27</v>
      </c>
      <c r="J131" s="42" t="s">
        <v>27</v>
      </c>
      <c r="K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6"/>
      <c r="AG131" s="48">
        <f t="shared" si="0"/>
        <v>4</v>
      </c>
      <c r="AH131" s="48">
        <f t="shared" si="1"/>
        <v>0</v>
      </c>
      <c r="AI131" s="48">
        <f t="shared" si="2"/>
        <v>66.666666666666657</v>
      </c>
      <c r="AJ131" s="51"/>
    </row>
    <row r="132" spans="1:36" ht="13.8">
      <c r="A132" s="135" t="s">
        <v>453</v>
      </c>
      <c r="B132" s="108" t="s">
        <v>434</v>
      </c>
      <c r="C132" s="112">
        <v>19</v>
      </c>
      <c r="D132" s="114"/>
      <c r="E132" s="112">
        <v>927680440</v>
      </c>
      <c r="F132" s="75"/>
      <c r="G132" s="44"/>
      <c r="H132" s="44"/>
      <c r="I132" s="44"/>
      <c r="J132" s="42" t="s">
        <v>27</v>
      </c>
      <c r="K132" s="44"/>
      <c r="L132" s="42" t="s">
        <v>27</v>
      </c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6"/>
      <c r="AG132" s="48">
        <f t="shared" si="0"/>
        <v>2</v>
      </c>
      <c r="AH132" s="48">
        <f t="shared" si="1"/>
        <v>0</v>
      </c>
      <c r="AI132" s="48">
        <f t="shared" si="2"/>
        <v>33.333333333333329</v>
      </c>
      <c r="AJ132" s="51"/>
    </row>
    <row r="133" spans="1:36" ht="13.8">
      <c r="A133" s="135" t="s">
        <v>455</v>
      </c>
      <c r="B133" s="108" t="s">
        <v>438</v>
      </c>
      <c r="C133" s="112">
        <v>30</v>
      </c>
      <c r="D133" s="114"/>
      <c r="E133" s="112">
        <v>952357762</v>
      </c>
      <c r="F133" s="75"/>
      <c r="G133" s="44"/>
      <c r="H133" s="44"/>
      <c r="I133" s="44"/>
      <c r="J133" s="42" t="s">
        <v>27</v>
      </c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6"/>
      <c r="AG133" s="48">
        <f t="shared" si="0"/>
        <v>1</v>
      </c>
      <c r="AH133" s="48">
        <f t="shared" si="1"/>
        <v>0</v>
      </c>
      <c r="AI133" s="48">
        <f t="shared" si="2"/>
        <v>16.666666666666664</v>
      </c>
      <c r="AJ133" s="51"/>
    </row>
    <row r="134" spans="1:36" ht="13.8">
      <c r="A134" s="135" t="s">
        <v>459</v>
      </c>
      <c r="B134" s="108" t="s">
        <v>442</v>
      </c>
      <c r="C134" s="112">
        <v>31</v>
      </c>
      <c r="D134" s="114"/>
      <c r="E134" s="112">
        <v>925314422</v>
      </c>
      <c r="F134" s="75"/>
      <c r="G134" s="44"/>
      <c r="H134" s="44"/>
      <c r="I134" s="44"/>
      <c r="J134" s="42" t="s">
        <v>27</v>
      </c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6"/>
      <c r="AG134" s="48">
        <f t="shared" si="0"/>
        <v>1</v>
      </c>
      <c r="AH134" s="48">
        <f t="shared" si="1"/>
        <v>0</v>
      </c>
      <c r="AI134" s="48">
        <f t="shared" si="2"/>
        <v>16.666666666666664</v>
      </c>
      <c r="AJ134" s="51"/>
    </row>
    <row r="135" spans="1:36" ht="13.8">
      <c r="A135" s="135" t="s">
        <v>463</v>
      </c>
      <c r="B135" s="108" t="s">
        <v>446</v>
      </c>
      <c r="C135" s="112">
        <v>24</v>
      </c>
      <c r="D135" s="114"/>
      <c r="E135" s="112">
        <v>905132606</v>
      </c>
      <c r="F135" s="75"/>
      <c r="G135" s="44"/>
      <c r="H135" s="44"/>
      <c r="I135" s="44"/>
      <c r="J135" s="42" t="s">
        <v>27</v>
      </c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6"/>
      <c r="AG135" s="48">
        <f t="shared" si="0"/>
        <v>1</v>
      </c>
      <c r="AH135" s="48">
        <f t="shared" si="1"/>
        <v>0</v>
      </c>
      <c r="AI135" s="48">
        <f t="shared" si="2"/>
        <v>16.666666666666664</v>
      </c>
      <c r="AJ135" s="51"/>
    </row>
    <row r="136" spans="1:36" ht="13.8">
      <c r="A136" s="135" t="s">
        <v>467</v>
      </c>
      <c r="B136" s="108" t="s">
        <v>450</v>
      </c>
      <c r="C136" s="112">
        <v>18</v>
      </c>
      <c r="D136" s="114"/>
      <c r="E136" s="112">
        <v>911402218</v>
      </c>
      <c r="F136" s="75"/>
      <c r="G136" s="44"/>
      <c r="H136" s="44"/>
      <c r="I136" s="44"/>
      <c r="J136" s="42" t="s">
        <v>27</v>
      </c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6"/>
      <c r="AG136" s="48">
        <f t="shared" si="0"/>
        <v>1</v>
      </c>
      <c r="AH136" s="48">
        <f t="shared" si="1"/>
        <v>0</v>
      </c>
      <c r="AI136" s="48">
        <f t="shared" si="2"/>
        <v>16.666666666666664</v>
      </c>
      <c r="AJ136" s="51"/>
    </row>
    <row r="137" spans="1:36" ht="13.8">
      <c r="A137" s="135" t="s">
        <v>471</v>
      </c>
      <c r="B137" s="108" t="s">
        <v>454</v>
      </c>
      <c r="C137" s="112">
        <v>28</v>
      </c>
      <c r="D137" s="114"/>
      <c r="E137" s="112">
        <v>998802030</v>
      </c>
      <c r="F137" s="75"/>
      <c r="G137" s="44"/>
      <c r="H137" s="44"/>
      <c r="I137" s="44"/>
      <c r="J137" s="42" t="s">
        <v>27</v>
      </c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6"/>
      <c r="AG137" s="48">
        <f t="shared" si="0"/>
        <v>1</v>
      </c>
      <c r="AH137" s="48">
        <f t="shared" si="1"/>
        <v>0</v>
      </c>
      <c r="AI137" s="48">
        <f t="shared" si="2"/>
        <v>16.666666666666664</v>
      </c>
      <c r="AJ137" s="51"/>
    </row>
    <row r="138" spans="1:36" ht="13.8">
      <c r="A138" s="135" t="s">
        <v>473</v>
      </c>
      <c r="B138" s="108" t="s">
        <v>456</v>
      </c>
      <c r="C138" s="112">
        <v>24</v>
      </c>
      <c r="D138" s="114"/>
      <c r="E138" s="112">
        <v>933120415</v>
      </c>
      <c r="F138" s="75"/>
      <c r="G138" s="44"/>
      <c r="H138" s="44"/>
      <c r="I138" s="44"/>
      <c r="J138" s="42" t="s">
        <v>27</v>
      </c>
      <c r="K138" s="44"/>
      <c r="L138" s="42" t="s">
        <v>27</v>
      </c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6"/>
      <c r="AG138" s="48">
        <f t="shared" si="0"/>
        <v>2</v>
      </c>
      <c r="AH138" s="48">
        <f t="shared" si="1"/>
        <v>0</v>
      </c>
      <c r="AI138" s="48">
        <f t="shared" si="2"/>
        <v>33.333333333333329</v>
      </c>
      <c r="AJ138" s="51"/>
    </row>
    <row r="139" spans="1:36" ht="13.8">
      <c r="A139" s="135" t="s">
        <v>477</v>
      </c>
      <c r="B139" s="108" t="s">
        <v>460</v>
      </c>
      <c r="C139" s="112">
        <v>26</v>
      </c>
      <c r="D139" s="114"/>
      <c r="E139" s="112">
        <v>978780485</v>
      </c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6"/>
      <c r="AG139" s="48">
        <f t="shared" si="0"/>
        <v>0</v>
      </c>
      <c r="AH139" s="48">
        <f t="shared" si="1"/>
        <v>0</v>
      </c>
      <c r="AI139" s="48">
        <f t="shared" si="2"/>
        <v>0</v>
      </c>
      <c r="AJ139" s="51"/>
    </row>
    <row r="140" spans="1:36" ht="13.8">
      <c r="A140" s="135" t="s">
        <v>481</v>
      </c>
      <c r="B140" s="125" t="s">
        <v>464</v>
      </c>
      <c r="C140" s="126">
        <v>22</v>
      </c>
      <c r="D140" s="118"/>
      <c r="E140" s="126">
        <v>976377474</v>
      </c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6"/>
      <c r="AG140" s="48">
        <f t="shared" si="0"/>
        <v>0</v>
      </c>
      <c r="AH140" s="48">
        <f t="shared" si="1"/>
        <v>0</v>
      </c>
      <c r="AI140" s="48">
        <f t="shared" si="2"/>
        <v>0</v>
      </c>
      <c r="AJ140" s="51"/>
    </row>
    <row r="141" spans="1:36" ht="13.8">
      <c r="A141" s="135" t="s">
        <v>485</v>
      </c>
      <c r="B141" s="113" t="s">
        <v>468</v>
      </c>
      <c r="C141" s="58">
        <v>27</v>
      </c>
      <c r="D141" s="128"/>
      <c r="E141" s="58">
        <v>925087703</v>
      </c>
      <c r="F141" s="75"/>
      <c r="G141" s="75"/>
      <c r="H141" s="75"/>
      <c r="I141" s="75"/>
      <c r="J141" s="75"/>
      <c r="K141" s="75"/>
      <c r="L141" s="129" t="s">
        <v>27</v>
      </c>
      <c r="M141" s="129" t="s">
        <v>27</v>
      </c>
      <c r="N141" s="75"/>
      <c r="O141" s="75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6"/>
      <c r="AG141" s="48">
        <f t="shared" si="0"/>
        <v>2</v>
      </c>
      <c r="AH141" s="48">
        <f t="shared" si="1"/>
        <v>0</v>
      </c>
      <c r="AI141" s="48">
        <f t="shared" si="2"/>
        <v>33.333333333333329</v>
      </c>
      <c r="AJ141" s="51"/>
    </row>
    <row r="142" spans="1:36" ht="13.8">
      <c r="A142" s="135" t="s">
        <v>487</v>
      </c>
      <c r="B142" s="113" t="s">
        <v>472</v>
      </c>
      <c r="C142" s="58">
        <v>24</v>
      </c>
      <c r="D142" s="128"/>
      <c r="E142" s="58">
        <v>944290991</v>
      </c>
      <c r="F142" s="75"/>
      <c r="G142" s="75"/>
      <c r="H142" s="75"/>
      <c r="I142" s="75"/>
      <c r="J142" s="75"/>
      <c r="K142" s="75"/>
      <c r="L142" s="129" t="s">
        <v>27</v>
      </c>
      <c r="M142" s="129" t="s">
        <v>27</v>
      </c>
      <c r="N142" s="75"/>
      <c r="O142" s="75"/>
      <c r="P142" s="75"/>
      <c r="Q142" s="75"/>
      <c r="R142" s="75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6"/>
      <c r="AG142" s="48">
        <f t="shared" si="0"/>
        <v>2</v>
      </c>
      <c r="AH142" s="48">
        <f t="shared" si="1"/>
        <v>0</v>
      </c>
      <c r="AI142" s="48">
        <f t="shared" si="2"/>
        <v>33.333333333333329</v>
      </c>
      <c r="AJ142" s="51"/>
    </row>
    <row r="143" spans="1:36" ht="13.8">
      <c r="A143" s="135" t="s">
        <v>491</v>
      </c>
      <c r="B143" s="120" t="s">
        <v>474</v>
      </c>
      <c r="C143" s="121">
        <v>23</v>
      </c>
      <c r="D143" s="130"/>
      <c r="E143" s="121">
        <v>919987147</v>
      </c>
      <c r="F143" s="131"/>
      <c r="G143" s="131"/>
      <c r="H143" s="131"/>
      <c r="I143" s="131"/>
      <c r="J143" s="131"/>
      <c r="K143" s="131"/>
      <c r="L143" s="132" t="s">
        <v>27</v>
      </c>
      <c r="M143" s="131"/>
      <c r="N143" s="131"/>
      <c r="O143" s="131"/>
      <c r="P143" s="131"/>
      <c r="Q143" s="131"/>
      <c r="R143" s="131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33"/>
      <c r="AG143" s="48">
        <f t="shared" si="0"/>
        <v>1</v>
      </c>
      <c r="AH143" s="48">
        <f t="shared" si="1"/>
        <v>0</v>
      </c>
      <c r="AI143" s="48">
        <f t="shared" si="2"/>
        <v>16.666666666666664</v>
      </c>
      <c r="AJ143" s="51"/>
    </row>
    <row r="144" spans="1:36" ht="13.8">
      <c r="A144" s="135" t="s">
        <v>495</v>
      </c>
      <c r="B144" s="108" t="s">
        <v>478</v>
      </c>
      <c r="C144" s="112">
        <v>30</v>
      </c>
      <c r="D144" s="114"/>
      <c r="E144" s="112">
        <v>939662380</v>
      </c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8"/>
      <c r="AH144" s="138"/>
      <c r="AI144" s="138">
        <f>SUM(AI4:AI143)/141</f>
        <v>47.872340425531931</v>
      </c>
    </row>
    <row r="145" spans="1:36" ht="13.8">
      <c r="A145" s="135" t="s">
        <v>499</v>
      </c>
      <c r="B145" s="108" t="s">
        <v>571</v>
      </c>
      <c r="C145" s="112">
        <v>25</v>
      </c>
      <c r="D145" s="114"/>
      <c r="E145" s="112">
        <v>965461672</v>
      </c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2" t="s">
        <v>27</v>
      </c>
      <c r="Y145" s="132" t="s">
        <v>27</v>
      </c>
      <c r="Z145" s="132" t="s">
        <v>27</v>
      </c>
      <c r="AA145" s="131"/>
      <c r="AB145" s="131"/>
      <c r="AC145" s="131"/>
      <c r="AD145" s="131"/>
      <c r="AE145" s="131"/>
      <c r="AF145" s="131"/>
      <c r="AG145" s="138"/>
      <c r="AH145" s="138"/>
      <c r="AI145" s="138"/>
    </row>
    <row r="146" spans="1:36" ht="13.8">
      <c r="A146" s="135" t="s">
        <v>501</v>
      </c>
      <c r="B146" s="108" t="s">
        <v>486</v>
      </c>
      <c r="C146" s="112">
        <v>25</v>
      </c>
      <c r="D146" s="114"/>
      <c r="E146" s="112">
        <v>929298182</v>
      </c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8"/>
      <c r="AH146" s="138"/>
      <c r="AI146" s="138"/>
    </row>
    <row r="147" spans="1:36" ht="13.8">
      <c r="A147" s="135" t="s">
        <v>505</v>
      </c>
      <c r="B147" s="108" t="s">
        <v>488</v>
      </c>
      <c r="C147" s="112">
        <v>16</v>
      </c>
      <c r="D147" s="114"/>
      <c r="E147" s="112">
        <v>919528145</v>
      </c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8"/>
      <c r="AH147" s="138"/>
      <c r="AI147" s="138"/>
    </row>
    <row r="148" spans="1:36" ht="13.8">
      <c r="A148" s="135" t="s">
        <v>509</v>
      </c>
      <c r="B148" s="108" t="s">
        <v>492</v>
      </c>
      <c r="C148" s="112">
        <v>25</v>
      </c>
      <c r="D148" s="114"/>
      <c r="E148" s="112">
        <v>937646799</v>
      </c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2" t="s">
        <v>27</v>
      </c>
      <c r="AF148" s="132" t="s">
        <v>27</v>
      </c>
      <c r="AG148" s="138"/>
      <c r="AH148" s="138"/>
      <c r="AI148" s="138"/>
    </row>
    <row r="149" spans="1:36" ht="13.8">
      <c r="A149" s="135" t="s">
        <v>511</v>
      </c>
      <c r="B149" s="108" t="s">
        <v>496</v>
      </c>
      <c r="C149" s="112">
        <v>28</v>
      </c>
      <c r="D149" s="114"/>
      <c r="E149" s="112">
        <v>923747202</v>
      </c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2" t="s">
        <v>27</v>
      </c>
      <c r="Y149" s="132" t="s">
        <v>27</v>
      </c>
      <c r="Z149" s="132" t="s">
        <v>27</v>
      </c>
      <c r="AA149" s="131"/>
      <c r="AB149" s="131"/>
      <c r="AC149" s="131"/>
      <c r="AD149" s="131"/>
      <c r="AE149" s="131"/>
      <c r="AF149" s="131"/>
      <c r="AG149" s="138"/>
      <c r="AH149" s="138"/>
      <c r="AI149" s="138"/>
    </row>
    <row r="150" spans="1:36" ht="13.8">
      <c r="A150" s="135" t="s">
        <v>515</v>
      </c>
      <c r="B150" s="108" t="s">
        <v>500</v>
      </c>
      <c r="C150" s="112">
        <v>18</v>
      </c>
      <c r="D150" s="114"/>
      <c r="E150" s="112">
        <v>932402287</v>
      </c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2" t="s">
        <v>27</v>
      </c>
      <c r="AD150" s="131"/>
      <c r="AE150" s="131"/>
      <c r="AF150" s="131"/>
      <c r="AG150" s="138"/>
      <c r="AH150" s="138"/>
      <c r="AI150" s="138"/>
    </row>
    <row r="151" spans="1:36" ht="13.8">
      <c r="A151" s="135" t="s">
        <v>519</v>
      </c>
      <c r="B151" s="108" t="s">
        <v>503</v>
      </c>
      <c r="C151" s="112">
        <v>17</v>
      </c>
      <c r="D151" s="114"/>
      <c r="E151" s="112">
        <v>980119230</v>
      </c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2" t="s">
        <v>27</v>
      </c>
      <c r="AD151" s="132" t="s">
        <v>27</v>
      </c>
      <c r="AE151" s="131"/>
      <c r="AF151" s="131"/>
      <c r="AG151" s="138"/>
      <c r="AH151" s="138"/>
      <c r="AI151" s="138"/>
    </row>
    <row r="152" spans="1:36" ht="13.8">
      <c r="A152" s="135" t="s">
        <v>523</v>
      </c>
      <c r="B152" s="108" t="s">
        <v>506</v>
      </c>
      <c r="C152" s="112">
        <v>39</v>
      </c>
      <c r="D152" s="114"/>
      <c r="E152" s="112">
        <v>924001322</v>
      </c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2" t="s">
        <v>27</v>
      </c>
      <c r="AE152" s="131"/>
      <c r="AF152" s="131"/>
      <c r="AG152" s="138"/>
      <c r="AH152" s="138"/>
      <c r="AI152" s="138"/>
    </row>
    <row r="153" spans="1:36" ht="13.8">
      <c r="A153" s="135" t="s">
        <v>525</v>
      </c>
      <c r="B153" s="136" t="s">
        <v>510</v>
      </c>
      <c r="C153" s="112">
        <v>18</v>
      </c>
      <c r="D153" s="114"/>
      <c r="E153" s="112">
        <v>985906681</v>
      </c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2" t="s">
        <v>27</v>
      </c>
      <c r="Y153" s="132" t="s">
        <v>27</v>
      </c>
      <c r="Z153" s="132" t="s">
        <v>27</v>
      </c>
      <c r="AA153" s="131"/>
      <c r="AB153" s="131"/>
      <c r="AC153" s="132" t="s">
        <v>27</v>
      </c>
      <c r="AD153" s="131"/>
      <c r="AE153" s="131"/>
      <c r="AF153" s="132" t="s">
        <v>27</v>
      </c>
      <c r="AG153" s="143"/>
      <c r="AH153" s="143"/>
      <c r="AI153" s="143"/>
    </row>
    <row r="154" spans="1:36" ht="13.8">
      <c r="A154" s="135" t="s">
        <v>529</v>
      </c>
      <c r="B154" s="108" t="s">
        <v>512</v>
      </c>
      <c r="C154" s="112">
        <v>30</v>
      </c>
      <c r="D154" s="114"/>
      <c r="E154" s="112">
        <v>918687551</v>
      </c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2" t="s">
        <v>27</v>
      </c>
      <c r="AD154" s="131"/>
      <c r="AE154" s="132" t="s">
        <v>27</v>
      </c>
      <c r="AF154" s="132" t="s">
        <v>27</v>
      </c>
      <c r="AG154" s="44"/>
      <c r="AH154" s="44"/>
      <c r="AI154" s="44"/>
      <c r="AJ154" s="44"/>
    </row>
    <row r="155" spans="1:36" ht="13.8">
      <c r="A155" s="135" t="s">
        <v>532</v>
      </c>
      <c r="B155" s="125" t="s">
        <v>516</v>
      </c>
      <c r="C155" s="118"/>
      <c r="D155" s="118"/>
      <c r="E155" s="126">
        <v>902926444</v>
      </c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44"/>
      <c r="AH155" s="44"/>
      <c r="AI155" s="44"/>
      <c r="AJ155" s="44"/>
    </row>
    <row r="156" spans="1:36" ht="13.8">
      <c r="A156" s="135" t="s">
        <v>535</v>
      </c>
      <c r="B156" s="113" t="s">
        <v>520</v>
      </c>
      <c r="C156" s="58">
        <v>26</v>
      </c>
      <c r="D156" s="117"/>
      <c r="E156" s="58">
        <v>967248673</v>
      </c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44"/>
      <c r="AH156" s="44"/>
      <c r="AI156" s="44"/>
      <c r="AJ156" s="44"/>
    </row>
    <row r="157" spans="1:36" ht="13.8">
      <c r="A157" s="135" t="s">
        <v>539</v>
      </c>
      <c r="B157" s="113" t="s">
        <v>524</v>
      </c>
      <c r="C157" s="58">
        <v>28</v>
      </c>
      <c r="D157" s="117"/>
      <c r="E157" s="58">
        <v>925070841</v>
      </c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2" t="s">
        <v>27</v>
      </c>
      <c r="AD157" s="132" t="s">
        <v>27</v>
      </c>
      <c r="AE157" s="132" t="s">
        <v>27</v>
      </c>
      <c r="AF157" s="132" t="s">
        <v>27</v>
      </c>
      <c r="AG157" s="44"/>
      <c r="AH157" s="44"/>
      <c r="AI157" s="44"/>
      <c r="AJ157" s="44"/>
    </row>
    <row r="158" spans="1:36" ht="13.8">
      <c r="A158" s="135" t="s">
        <v>541</v>
      </c>
      <c r="B158" s="113" t="s">
        <v>526</v>
      </c>
      <c r="C158" s="58">
        <v>18</v>
      </c>
      <c r="D158" s="117"/>
      <c r="E158" s="58">
        <v>985396524</v>
      </c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2" t="s">
        <v>27</v>
      </c>
      <c r="Y158" s="132" t="s">
        <v>27</v>
      </c>
      <c r="Z158" s="132" t="s">
        <v>27</v>
      </c>
      <c r="AA158" s="131"/>
      <c r="AB158" s="131"/>
      <c r="AC158" s="131"/>
      <c r="AD158" s="131"/>
      <c r="AE158" s="131"/>
      <c r="AF158" s="131"/>
      <c r="AG158" s="44"/>
      <c r="AH158" s="44"/>
      <c r="AI158" s="44"/>
      <c r="AJ158" s="44"/>
    </row>
    <row r="159" spans="1:36" ht="13.8">
      <c r="A159" s="135" t="s">
        <v>545</v>
      </c>
      <c r="B159" s="113" t="s">
        <v>530</v>
      </c>
      <c r="C159" s="58">
        <v>18</v>
      </c>
      <c r="D159" s="117"/>
      <c r="E159" s="58">
        <v>924185854</v>
      </c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2" t="s">
        <v>27</v>
      </c>
      <c r="Y159" s="132" t="s">
        <v>27</v>
      </c>
      <c r="Z159" s="132" t="s">
        <v>27</v>
      </c>
      <c r="AA159" s="131"/>
      <c r="AB159" s="131"/>
      <c r="AC159" s="131"/>
      <c r="AD159" s="131"/>
      <c r="AE159" s="131"/>
      <c r="AF159" s="131"/>
      <c r="AG159" s="44"/>
      <c r="AH159" s="44"/>
      <c r="AI159" s="44"/>
      <c r="AJ159" s="44"/>
    </row>
    <row r="160" spans="1:36" ht="13.8">
      <c r="A160" s="135" t="s">
        <v>549</v>
      </c>
      <c r="B160" s="113" t="s">
        <v>534</v>
      </c>
      <c r="C160" s="117"/>
      <c r="D160" s="117"/>
      <c r="E160" s="58">
        <v>995465318</v>
      </c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44"/>
      <c r="AH160" s="44"/>
      <c r="AI160" s="44"/>
      <c r="AJ160" s="44"/>
    </row>
    <row r="161" spans="1:36" ht="13.8">
      <c r="A161" s="135" t="s">
        <v>553</v>
      </c>
      <c r="B161" s="113" t="s">
        <v>536</v>
      </c>
      <c r="C161" s="58">
        <v>23</v>
      </c>
      <c r="D161" s="117"/>
      <c r="E161" s="58">
        <v>947142671</v>
      </c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44"/>
      <c r="AH161" s="44"/>
      <c r="AI161" s="44"/>
      <c r="AJ161" s="44"/>
    </row>
    <row r="162" spans="1:36" ht="13.8">
      <c r="A162" s="135" t="s">
        <v>555</v>
      </c>
      <c r="B162" s="113" t="s">
        <v>540</v>
      </c>
      <c r="C162" s="58">
        <v>18</v>
      </c>
      <c r="D162" s="117"/>
      <c r="E162" s="58">
        <v>969387477</v>
      </c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44"/>
      <c r="AH162" s="44"/>
      <c r="AI162" s="44"/>
      <c r="AJ162" s="44"/>
    </row>
    <row r="163" spans="1:36" ht="13.8">
      <c r="A163" s="135" t="s">
        <v>559</v>
      </c>
      <c r="B163" s="113" t="s">
        <v>542</v>
      </c>
      <c r="C163" s="58">
        <v>30</v>
      </c>
      <c r="D163" s="117"/>
      <c r="E163" s="58">
        <v>946038276</v>
      </c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2" t="s">
        <v>27</v>
      </c>
      <c r="AD163" s="132" t="s">
        <v>27</v>
      </c>
      <c r="AE163" s="132" t="s">
        <v>27</v>
      </c>
      <c r="AF163" s="132" t="s">
        <v>27</v>
      </c>
      <c r="AG163" s="44"/>
      <c r="AH163" s="44"/>
      <c r="AI163" s="44"/>
      <c r="AJ163" s="44"/>
    </row>
    <row r="164" spans="1:36" ht="13.8">
      <c r="A164" s="135" t="s">
        <v>562</v>
      </c>
      <c r="B164" s="113" t="s">
        <v>546</v>
      </c>
      <c r="C164" s="58">
        <v>23</v>
      </c>
      <c r="D164" s="117"/>
      <c r="E164" s="58">
        <v>953124226</v>
      </c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2" t="s">
        <v>27</v>
      </c>
      <c r="AE164" s="131"/>
      <c r="AF164" s="131"/>
      <c r="AG164" s="44"/>
      <c r="AH164" s="44"/>
      <c r="AI164" s="44"/>
      <c r="AJ164" s="44"/>
    </row>
    <row r="165" spans="1:36" ht="13.8">
      <c r="A165" s="135" t="s">
        <v>565</v>
      </c>
      <c r="B165" s="113" t="s">
        <v>550</v>
      </c>
      <c r="C165" s="58">
        <v>20</v>
      </c>
      <c r="D165" s="117"/>
      <c r="E165" s="58">
        <v>993446515</v>
      </c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2" t="s">
        <v>27</v>
      </c>
      <c r="AC165" s="132" t="s">
        <v>27</v>
      </c>
      <c r="AD165" s="131"/>
      <c r="AE165" s="131"/>
      <c r="AF165" s="131"/>
      <c r="AG165" s="44"/>
      <c r="AH165" s="44"/>
      <c r="AI165" s="44"/>
      <c r="AJ165" s="44"/>
    </row>
    <row r="166" spans="1:36" ht="13.8">
      <c r="A166" s="135" t="s">
        <v>569</v>
      </c>
      <c r="B166" s="113" t="s">
        <v>554</v>
      </c>
      <c r="C166" s="58">
        <v>21</v>
      </c>
      <c r="D166" s="117"/>
      <c r="E166" s="58">
        <v>918707103</v>
      </c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44"/>
      <c r="AH166" s="44"/>
      <c r="AI166" s="44"/>
      <c r="AJ166" s="44"/>
    </row>
    <row r="167" spans="1:36" ht="13.8">
      <c r="A167" s="135" t="s">
        <v>572</v>
      </c>
      <c r="B167" s="113" t="s">
        <v>556</v>
      </c>
      <c r="C167" s="58">
        <v>23</v>
      </c>
      <c r="D167" s="117"/>
      <c r="E167" s="58">
        <v>997354251</v>
      </c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2" t="s">
        <v>27</v>
      </c>
      <c r="AD167" s="132" t="s">
        <v>27</v>
      </c>
      <c r="AE167" s="131"/>
      <c r="AF167" s="131"/>
      <c r="AG167" s="44"/>
      <c r="AH167" s="44"/>
      <c r="AI167" s="44"/>
      <c r="AJ167" s="44"/>
    </row>
    <row r="168" spans="1:36" ht="13.8">
      <c r="A168" s="135" t="s">
        <v>576</v>
      </c>
      <c r="B168" s="113" t="s">
        <v>560</v>
      </c>
      <c r="C168" s="58">
        <v>39</v>
      </c>
      <c r="D168" s="117"/>
      <c r="E168" s="58">
        <v>913661401</v>
      </c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44"/>
      <c r="AH168" s="44"/>
      <c r="AI168" s="44"/>
      <c r="AJ168" s="44"/>
    </row>
    <row r="169" spans="1:36" ht="13.8">
      <c r="A169" s="135" t="s">
        <v>578</v>
      </c>
      <c r="B169" s="113" t="s">
        <v>564</v>
      </c>
      <c r="C169" s="58">
        <v>14</v>
      </c>
      <c r="D169" s="117"/>
      <c r="E169" s="58">
        <v>913661401</v>
      </c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44"/>
      <c r="AH169" s="44"/>
      <c r="AI169" s="44"/>
      <c r="AJ169" s="44"/>
    </row>
    <row r="170" spans="1:36" ht="13.8">
      <c r="A170" s="135" t="s">
        <v>582</v>
      </c>
      <c r="B170" s="113" t="s">
        <v>566</v>
      </c>
      <c r="C170" s="58">
        <v>14</v>
      </c>
      <c r="D170" s="117"/>
      <c r="E170" s="58">
        <v>913661401</v>
      </c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44"/>
      <c r="AH170" s="44"/>
      <c r="AI170" s="44"/>
      <c r="AJ170" s="44"/>
    </row>
    <row r="171" spans="1:36" ht="13.8">
      <c r="A171" s="135" t="s">
        <v>584</v>
      </c>
      <c r="B171" s="113" t="s">
        <v>570</v>
      </c>
      <c r="C171" s="58">
        <v>40</v>
      </c>
      <c r="D171" s="117"/>
      <c r="E171" s="58">
        <v>951588232</v>
      </c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44"/>
      <c r="AH171" s="44"/>
      <c r="AI171" s="44"/>
      <c r="AJ171" s="44"/>
    </row>
    <row r="172" spans="1:36" ht="13.8">
      <c r="A172" s="135" t="s">
        <v>588</v>
      </c>
      <c r="B172" s="113" t="s">
        <v>573</v>
      </c>
      <c r="C172" s="58">
        <v>25</v>
      </c>
      <c r="D172" s="117"/>
      <c r="E172" s="58">
        <v>940665061</v>
      </c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44"/>
      <c r="AH172" s="44"/>
      <c r="AI172" s="44"/>
      <c r="AJ172" s="44"/>
    </row>
    <row r="173" spans="1:36" ht="13.8">
      <c r="A173" s="135" t="s">
        <v>590</v>
      </c>
      <c r="B173" s="113" t="s">
        <v>577</v>
      </c>
      <c r="C173" s="58">
        <v>17</v>
      </c>
      <c r="D173" s="117"/>
      <c r="E173" s="58">
        <v>975832487</v>
      </c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44"/>
      <c r="AH173" s="44"/>
      <c r="AI173" s="44"/>
      <c r="AJ173" s="44"/>
    </row>
    <row r="174" spans="1:36" ht="13.8">
      <c r="A174" s="135" t="s">
        <v>594</v>
      </c>
      <c r="B174" s="113" t="s">
        <v>579</v>
      </c>
      <c r="C174" s="58">
        <v>17</v>
      </c>
      <c r="D174" s="117"/>
      <c r="E174" s="58">
        <v>988908990</v>
      </c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44"/>
      <c r="AH174" s="44"/>
      <c r="AI174" s="44"/>
      <c r="AJ174" s="44"/>
    </row>
    <row r="175" spans="1:36" ht="13.8">
      <c r="A175" s="135" t="s">
        <v>596</v>
      </c>
      <c r="B175" s="113" t="s">
        <v>583</v>
      </c>
      <c r="C175" s="58">
        <v>20</v>
      </c>
      <c r="D175" s="117"/>
      <c r="E175" s="58">
        <v>948270699</v>
      </c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44"/>
      <c r="AH175" s="4"/>
      <c r="AI175" s="4"/>
      <c r="AJ175" s="4"/>
    </row>
    <row r="176" spans="1:36" ht="13.8">
      <c r="A176" s="135" t="s">
        <v>600</v>
      </c>
      <c r="B176" s="113" t="s">
        <v>585</v>
      </c>
      <c r="C176" s="58">
        <v>16</v>
      </c>
      <c r="D176" s="117"/>
      <c r="E176" s="58">
        <v>910022442</v>
      </c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2" t="s">
        <v>27</v>
      </c>
      <c r="AE176" s="131"/>
      <c r="AF176" s="131"/>
      <c r="AG176" s="44"/>
      <c r="AH176" s="4"/>
      <c r="AI176" s="4"/>
      <c r="AJ176" s="4"/>
    </row>
    <row r="177" spans="1:36" ht="13.8">
      <c r="A177" s="135" t="s">
        <v>604</v>
      </c>
      <c r="B177" s="113" t="s">
        <v>589</v>
      </c>
      <c r="C177" s="58">
        <v>16</v>
      </c>
      <c r="D177" s="117"/>
      <c r="E177" s="58">
        <v>912022442</v>
      </c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2" t="s">
        <v>27</v>
      </c>
      <c r="AE177" s="131"/>
      <c r="AF177" s="131"/>
      <c r="AG177" s="44"/>
      <c r="AH177" s="4"/>
      <c r="AI177" s="4"/>
      <c r="AJ177" s="4"/>
    </row>
    <row r="178" spans="1:36" ht="13.8">
      <c r="A178" s="135" t="s">
        <v>607</v>
      </c>
      <c r="B178" s="113" t="s">
        <v>591</v>
      </c>
      <c r="C178" s="58">
        <v>20</v>
      </c>
      <c r="D178" s="117"/>
      <c r="E178" s="58">
        <v>903578454</v>
      </c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2" t="s">
        <v>27</v>
      </c>
      <c r="AD178" s="132" t="s">
        <v>27</v>
      </c>
      <c r="AE178" s="131"/>
      <c r="AF178" s="131"/>
      <c r="AG178" s="44"/>
      <c r="AH178" s="4"/>
      <c r="AI178" s="4"/>
      <c r="AJ178" s="4"/>
    </row>
    <row r="179" spans="1:36" ht="13.8">
      <c r="A179" s="135" t="s">
        <v>610</v>
      </c>
      <c r="B179" s="113" t="s">
        <v>595</v>
      </c>
      <c r="C179" s="58">
        <v>17</v>
      </c>
      <c r="D179" s="117"/>
      <c r="E179" s="58">
        <v>938216049</v>
      </c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44"/>
      <c r="AH179" s="4"/>
      <c r="AI179" s="4"/>
      <c r="AJ179" s="4"/>
    </row>
    <row r="180" spans="1:36" ht="13.8">
      <c r="A180" s="135" t="s">
        <v>613</v>
      </c>
      <c r="B180" s="113" t="s">
        <v>597</v>
      </c>
      <c r="C180" s="58">
        <v>16</v>
      </c>
      <c r="D180" s="117"/>
      <c r="E180" s="58">
        <v>938216049</v>
      </c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  <c r="AH180" s="4"/>
      <c r="AI180" s="4"/>
      <c r="AJ180" s="4"/>
    </row>
    <row r="181" spans="1:36" ht="13.8">
      <c r="A181" s="135" t="s">
        <v>616</v>
      </c>
      <c r="B181" s="139" t="s">
        <v>601</v>
      </c>
      <c r="C181" s="140">
        <v>20</v>
      </c>
      <c r="D181" s="141"/>
      <c r="E181" s="14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  <c r="AH181" s="4"/>
      <c r="AI181" s="4"/>
      <c r="AJ181" s="4"/>
    </row>
    <row r="182" spans="1:36" ht="13.8">
      <c r="A182" s="135" t="s">
        <v>620</v>
      </c>
      <c r="B182" s="139" t="s">
        <v>605</v>
      </c>
      <c r="C182" s="140">
        <v>19</v>
      </c>
      <c r="D182" s="141"/>
      <c r="E182" s="140">
        <v>940086163</v>
      </c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4"/>
      <c r="AI182" s="4"/>
      <c r="AJ182" s="4"/>
    </row>
    <row r="183" spans="1:36" ht="13.8">
      <c r="A183" s="135" t="s">
        <v>622</v>
      </c>
      <c r="B183" s="139" t="s">
        <v>608</v>
      </c>
      <c r="C183" s="140">
        <v>16</v>
      </c>
      <c r="D183" s="141"/>
      <c r="E183" s="140">
        <v>911443168</v>
      </c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2" t="s">
        <v>27</v>
      </c>
      <c r="AE183" s="131"/>
      <c r="AF183" s="131"/>
      <c r="AG183" s="131"/>
      <c r="AH183" s="4"/>
      <c r="AI183" s="4"/>
      <c r="AJ183" s="4"/>
    </row>
    <row r="184" spans="1:36" ht="13.8">
      <c r="A184" s="135" t="s">
        <v>626</v>
      </c>
      <c r="B184" s="139" t="s">
        <v>611</v>
      </c>
      <c r="C184" s="140">
        <v>23</v>
      </c>
      <c r="D184" s="141"/>
      <c r="E184" s="140">
        <v>964385749</v>
      </c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2" t="s">
        <v>27</v>
      </c>
      <c r="Z184" s="132" t="s">
        <v>27</v>
      </c>
      <c r="AA184" s="131"/>
      <c r="AB184" s="131"/>
      <c r="AC184" s="132" t="s">
        <v>27</v>
      </c>
      <c r="AD184" s="132" t="s">
        <v>27</v>
      </c>
      <c r="AE184" s="131"/>
      <c r="AF184" s="131"/>
      <c r="AG184" s="131"/>
      <c r="AH184" s="4"/>
      <c r="AI184" s="4"/>
      <c r="AJ184" s="4"/>
    </row>
    <row r="185" spans="1:36" ht="13.8">
      <c r="A185" s="135" t="s">
        <v>629</v>
      </c>
      <c r="B185" s="139" t="s">
        <v>675</v>
      </c>
      <c r="C185" s="140">
        <v>24</v>
      </c>
      <c r="D185" s="140" t="s">
        <v>26</v>
      </c>
      <c r="E185" s="140">
        <v>967477133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1:36" ht="13.8">
      <c r="A186" s="135" t="s">
        <v>632</v>
      </c>
      <c r="B186" s="139" t="s">
        <v>676</v>
      </c>
      <c r="C186" s="140">
        <v>26</v>
      </c>
      <c r="D186" s="141"/>
      <c r="E186" s="140">
        <v>986548321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1:36" ht="13.8">
      <c r="A187" s="135" t="s">
        <v>634</v>
      </c>
      <c r="B187" s="139" t="s">
        <v>677</v>
      </c>
      <c r="C187" s="140">
        <v>21</v>
      </c>
      <c r="D187" s="141"/>
      <c r="E187" s="140">
        <v>907448999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1:36" ht="13.8">
      <c r="A188" s="135" t="s">
        <v>638</v>
      </c>
      <c r="B188" s="4"/>
      <c r="D188" s="14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1:36" ht="13.8">
      <c r="A189" s="135" t="s">
        <v>640</v>
      </c>
      <c r="B189" s="4"/>
      <c r="C189" s="141"/>
      <c r="D189" s="141"/>
      <c r="E189" s="14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1:36" ht="13.2">
      <c r="C190" s="10"/>
      <c r="D190" s="10"/>
      <c r="E190" s="10"/>
    </row>
    <row r="191" spans="1:36" ht="13.2">
      <c r="C191" s="10"/>
      <c r="D191" s="10"/>
      <c r="E191" s="10"/>
    </row>
    <row r="192" spans="1:36" ht="13.2">
      <c r="C192" s="10"/>
      <c r="D192" s="10"/>
      <c r="E192" s="10"/>
    </row>
    <row r="193" spans="3:5" ht="13.2">
      <c r="C193" s="10"/>
      <c r="D193" s="10"/>
      <c r="E193" s="10"/>
    </row>
    <row r="194" spans="3:5" ht="13.2">
      <c r="C194" s="10"/>
      <c r="D194" s="10"/>
      <c r="E194" s="10"/>
    </row>
    <row r="195" spans="3:5" ht="13.2">
      <c r="C195" s="10"/>
      <c r="D195" s="10"/>
      <c r="E195" s="10"/>
    </row>
    <row r="196" spans="3:5" ht="13.2">
      <c r="C196" s="10"/>
      <c r="D196" s="10"/>
      <c r="E196" s="10"/>
    </row>
    <row r="197" spans="3:5" ht="13.2">
      <c r="C197" s="10"/>
      <c r="D197" s="10"/>
      <c r="E197" s="10"/>
    </row>
    <row r="198" spans="3:5" ht="13.2">
      <c r="C198" s="10"/>
      <c r="D198" s="10"/>
      <c r="E198" s="10"/>
    </row>
    <row r="199" spans="3:5" ht="13.2">
      <c r="C199" s="10"/>
      <c r="D199" s="10"/>
      <c r="E199" s="10"/>
    </row>
    <row r="200" spans="3:5" ht="13.2">
      <c r="C200" s="10"/>
      <c r="D200" s="10"/>
      <c r="E200" s="10"/>
    </row>
    <row r="201" spans="3:5" ht="13.2">
      <c r="C201" s="10"/>
      <c r="D201" s="10"/>
      <c r="E201" s="10"/>
    </row>
    <row r="202" spans="3:5" ht="13.2">
      <c r="C202" s="10"/>
      <c r="D202" s="10"/>
      <c r="E202" s="10"/>
    </row>
    <row r="203" spans="3:5" ht="13.2">
      <c r="C203" s="10"/>
      <c r="D203" s="10"/>
      <c r="E203" s="10"/>
    </row>
    <row r="204" spans="3:5" ht="13.2">
      <c r="C204" s="10"/>
      <c r="D204" s="10"/>
      <c r="E204" s="10"/>
    </row>
    <row r="205" spans="3:5" ht="13.2">
      <c r="C205" s="10"/>
      <c r="D205" s="10"/>
      <c r="E205" s="10"/>
    </row>
    <row r="206" spans="3:5" ht="13.2">
      <c r="C206" s="10"/>
      <c r="D206" s="10"/>
      <c r="E206" s="10"/>
    </row>
    <row r="207" spans="3:5" ht="13.2">
      <c r="C207" s="10"/>
      <c r="D207" s="10"/>
      <c r="E207" s="10"/>
    </row>
    <row r="208" spans="3:5" ht="13.2">
      <c r="C208" s="10"/>
      <c r="D208" s="10"/>
      <c r="E208" s="10"/>
    </row>
    <row r="209" spans="3:5" ht="13.2">
      <c r="C209" s="10"/>
      <c r="D209" s="10"/>
      <c r="E209" s="10"/>
    </row>
    <row r="210" spans="3:5" ht="13.2">
      <c r="C210" s="10"/>
      <c r="D210" s="10"/>
      <c r="E210" s="10"/>
    </row>
    <row r="211" spans="3:5" ht="13.2">
      <c r="C211" s="10"/>
      <c r="D211" s="10"/>
      <c r="E211" s="10"/>
    </row>
    <row r="212" spans="3:5" ht="13.2">
      <c r="C212" s="10"/>
      <c r="D212" s="10"/>
      <c r="E212" s="10"/>
    </row>
    <row r="213" spans="3:5" ht="13.2">
      <c r="C213" s="10"/>
      <c r="D213" s="10"/>
      <c r="E213" s="10"/>
    </row>
    <row r="214" spans="3:5" ht="13.2">
      <c r="C214" s="10"/>
      <c r="D214" s="10"/>
      <c r="E214" s="10"/>
    </row>
    <row r="215" spans="3:5" ht="13.2">
      <c r="C215" s="10"/>
      <c r="D215" s="10"/>
      <c r="E215" s="10"/>
    </row>
    <row r="216" spans="3:5" ht="13.2">
      <c r="C216" s="10"/>
      <c r="D216" s="10"/>
      <c r="E216" s="10"/>
    </row>
    <row r="217" spans="3:5" ht="13.2">
      <c r="C217" s="10"/>
      <c r="D217" s="10"/>
      <c r="E217" s="10"/>
    </row>
    <row r="218" spans="3:5" ht="13.2">
      <c r="C218" s="10"/>
      <c r="D218" s="10"/>
      <c r="E218" s="10"/>
    </row>
    <row r="219" spans="3:5" ht="13.2">
      <c r="C219" s="10"/>
      <c r="D219" s="10"/>
      <c r="E219" s="10"/>
    </row>
    <row r="220" spans="3:5" ht="13.2">
      <c r="C220" s="10"/>
      <c r="D220" s="10"/>
      <c r="E220" s="10"/>
    </row>
    <row r="221" spans="3:5" ht="13.2">
      <c r="C221" s="10"/>
      <c r="D221" s="10"/>
      <c r="E221" s="10"/>
    </row>
    <row r="222" spans="3:5" ht="13.2">
      <c r="C222" s="10"/>
      <c r="D222" s="10"/>
      <c r="E222" s="10"/>
    </row>
    <row r="223" spans="3:5" ht="13.2">
      <c r="C223" s="10"/>
      <c r="D223" s="10"/>
      <c r="E223" s="10"/>
    </row>
    <row r="224" spans="3:5" ht="13.2">
      <c r="C224" s="10"/>
      <c r="D224" s="10"/>
      <c r="E224" s="10"/>
    </row>
    <row r="225" spans="3:5" ht="13.2">
      <c r="C225" s="10"/>
      <c r="D225" s="10"/>
      <c r="E225" s="10"/>
    </row>
    <row r="226" spans="3:5" ht="13.2">
      <c r="C226" s="10"/>
      <c r="D226" s="10"/>
      <c r="E226" s="10"/>
    </row>
    <row r="227" spans="3:5" ht="13.2">
      <c r="C227" s="10"/>
      <c r="D227" s="10"/>
      <c r="E227" s="10"/>
    </row>
    <row r="228" spans="3:5" ht="13.2">
      <c r="C228" s="10"/>
      <c r="D228" s="10"/>
      <c r="E228" s="10"/>
    </row>
    <row r="229" spans="3:5" ht="13.2">
      <c r="C229" s="10"/>
      <c r="D229" s="10"/>
      <c r="E229" s="10"/>
    </row>
    <row r="230" spans="3:5" ht="13.2">
      <c r="C230" s="10"/>
      <c r="D230" s="10"/>
      <c r="E230" s="10"/>
    </row>
    <row r="231" spans="3:5" ht="13.2">
      <c r="C231" s="10"/>
      <c r="D231" s="10"/>
      <c r="E231" s="10"/>
    </row>
    <row r="232" spans="3:5" ht="13.2">
      <c r="C232" s="10"/>
      <c r="D232" s="10"/>
      <c r="E232" s="10"/>
    </row>
    <row r="233" spans="3:5" ht="13.2">
      <c r="C233" s="10"/>
      <c r="D233" s="10"/>
      <c r="E233" s="10"/>
    </row>
    <row r="234" spans="3:5" ht="13.2">
      <c r="C234" s="10"/>
      <c r="D234" s="10"/>
      <c r="E234" s="10"/>
    </row>
    <row r="235" spans="3:5" ht="13.2">
      <c r="C235" s="10"/>
      <c r="D235" s="10"/>
      <c r="E235" s="10"/>
    </row>
    <row r="236" spans="3:5" ht="13.2">
      <c r="C236" s="10"/>
      <c r="D236" s="10"/>
      <c r="E236" s="10"/>
    </row>
    <row r="237" spans="3:5" ht="13.2">
      <c r="C237" s="10"/>
      <c r="D237" s="10"/>
      <c r="E237" s="10"/>
    </row>
    <row r="238" spans="3:5" ht="13.2">
      <c r="C238" s="10"/>
      <c r="D238" s="10"/>
      <c r="E238" s="10"/>
    </row>
    <row r="239" spans="3:5" ht="13.2">
      <c r="C239" s="10"/>
      <c r="D239" s="10"/>
      <c r="E239" s="10"/>
    </row>
    <row r="240" spans="3:5" ht="13.2">
      <c r="C240" s="10"/>
      <c r="D240" s="10"/>
      <c r="E240" s="10"/>
    </row>
    <row r="241" spans="3:5" ht="13.2">
      <c r="C241" s="10"/>
      <c r="D241" s="10"/>
      <c r="E241" s="10"/>
    </row>
    <row r="242" spans="3:5" ht="13.2">
      <c r="C242" s="10"/>
      <c r="D242" s="10"/>
      <c r="E242" s="10"/>
    </row>
    <row r="243" spans="3:5" ht="13.2">
      <c r="C243" s="10"/>
      <c r="D243" s="10"/>
      <c r="E243" s="10"/>
    </row>
    <row r="244" spans="3:5" ht="13.2">
      <c r="C244" s="10"/>
      <c r="D244" s="10"/>
      <c r="E244" s="10"/>
    </row>
    <row r="245" spans="3:5" ht="13.2">
      <c r="C245" s="10"/>
      <c r="D245" s="10"/>
      <c r="E245" s="10"/>
    </row>
    <row r="246" spans="3:5" ht="13.2">
      <c r="C246" s="10"/>
      <c r="D246" s="10"/>
      <c r="E246" s="10"/>
    </row>
    <row r="247" spans="3:5" ht="13.2">
      <c r="C247" s="10"/>
      <c r="D247" s="10"/>
      <c r="E247" s="10"/>
    </row>
    <row r="248" spans="3:5" ht="13.2">
      <c r="C248" s="10"/>
      <c r="D248" s="10"/>
      <c r="E248" s="10"/>
    </row>
    <row r="249" spans="3:5" ht="13.2">
      <c r="C249" s="10"/>
      <c r="D249" s="10"/>
      <c r="E249" s="10"/>
    </row>
    <row r="250" spans="3:5" ht="13.2">
      <c r="C250" s="10"/>
      <c r="D250" s="10"/>
      <c r="E250" s="10"/>
    </row>
    <row r="251" spans="3:5" ht="13.2">
      <c r="C251" s="10"/>
      <c r="D251" s="10"/>
      <c r="E251" s="10"/>
    </row>
    <row r="252" spans="3:5" ht="13.2">
      <c r="C252" s="10"/>
      <c r="D252" s="10"/>
      <c r="E252" s="10"/>
    </row>
    <row r="253" spans="3:5" ht="13.2">
      <c r="C253" s="10"/>
      <c r="D253" s="10"/>
      <c r="E253" s="10"/>
    </row>
    <row r="254" spans="3:5" ht="13.2">
      <c r="C254" s="10"/>
      <c r="D254" s="10"/>
      <c r="E254" s="10"/>
    </row>
    <row r="255" spans="3:5" ht="13.2">
      <c r="C255" s="10"/>
      <c r="D255" s="10"/>
      <c r="E255" s="10"/>
    </row>
    <row r="256" spans="3:5" ht="13.2">
      <c r="C256" s="10"/>
      <c r="D256" s="10"/>
      <c r="E256" s="10"/>
    </row>
    <row r="257" spans="3:5" ht="13.2">
      <c r="C257" s="10"/>
      <c r="D257" s="10"/>
      <c r="E257" s="10"/>
    </row>
    <row r="258" spans="3:5" ht="13.2">
      <c r="C258" s="10"/>
      <c r="D258" s="10"/>
      <c r="E258" s="10"/>
    </row>
    <row r="259" spans="3:5" ht="13.2">
      <c r="C259" s="10"/>
      <c r="D259" s="10"/>
      <c r="E259" s="10"/>
    </row>
    <row r="260" spans="3:5" ht="13.2">
      <c r="C260" s="10"/>
      <c r="D260" s="10"/>
      <c r="E260" s="10"/>
    </row>
    <row r="261" spans="3:5" ht="13.2">
      <c r="C261" s="10"/>
      <c r="D261" s="10"/>
      <c r="E261" s="10"/>
    </row>
    <row r="262" spans="3:5" ht="13.2">
      <c r="C262" s="10"/>
      <c r="D262" s="10"/>
      <c r="E262" s="10"/>
    </row>
    <row r="263" spans="3:5" ht="13.2">
      <c r="C263" s="10"/>
      <c r="D263" s="10"/>
      <c r="E263" s="10"/>
    </row>
    <row r="264" spans="3:5" ht="13.2">
      <c r="C264" s="10"/>
      <c r="D264" s="10"/>
      <c r="E264" s="10"/>
    </row>
    <row r="265" spans="3:5" ht="13.2">
      <c r="C265" s="10"/>
      <c r="D265" s="10"/>
      <c r="E265" s="10"/>
    </row>
    <row r="266" spans="3:5" ht="13.2">
      <c r="C266" s="10"/>
      <c r="D266" s="10"/>
      <c r="E266" s="10"/>
    </row>
    <row r="267" spans="3:5" ht="13.2">
      <c r="C267" s="10"/>
      <c r="D267" s="10"/>
      <c r="E267" s="10"/>
    </row>
    <row r="268" spans="3:5" ht="13.2">
      <c r="C268" s="10"/>
      <c r="D268" s="10"/>
      <c r="E268" s="10"/>
    </row>
    <row r="269" spans="3:5" ht="13.2">
      <c r="C269" s="10"/>
      <c r="D269" s="10"/>
      <c r="E269" s="10"/>
    </row>
    <row r="270" spans="3:5" ht="13.2">
      <c r="C270" s="10"/>
      <c r="D270" s="10"/>
      <c r="E270" s="10"/>
    </row>
    <row r="271" spans="3:5" ht="13.2">
      <c r="C271" s="10"/>
      <c r="D271" s="10"/>
      <c r="E271" s="10"/>
    </row>
    <row r="272" spans="3:5" ht="13.2">
      <c r="C272" s="10"/>
      <c r="D272" s="10"/>
      <c r="E272" s="10"/>
    </row>
    <row r="273" spans="3:5" ht="13.2">
      <c r="C273" s="10"/>
      <c r="D273" s="10"/>
      <c r="E273" s="10"/>
    </row>
    <row r="274" spans="3:5" ht="13.2">
      <c r="C274" s="10"/>
      <c r="D274" s="10"/>
      <c r="E274" s="10"/>
    </row>
    <row r="275" spans="3:5" ht="13.2">
      <c r="C275" s="10"/>
      <c r="D275" s="10"/>
      <c r="E275" s="10"/>
    </row>
    <row r="276" spans="3:5" ht="13.2">
      <c r="C276" s="10"/>
      <c r="D276" s="10"/>
      <c r="E276" s="10"/>
    </row>
    <row r="277" spans="3:5" ht="13.2">
      <c r="C277" s="10"/>
      <c r="D277" s="10"/>
      <c r="E277" s="10"/>
    </row>
    <row r="278" spans="3:5" ht="13.2">
      <c r="C278" s="10"/>
      <c r="D278" s="10"/>
      <c r="E278" s="10"/>
    </row>
    <row r="279" spans="3:5" ht="13.2">
      <c r="C279" s="10"/>
      <c r="D279" s="10"/>
      <c r="E279" s="10"/>
    </row>
    <row r="280" spans="3:5" ht="13.2">
      <c r="C280" s="10"/>
      <c r="D280" s="10"/>
      <c r="E280" s="10"/>
    </row>
    <row r="281" spans="3:5" ht="13.2">
      <c r="C281" s="10"/>
      <c r="D281" s="10"/>
      <c r="E281" s="10"/>
    </row>
    <row r="282" spans="3:5" ht="13.2">
      <c r="C282" s="10"/>
      <c r="D282" s="10"/>
      <c r="E282" s="10"/>
    </row>
    <row r="283" spans="3:5" ht="13.2">
      <c r="C283" s="10"/>
      <c r="D283" s="10"/>
      <c r="E283" s="10"/>
    </row>
    <row r="284" spans="3:5" ht="13.2">
      <c r="C284" s="10"/>
      <c r="D284" s="10"/>
      <c r="E284" s="10"/>
    </row>
    <row r="285" spans="3:5" ht="13.2">
      <c r="C285" s="10"/>
      <c r="D285" s="10"/>
      <c r="E285" s="10"/>
    </row>
    <row r="286" spans="3:5" ht="13.2">
      <c r="C286" s="10"/>
      <c r="D286" s="10"/>
      <c r="E286" s="10"/>
    </row>
    <row r="287" spans="3:5" ht="13.2">
      <c r="C287" s="10"/>
      <c r="D287" s="10"/>
      <c r="E287" s="10"/>
    </row>
    <row r="288" spans="3:5" ht="13.2">
      <c r="C288" s="10"/>
      <c r="D288" s="10"/>
      <c r="E288" s="10"/>
    </row>
    <row r="289" spans="3:5" ht="13.2">
      <c r="C289" s="10"/>
      <c r="D289" s="10"/>
      <c r="E289" s="10"/>
    </row>
    <row r="290" spans="3:5" ht="13.2">
      <c r="C290" s="10"/>
      <c r="D290" s="10"/>
      <c r="E290" s="10"/>
    </row>
    <row r="291" spans="3:5" ht="13.2">
      <c r="C291" s="10"/>
      <c r="D291" s="10"/>
      <c r="E291" s="10"/>
    </row>
    <row r="292" spans="3:5" ht="13.2">
      <c r="C292" s="10"/>
      <c r="D292" s="10"/>
      <c r="E292" s="10"/>
    </row>
    <row r="293" spans="3:5" ht="13.2">
      <c r="C293" s="10"/>
      <c r="D293" s="10"/>
      <c r="E293" s="10"/>
    </row>
    <row r="294" spans="3:5" ht="13.2">
      <c r="C294" s="10"/>
      <c r="D294" s="10"/>
      <c r="E294" s="10"/>
    </row>
    <row r="295" spans="3:5" ht="13.2">
      <c r="C295" s="10"/>
      <c r="D295" s="10"/>
      <c r="E295" s="10"/>
    </row>
    <row r="296" spans="3:5" ht="13.2">
      <c r="C296" s="10"/>
      <c r="D296" s="10"/>
      <c r="E296" s="10"/>
    </row>
    <row r="297" spans="3:5" ht="13.2">
      <c r="C297" s="10"/>
      <c r="D297" s="10"/>
      <c r="E297" s="10"/>
    </row>
    <row r="298" spans="3:5" ht="13.2">
      <c r="C298" s="10"/>
      <c r="D298" s="10"/>
      <c r="E298" s="10"/>
    </row>
    <row r="299" spans="3:5" ht="13.2">
      <c r="C299" s="10"/>
      <c r="D299" s="10"/>
      <c r="E299" s="10"/>
    </row>
    <row r="300" spans="3:5" ht="13.2">
      <c r="C300" s="10"/>
      <c r="D300" s="10"/>
      <c r="E300" s="10"/>
    </row>
    <row r="301" spans="3:5" ht="13.2">
      <c r="C301" s="10"/>
      <c r="D301" s="10"/>
      <c r="E301" s="10"/>
    </row>
    <row r="302" spans="3:5" ht="13.2">
      <c r="C302" s="10"/>
      <c r="D302" s="10"/>
      <c r="E302" s="10"/>
    </row>
    <row r="303" spans="3:5" ht="13.2">
      <c r="C303" s="10"/>
      <c r="D303" s="10"/>
      <c r="E303" s="10"/>
    </row>
    <row r="304" spans="3:5" ht="13.2">
      <c r="C304" s="10"/>
      <c r="D304" s="10"/>
      <c r="E304" s="10"/>
    </row>
    <row r="305" spans="3:5" ht="13.2">
      <c r="C305" s="10"/>
      <c r="D305" s="10"/>
      <c r="E305" s="10"/>
    </row>
    <row r="306" spans="3:5" ht="13.2">
      <c r="C306" s="10"/>
      <c r="D306" s="10"/>
      <c r="E306" s="10"/>
    </row>
    <row r="307" spans="3:5" ht="13.2">
      <c r="C307" s="10"/>
      <c r="D307" s="10"/>
      <c r="E307" s="10"/>
    </row>
    <row r="308" spans="3:5" ht="13.2">
      <c r="C308" s="10"/>
      <c r="D308" s="10"/>
      <c r="E308" s="10"/>
    </row>
    <row r="309" spans="3:5" ht="13.2">
      <c r="C309" s="10"/>
      <c r="D309" s="10"/>
      <c r="E309" s="10"/>
    </row>
    <row r="310" spans="3:5" ht="13.2">
      <c r="C310" s="10"/>
      <c r="D310" s="10"/>
      <c r="E310" s="10"/>
    </row>
    <row r="311" spans="3:5" ht="13.2">
      <c r="C311" s="10"/>
      <c r="D311" s="10"/>
      <c r="E311" s="10"/>
    </row>
    <row r="312" spans="3:5" ht="13.2">
      <c r="C312" s="10"/>
      <c r="D312" s="10"/>
      <c r="E312" s="10"/>
    </row>
    <row r="313" spans="3:5" ht="13.2">
      <c r="C313" s="10"/>
      <c r="D313" s="10"/>
      <c r="E313" s="10"/>
    </row>
    <row r="314" spans="3:5" ht="13.2">
      <c r="C314" s="10"/>
      <c r="D314" s="10"/>
      <c r="E314" s="10"/>
    </row>
    <row r="315" spans="3:5" ht="13.2">
      <c r="C315" s="10"/>
      <c r="D315" s="10"/>
      <c r="E315" s="10"/>
    </row>
    <row r="316" spans="3:5" ht="13.2">
      <c r="C316" s="10"/>
      <c r="D316" s="10"/>
      <c r="E316" s="10"/>
    </row>
    <row r="317" spans="3:5" ht="13.2">
      <c r="C317" s="10"/>
      <c r="D317" s="10"/>
      <c r="E317" s="10"/>
    </row>
    <row r="318" spans="3:5" ht="13.2">
      <c r="C318" s="10"/>
      <c r="D318" s="10"/>
      <c r="E318" s="10"/>
    </row>
    <row r="319" spans="3:5" ht="13.2">
      <c r="C319" s="10"/>
      <c r="D319" s="10"/>
      <c r="E319" s="10"/>
    </row>
    <row r="320" spans="3:5" ht="13.2">
      <c r="C320" s="10"/>
      <c r="D320" s="10"/>
      <c r="E320" s="10"/>
    </row>
    <row r="321" spans="3:5" ht="13.2">
      <c r="C321" s="10"/>
      <c r="D321" s="10"/>
      <c r="E321" s="10"/>
    </row>
    <row r="322" spans="3:5" ht="13.2">
      <c r="C322" s="10"/>
      <c r="D322" s="10"/>
      <c r="E322" s="10"/>
    </row>
    <row r="323" spans="3:5" ht="13.2">
      <c r="C323" s="10"/>
      <c r="D323" s="10"/>
      <c r="E323" s="10"/>
    </row>
    <row r="324" spans="3:5" ht="13.2">
      <c r="C324" s="10"/>
      <c r="D324" s="10"/>
      <c r="E324" s="10"/>
    </row>
    <row r="325" spans="3:5" ht="13.2">
      <c r="C325" s="10"/>
      <c r="D325" s="10"/>
      <c r="E325" s="10"/>
    </row>
    <row r="326" spans="3:5" ht="13.2">
      <c r="C326" s="10"/>
      <c r="D326" s="10"/>
      <c r="E326" s="10"/>
    </row>
    <row r="327" spans="3:5" ht="13.2">
      <c r="C327" s="10"/>
      <c r="D327" s="10"/>
      <c r="E327" s="10"/>
    </row>
    <row r="328" spans="3:5" ht="13.2">
      <c r="C328" s="10"/>
      <c r="D328" s="10"/>
      <c r="E328" s="10"/>
    </row>
    <row r="329" spans="3:5" ht="13.2">
      <c r="C329" s="10"/>
      <c r="D329" s="10"/>
      <c r="E329" s="10"/>
    </row>
    <row r="330" spans="3:5" ht="13.2">
      <c r="C330" s="10"/>
      <c r="D330" s="10"/>
      <c r="E330" s="10"/>
    </row>
    <row r="331" spans="3:5" ht="13.2">
      <c r="C331" s="10"/>
      <c r="D331" s="10"/>
      <c r="E331" s="10"/>
    </row>
    <row r="332" spans="3:5" ht="13.2">
      <c r="C332" s="10"/>
      <c r="D332" s="10"/>
      <c r="E332" s="10"/>
    </row>
    <row r="333" spans="3:5" ht="13.2">
      <c r="C333" s="10"/>
      <c r="D333" s="10"/>
      <c r="E333" s="10"/>
    </row>
    <row r="334" spans="3:5" ht="13.2">
      <c r="C334" s="10"/>
      <c r="D334" s="10"/>
      <c r="E334" s="10"/>
    </row>
    <row r="335" spans="3:5" ht="13.2">
      <c r="C335" s="10"/>
      <c r="D335" s="10"/>
      <c r="E335" s="10"/>
    </row>
    <row r="336" spans="3:5" ht="13.2">
      <c r="C336" s="10"/>
      <c r="D336" s="10"/>
      <c r="E336" s="10"/>
    </row>
    <row r="337" spans="3:5" ht="13.2">
      <c r="C337" s="10"/>
      <c r="D337" s="10"/>
      <c r="E337" s="10"/>
    </row>
    <row r="338" spans="3:5" ht="13.2">
      <c r="C338" s="10"/>
      <c r="D338" s="10"/>
      <c r="E338" s="10"/>
    </row>
    <row r="339" spans="3:5" ht="13.2">
      <c r="C339" s="10"/>
      <c r="D339" s="10"/>
      <c r="E339" s="10"/>
    </row>
    <row r="340" spans="3:5" ht="13.2">
      <c r="C340" s="10"/>
      <c r="D340" s="10"/>
      <c r="E340" s="10"/>
    </row>
    <row r="341" spans="3:5" ht="13.2">
      <c r="C341" s="10"/>
      <c r="D341" s="10"/>
      <c r="E341" s="10"/>
    </row>
    <row r="342" spans="3:5" ht="13.2">
      <c r="C342" s="10"/>
      <c r="D342" s="10"/>
      <c r="E342" s="10"/>
    </row>
    <row r="343" spans="3:5" ht="13.2">
      <c r="C343" s="10"/>
      <c r="D343" s="10"/>
      <c r="E343" s="10"/>
    </row>
    <row r="344" spans="3:5" ht="13.2">
      <c r="C344" s="10"/>
      <c r="D344" s="10"/>
      <c r="E344" s="10"/>
    </row>
    <row r="345" spans="3:5" ht="13.2">
      <c r="C345" s="10"/>
      <c r="D345" s="10"/>
      <c r="E345" s="10"/>
    </row>
    <row r="346" spans="3:5" ht="13.2">
      <c r="C346" s="10"/>
      <c r="D346" s="10"/>
      <c r="E346" s="10"/>
    </row>
    <row r="347" spans="3:5" ht="13.2">
      <c r="C347" s="10"/>
      <c r="D347" s="10"/>
      <c r="E347" s="10"/>
    </row>
    <row r="348" spans="3:5" ht="13.2">
      <c r="C348" s="10"/>
      <c r="D348" s="10"/>
      <c r="E348" s="10"/>
    </row>
    <row r="349" spans="3:5" ht="13.2">
      <c r="C349" s="10"/>
      <c r="D349" s="10"/>
      <c r="E349" s="10"/>
    </row>
    <row r="350" spans="3:5" ht="13.2">
      <c r="C350" s="10"/>
      <c r="D350" s="10"/>
      <c r="E350" s="10"/>
    </row>
    <row r="351" spans="3:5" ht="13.2">
      <c r="C351" s="10"/>
      <c r="D351" s="10"/>
      <c r="E351" s="10"/>
    </row>
    <row r="352" spans="3:5" ht="13.2">
      <c r="C352" s="10"/>
      <c r="D352" s="10"/>
      <c r="E352" s="10"/>
    </row>
    <row r="353" spans="3:5" ht="13.2">
      <c r="C353" s="10"/>
      <c r="D353" s="10"/>
      <c r="E353" s="10"/>
    </row>
    <row r="354" spans="3:5" ht="13.2">
      <c r="C354" s="10"/>
      <c r="D354" s="10"/>
      <c r="E354" s="10"/>
    </row>
    <row r="355" spans="3:5" ht="13.2">
      <c r="C355" s="10"/>
      <c r="D355" s="10"/>
      <c r="E355" s="10"/>
    </row>
    <row r="356" spans="3:5" ht="13.2">
      <c r="C356" s="10"/>
      <c r="D356" s="10"/>
      <c r="E356" s="10"/>
    </row>
    <row r="357" spans="3:5" ht="13.2">
      <c r="C357" s="10"/>
      <c r="D357" s="10"/>
      <c r="E357" s="10"/>
    </row>
    <row r="358" spans="3:5" ht="13.2">
      <c r="C358" s="10"/>
      <c r="D358" s="10"/>
      <c r="E358" s="10"/>
    </row>
    <row r="359" spans="3:5" ht="13.2">
      <c r="C359" s="10"/>
      <c r="D359" s="10"/>
      <c r="E359" s="10"/>
    </row>
    <row r="360" spans="3:5" ht="13.2">
      <c r="C360" s="10"/>
      <c r="D360" s="10"/>
      <c r="E360" s="10"/>
    </row>
    <row r="361" spans="3:5" ht="13.2">
      <c r="C361" s="10"/>
      <c r="D361" s="10"/>
      <c r="E361" s="10"/>
    </row>
    <row r="362" spans="3:5" ht="13.2">
      <c r="C362" s="10"/>
      <c r="D362" s="10"/>
      <c r="E362" s="10"/>
    </row>
    <row r="363" spans="3:5" ht="13.2">
      <c r="C363" s="10"/>
      <c r="D363" s="10"/>
      <c r="E363" s="10"/>
    </row>
    <row r="364" spans="3:5" ht="13.2">
      <c r="C364" s="10"/>
      <c r="D364" s="10"/>
      <c r="E364" s="10"/>
    </row>
    <row r="365" spans="3:5" ht="13.2">
      <c r="C365" s="10"/>
      <c r="D365" s="10"/>
      <c r="E365" s="10"/>
    </row>
    <row r="366" spans="3:5" ht="13.2">
      <c r="C366" s="10"/>
      <c r="D366" s="10"/>
      <c r="E366" s="10"/>
    </row>
    <row r="367" spans="3:5" ht="13.2">
      <c r="C367" s="10"/>
      <c r="D367" s="10"/>
      <c r="E367" s="10"/>
    </row>
    <row r="368" spans="3:5" ht="13.2">
      <c r="C368" s="10"/>
      <c r="D368" s="10"/>
      <c r="E368" s="10"/>
    </row>
    <row r="369" spans="3:5" ht="13.2">
      <c r="C369" s="10"/>
      <c r="D369" s="10"/>
      <c r="E369" s="10"/>
    </row>
    <row r="370" spans="3:5" ht="13.2">
      <c r="C370" s="10"/>
      <c r="D370" s="10"/>
      <c r="E370" s="10"/>
    </row>
    <row r="371" spans="3:5" ht="13.2">
      <c r="C371" s="10"/>
      <c r="D371" s="10"/>
      <c r="E371" s="10"/>
    </row>
    <row r="372" spans="3:5" ht="13.2">
      <c r="C372" s="10"/>
      <c r="D372" s="10"/>
      <c r="E372" s="10"/>
    </row>
    <row r="373" spans="3:5" ht="13.2">
      <c r="C373" s="10"/>
      <c r="D373" s="10"/>
      <c r="E373" s="10"/>
    </row>
    <row r="374" spans="3:5" ht="13.2">
      <c r="C374" s="10"/>
      <c r="D374" s="10"/>
      <c r="E374" s="10"/>
    </row>
    <row r="375" spans="3:5" ht="13.2">
      <c r="C375" s="10"/>
      <c r="D375" s="10"/>
      <c r="E375" s="10"/>
    </row>
    <row r="376" spans="3:5" ht="13.2">
      <c r="C376" s="10"/>
      <c r="D376" s="10"/>
      <c r="E376" s="10"/>
    </row>
    <row r="377" spans="3:5" ht="13.2">
      <c r="C377" s="10"/>
      <c r="D377" s="10"/>
      <c r="E377" s="10"/>
    </row>
    <row r="378" spans="3:5" ht="13.2">
      <c r="C378" s="10"/>
      <c r="D378" s="10"/>
      <c r="E378" s="10"/>
    </row>
    <row r="379" spans="3:5" ht="13.2">
      <c r="C379" s="10"/>
      <c r="D379" s="10"/>
      <c r="E379" s="10"/>
    </row>
    <row r="380" spans="3:5" ht="13.2">
      <c r="C380" s="10"/>
      <c r="D380" s="10"/>
      <c r="E380" s="10"/>
    </row>
    <row r="381" spans="3:5" ht="13.2">
      <c r="C381" s="10"/>
      <c r="D381" s="10"/>
      <c r="E381" s="10"/>
    </row>
    <row r="382" spans="3:5" ht="13.2">
      <c r="C382" s="10"/>
      <c r="D382" s="10"/>
      <c r="E382" s="10"/>
    </row>
    <row r="383" spans="3:5" ht="13.2">
      <c r="C383" s="10"/>
      <c r="D383" s="10"/>
      <c r="E383" s="10"/>
    </row>
    <row r="384" spans="3:5" ht="13.2">
      <c r="C384" s="10"/>
      <c r="D384" s="10"/>
      <c r="E384" s="10"/>
    </row>
    <row r="385" spans="3:5" ht="13.2">
      <c r="C385" s="10"/>
      <c r="D385" s="10"/>
      <c r="E385" s="10"/>
    </row>
    <row r="386" spans="3:5" ht="13.2">
      <c r="C386" s="10"/>
      <c r="D386" s="10"/>
      <c r="E386" s="10"/>
    </row>
    <row r="387" spans="3:5" ht="13.2">
      <c r="C387" s="10"/>
      <c r="D387" s="10"/>
      <c r="E387" s="10"/>
    </row>
    <row r="388" spans="3:5" ht="13.2">
      <c r="C388" s="10"/>
      <c r="D388" s="10"/>
      <c r="E388" s="10"/>
    </row>
    <row r="389" spans="3:5" ht="13.2">
      <c r="C389" s="10"/>
      <c r="D389" s="10"/>
      <c r="E389" s="10"/>
    </row>
    <row r="390" spans="3:5" ht="13.2">
      <c r="C390" s="10"/>
      <c r="D390" s="10"/>
      <c r="E390" s="10"/>
    </row>
    <row r="391" spans="3:5" ht="13.2">
      <c r="C391" s="10"/>
      <c r="D391" s="10"/>
      <c r="E391" s="10"/>
    </row>
    <row r="392" spans="3:5" ht="13.2">
      <c r="C392" s="10"/>
      <c r="D392" s="10"/>
      <c r="E392" s="10"/>
    </row>
    <row r="393" spans="3:5" ht="13.2">
      <c r="C393" s="10"/>
      <c r="D393" s="10"/>
      <c r="E393" s="10"/>
    </row>
    <row r="394" spans="3:5" ht="13.2">
      <c r="C394" s="10"/>
      <c r="D394" s="10"/>
      <c r="E394" s="10"/>
    </row>
    <row r="395" spans="3:5" ht="13.2">
      <c r="C395" s="10"/>
      <c r="D395" s="10"/>
      <c r="E395" s="10"/>
    </row>
    <row r="396" spans="3:5" ht="13.2">
      <c r="C396" s="10"/>
      <c r="D396" s="10"/>
      <c r="E396" s="10"/>
    </row>
    <row r="397" spans="3:5" ht="13.2">
      <c r="C397" s="10"/>
      <c r="D397" s="10"/>
      <c r="E397" s="10"/>
    </row>
    <row r="398" spans="3:5" ht="13.2">
      <c r="C398" s="10"/>
      <c r="D398" s="10"/>
      <c r="E398" s="10"/>
    </row>
    <row r="399" spans="3:5" ht="13.2">
      <c r="C399" s="10"/>
      <c r="D399" s="10"/>
      <c r="E399" s="10"/>
    </row>
    <row r="400" spans="3:5" ht="13.2">
      <c r="C400" s="10"/>
      <c r="D400" s="10"/>
      <c r="E400" s="10"/>
    </row>
    <row r="401" spans="3:5" ht="13.2">
      <c r="C401" s="10"/>
      <c r="D401" s="10"/>
      <c r="E401" s="10"/>
    </row>
    <row r="402" spans="3:5" ht="13.2">
      <c r="C402" s="10"/>
      <c r="D402" s="10"/>
      <c r="E402" s="10"/>
    </row>
    <row r="403" spans="3:5" ht="13.2">
      <c r="C403" s="10"/>
      <c r="D403" s="10"/>
      <c r="E403" s="10"/>
    </row>
    <row r="404" spans="3:5" ht="13.2">
      <c r="C404" s="10"/>
      <c r="D404" s="10"/>
      <c r="E404" s="10"/>
    </row>
    <row r="405" spans="3:5" ht="13.2">
      <c r="C405" s="10"/>
      <c r="D405" s="10"/>
      <c r="E405" s="10"/>
    </row>
    <row r="406" spans="3:5" ht="13.2">
      <c r="C406" s="10"/>
      <c r="D406" s="10"/>
      <c r="E406" s="10"/>
    </row>
    <row r="407" spans="3:5" ht="13.2">
      <c r="C407" s="10"/>
      <c r="D407" s="10"/>
      <c r="E407" s="10"/>
    </row>
    <row r="408" spans="3:5" ht="13.2">
      <c r="C408" s="10"/>
      <c r="D408" s="10"/>
      <c r="E408" s="10"/>
    </row>
    <row r="409" spans="3:5" ht="13.2">
      <c r="C409" s="10"/>
      <c r="D409" s="10"/>
      <c r="E409" s="10"/>
    </row>
    <row r="410" spans="3:5" ht="13.2">
      <c r="C410" s="10"/>
      <c r="D410" s="10"/>
      <c r="E410" s="10"/>
    </row>
    <row r="411" spans="3:5" ht="13.2">
      <c r="C411" s="10"/>
      <c r="D411" s="10"/>
      <c r="E411" s="10"/>
    </row>
    <row r="412" spans="3:5" ht="13.2">
      <c r="C412" s="10"/>
      <c r="D412" s="10"/>
      <c r="E412" s="10"/>
    </row>
    <row r="413" spans="3:5" ht="13.2">
      <c r="C413" s="10"/>
      <c r="D413" s="10"/>
      <c r="E413" s="10"/>
    </row>
    <row r="414" spans="3:5" ht="13.2">
      <c r="C414" s="10"/>
      <c r="D414" s="10"/>
      <c r="E414" s="10"/>
    </row>
    <row r="415" spans="3:5" ht="13.2">
      <c r="C415" s="10"/>
      <c r="D415" s="10"/>
      <c r="E415" s="10"/>
    </row>
    <row r="416" spans="3:5" ht="13.2">
      <c r="C416" s="10"/>
      <c r="D416" s="10"/>
      <c r="E416" s="10"/>
    </row>
    <row r="417" spans="3:5" ht="13.2">
      <c r="C417" s="10"/>
      <c r="D417" s="10"/>
      <c r="E417" s="10"/>
    </row>
    <row r="418" spans="3:5" ht="13.2">
      <c r="C418" s="10"/>
      <c r="D418" s="10"/>
      <c r="E418" s="10"/>
    </row>
    <row r="419" spans="3:5" ht="13.2">
      <c r="C419" s="10"/>
      <c r="D419" s="10"/>
      <c r="E419" s="10"/>
    </row>
    <row r="420" spans="3:5" ht="13.2">
      <c r="C420" s="10"/>
      <c r="D420" s="10"/>
      <c r="E420" s="10"/>
    </row>
    <row r="421" spans="3:5" ht="13.2">
      <c r="C421" s="10"/>
      <c r="D421" s="10"/>
      <c r="E421" s="10"/>
    </row>
    <row r="422" spans="3:5" ht="13.2">
      <c r="C422" s="10"/>
      <c r="D422" s="10"/>
      <c r="E422" s="10"/>
    </row>
    <row r="423" spans="3:5" ht="13.2">
      <c r="C423" s="10"/>
      <c r="D423" s="10"/>
      <c r="E423" s="10"/>
    </row>
    <row r="424" spans="3:5" ht="13.2">
      <c r="C424" s="10"/>
      <c r="D424" s="10"/>
      <c r="E424" s="10"/>
    </row>
    <row r="425" spans="3:5" ht="13.2">
      <c r="C425" s="10"/>
      <c r="D425" s="10"/>
      <c r="E425" s="10"/>
    </row>
    <row r="426" spans="3:5" ht="13.2">
      <c r="C426" s="10"/>
      <c r="D426" s="10"/>
      <c r="E426" s="10"/>
    </row>
    <row r="427" spans="3:5" ht="13.2">
      <c r="C427" s="10"/>
      <c r="D427" s="10"/>
      <c r="E427" s="10"/>
    </row>
    <row r="428" spans="3:5" ht="13.2">
      <c r="C428" s="10"/>
      <c r="D428" s="10"/>
      <c r="E428" s="10"/>
    </row>
    <row r="429" spans="3:5" ht="13.2">
      <c r="C429" s="10"/>
      <c r="D429" s="10"/>
      <c r="E429" s="10"/>
    </row>
    <row r="430" spans="3:5" ht="13.2">
      <c r="C430" s="10"/>
      <c r="D430" s="10"/>
      <c r="E430" s="10"/>
    </row>
    <row r="431" spans="3:5" ht="13.2">
      <c r="C431" s="10"/>
      <c r="D431" s="10"/>
      <c r="E431" s="10"/>
    </row>
    <row r="432" spans="3:5" ht="13.2">
      <c r="C432" s="10"/>
      <c r="D432" s="10"/>
      <c r="E432" s="10"/>
    </row>
    <row r="433" spans="3:5" ht="13.2">
      <c r="C433" s="10"/>
      <c r="D433" s="10"/>
      <c r="E433" s="10"/>
    </row>
    <row r="434" spans="3:5" ht="13.2">
      <c r="C434" s="10"/>
      <c r="D434" s="10"/>
      <c r="E434" s="10"/>
    </row>
    <row r="435" spans="3:5" ht="13.2">
      <c r="C435" s="10"/>
      <c r="D435" s="10"/>
      <c r="E435" s="10"/>
    </row>
    <row r="436" spans="3:5" ht="13.2">
      <c r="C436" s="10"/>
      <c r="D436" s="10"/>
      <c r="E436" s="10"/>
    </row>
    <row r="437" spans="3:5" ht="13.2">
      <c r="C437" s="10"/>
      <c r="D437" s="10"/>
      <c r="E437" s="10"/>
    </row>
    <row r="438" spans="3:5" ht="13.2">
      <c r="C438" s="10"/>
      <c r="D438" s="10"/>
      <c r="E438" s="10"/>
    </row>
    <row r="439" spans="3:5" ht="13.2">
      <c r="C439" s="10"/>
      <c r="D439" s="10"/>
      <c r="E439" s="10"/>
    </row>
    <row r="440" spans="3:5" ht="13.2">
      <c r="C440" s="10"/>
      <c r="D440" s="10"/>
      <c r="E440" s="10"/>
    </row>
    <row r="441" spans="3:5" ht="13.2">
      <c r="C441" s="10"/>
      <c r="D441" s="10"/>
      <c r="E441" s="10"/>
    </row>
    <row r="442" spans="3:5" ht="13.2">
      <c r="C442" s="10"/>
      <c r="D442" s="10"/>
      <c r="E442" s="10"/>
    </row>
    <row r="443" spans="3:5" ht="13.2">
      <c r="C443" s="10"/>
      <c r="D443" s="10"/>
      <c r="E443" s="10"/>
    </row>
    <row r="444" spans="3:5" ht="13.2">
      <c r="C444" s="10"/>
      <c r="D444" s="10"/>
      <c r="E444" s="10"/>
    </row>
    <row r="445" spans="3:5" ht="13.2">
      <c r="C445" s="10"/>
      <c r="D445" s="10"/>
      <c r="E445" s="10"/>
    </row>
    <row r="446" spans="3:5" ht="13.2">
      <c r="C446" s="10"/>
      <c r="D446" s="10"/>
      <c r="E446" s="10"/>
    </row>
    <row r="447" spans="3:5" ht="13.2">
      <c r="C447" s="10"/>
      <c r="D447" s="10"/>
      <c r="E447" s="10"/>
    </row>
    <row r="448" spans="3:5" ht="13.2">
      <c r="C448" s="10"/>
      <c r="D448" s="10"/>
      <c r="E448" s="10"/>
    </row>
    <row r="449" spans="3:5" ht="13.2">
      <c r="C449" s="10"/>
      <c r="D449" s="10"/>
      <c r="E449" s="10"/>
    </row>
    <row r="450" spans="3:5" ht="13.2">
      <c r="C450" s="10"/>
      <c r="D450" s="10"/>
      <c r="E450" s="10"/>
    </row>
    <row r="451" spans="3:5" ht="13.2">
      <c r="C451" s="10"/>
      <c r="D451" s="10"/>
      <c r="E451" s="10"/>
    </row>
    <row r="452" spans="3:5" ht="13.2">
      <c r="C452" s="10"/>
      <c r="D452" s="10"/>
      <c r="E452" s="10"/>
    </row>
    <row r="453" spans="3:5" ht="13.2">
      <c r="C453" s="10"/>
      <c r="D453" s="10"/>
      <c r="E453" s="10"/>
    </row>
    <row r="454" spans="3:5" ht="13.2">
      <c r="C454" s="10"/>
      <c r="D454" s="10"/>
      <c r="E454" s="10"/>
    </row>
    <row r="455" spans="3:5" ht="13.2">
      <c r="C455" s="10"/>
      <c r="D455" s="10"/>
      <c r="E455" s="10"/>
    </row>
    <row r="456" spans="3:5" ht="13.2">
      <c r="C456" s="10"/>
      <c r="D456" s="10"/>
      <c r="E456" s="10"/>
    </row>
    <row r="457" spans="3:5" ht="13.2">
      <c r="C457" s="10"/>
      <c r="D457" s="10"/>
      <c r="E457" s="10"/>
    </row>
    <row r="458" spans="3:5" ht="13.2">
      <c r="C458" s="10"/>
      <c r="D458" s="10"/>
      <c r="E458" s="10"/>
    </row>
    <row r="459" spans="3:5" ht="13.2">
      <c r="C459" s="10"/>
      <c r="D459" s="10"/>
      <c r="E459" s="10"/>
    </row>
    <row r="460" spans="3:5" ht="13.2">
      <c r="C460" s="10"/>
      <c r="D460" s="10"/>
      <c r="E460" s="10"/>
    </row>
    <row r="461" spans="3:5" ht="13.2">
      <c r="C461" s="10"/>
      <c r="D461" s="10"/>
      <c r="E461" s="10"/>
    </row>
    <row r="462" spans="3:5" ht="13.2">
      <c r="C462" s="10"/>
      <c r="D462" s="10"/>
      <c r="E462" s="10"/>
    </row>
    <row r="463" spans="3:5" ht="13.2">
      <c r="C463" s="10"/>
      <c r="D463" s="10"/>
      <c r="E463" s="10"/>
    </row>
    <row r="464" spans="3:5" ht="13.2">
      <c r="C464" s="10"/>
      <c r="D464" s="10"/>
      <c r="E464" s="10"/>
    </row>
    <row r="465" spans="3:5" ht="13.2">
      <c r="C465" s="10"/>
      <c r="D465" s="10"/>
      <c r="E465" s="10"/>
    </row>
    <row r="466" spans="3:5" ht="13.2">
      <c r="C466" s="10"/>
      <c r="D466" s="10"/>
      <c r="E466" s="10"/>
    </row>
    <row r="467" spans="3:5" ht="13.2">
      <c r="C467" s="10"/>
      <c r="D467" s="10"/>
      <c r="E467" s="10"/>
    </row>
    <row r="468" spans="3:5" ht="13.2">
      <c r="C468" s="10"/>
      <c r="D468" s="10"/>
      <c r="E468" s="10"/>
    </row>
    <row r="469" spans="3:5" ht="13.2">
      <c r="C469" s="10"/>
      <c r="D469" s="10"/>
      <c r="E469" s="10"/>
    </row>
    <row r="470" spans="3:5" ht="13.2">
      <c r="C470" s="10"/>
      <c r="D470" s="10"/>
      <c r="E470" s="10"/>
    </row>
    <row r="471" spans="3:5" ht="13.2">
      <c r="C471" s="10"/>
      <c r="D471" s="10"/>
      <c r="E471" s="10"/>
    </row>
    <row r="472" spans="3:5" ht="13.2">
      <c r="C472" s="10"/>
      <c r="D472" s="10"/>
      <c r="E472" s="10"/>
    </row>
    <row r="473" spans="3:5" ht="13.2">
      <c r="C473" s="10"/>
      <c r="D473" s="10"/>
      <c r="E473" s="10"/>
    </row>
    <row r="474" spans="3:5" ht="13.2">
      <c r="C474" s="10"/>
      <c r="D474" s="10"/>
      <c r="E474" s="10"/>
    </row>
    <row r="475" spans="3:5" ht="13.2">
      <c r="C475" s="10"/>
      <c r="D475" s="10"/>
      <c r="E475" s="10"/>
    </row>
    <row r="476" spans="3:5" ht="13.2">
      <c r="C476" s="10"/>
      <c r="D476" s="10"/>
      <c r="E476" s="10"/>
    </row>
    <row r="477" spans="3:5" ht="13.2">
      <c r="C477" s="10"/>
      <c r="D477" s="10"/>
      <c r="E477" s="10"/>
    </row>
    <row r="478" spans="3:5" ht="13.2">
      <c r="C478" s="10"/>
      <c r="D478" s="10"/>
      <c r="E478" s="10"/>
    </row>
    <row r="479" spans="3:5" ht="13.2">
      <c r="C479" s="10"/>
      <c r="D479" s="10"/>
      <c r="E479" s="10"/>
    </row>
    <row r="480" spans="3:5" ht="13.2">
      <c r="C480" s="10"/>
      <c r="D480" s="10"/>
      <c r="E480" s="10"/>
    </row>
    <row r="481" spans="3:5" ht="13.2">
      <c r="C481" s="10"/>
      <c r="D481" s="10"/>
      <c r="E481" s="10"/>
    </row>
    <row r="482" spans="3:5" ht="13.2">
      <c r="C482" s="10"/>
      <c r="D482" s="10"/>
      <c r="E482" s="10"/>
    </row>
    <row r="483" spans="3:5" ht="13.2">
      <c r="C483" s="10"/>
      <c r="D483" s="10"/>
      <c r="E483" s="10"/>
    </row>
    <row r="484" spans="3:5" ht="13.2">
      <c r="C484" s="10"/>
      <c r="D484" s="10"/>
      <c r="E484" s="10"/>
    </row>
    <row r="485" spans="3:5" ht="13.2">
      <c r="C485" s="10"/>
      <c r="D485" s="10"/>
      <c r="E485" s="10"/>
    </row>
    <row r="486" spans="3:5" ht="13.2">
      <c r="C486" s="10"/>
      <c r="D486" s="10"/>
      <c r="E486" s="10"/>
    </row>
    <row r="487" spans="3:5" ht="13.2">
      <c r="C487" s="10"/>
      <c r="D487" s="10"/>
      <c r="E487" s="10"/>
    </row>
    <row r="488" spans="3:5" ht="13.2">
      <c r="C488" s="10"/>
      <c r="D488" s="10"/>
      <c r="E488" s="10"/>
    </row>
    <row r="489" spans="3:5" ht="13.2">
      <c r="C489" s="10"/>
      <c r="D489" s="10"/>
      <c r="E489" s="10"/>
    </row>
    <row r="490" spans="3:5" ht="13.2">
      <c r="C490" s="10"/>
      <c r="D490" s="10"/>
      <c r="E490" s="10"/>
    </row>
    <row r="491" spans="3:5" ht="13.2">
      <c r="C491" s="10"/>
      <c r="D491" s="10"/>
      <c r="E491" s="10"/>
    </row>
    <row r="492" spans="3:5" ht="13.2">
      <c r="C492" s="10"/>
      <c r="D492" s="10"/>
      <c r="E492" s="10"/>
    </row>
    <row r="493" spans="3:5" ht="13.2">
      <c r="C493" s="10"/>
      <c r="D493" s="10"/>
      <c r="E493" s="10"/>
    </row>
    <row r="494" spans="3:5" ht="13.2">
      <c r="C494" s="10"/>
      <c r="D494" s="10"/>
      <c r="E494" s="10"/>
    </row>
    <row r="495" spans="3:5" ht="13.2">
      <c r="C495" s="10"/>
      <c r="D495" s="10"/>
      <c r="E495" s="10"/>
    </row>
    <row r="496" spans="3:5" ht="13.2">
      <c r="C496" s="10"/>
      <c r="D496" s="10"/>
      <c r="E496" s="10"/>
    </row>
    <row r="497" spans="3:5" ht="13.2">
      <c r="C497" s="10"/>
      <c r="D497" s="10"/>
      <c r="E497" s="10"/>
    </row>
    <row r="498" spans="3:5" ht="13.2">
      <c r="C498" s="10"/>
      <c r="D498" s="10"/>
      <c r="E498" s="10"/>
    </row>
    <row r="499" spans="3:5" ht="13.2">
      <c r="C499" s="10"/>
      <c r="D499" s="10"/>
      <c r="E499" s="10"/>
    </row>
    <row r="500" spans="3:5" ht="13.2">
      <c r="C500" s="10"/>
      <c r="D500" s="10"/>
      <c r="E500" s="10"/>
    </row>
    <row r="501" spans="3:5" ht="13.2">
      <c r="C501" s="10"/>
      <c r="D501" s="10"/>
      <c r="E501" s="10"/>
    </row>
    <row r="502" spans="3:5" ht="13.2">
      <c r="C502" s="10"/>
      <c r="D502" s="10"/>
      <c r="E502" s="10"/>
    </row>
    <row r="503" spans="3:5" ht="13.2">
      <c r="C503" s="10"/>
      <c r="D503" s="10"/>
      <c r="E503" s="10"/>
    </row>
    <row r="504" spans="3:5" ht="13.2">
      <c r="C504" s="10"/>
      <c r="D504" s="10"/>
      <c r="E504" s="10"/>
    </row>
    <row r="505" spans="3:5" ht="13.2">
      <c r="C505" s="10"/>
      <c r="D505" s="10"/>
      <c r="E505" s="10"/>
    </row>
    <row r="506" spans="3:5" ht="13.2">
      <c r="C506" s="10"/>
      <c r="D506" s="10"/>
      <c r="E506" s="10"/>
    </row>
    <row r="507" spans="3:5" ht="13.2">
      <c r="C507" s="10"/>
      <c r="D507" s="10"/>
      <c r="E507" s="10"/>
    </row>
    <row r="508" spans="3:5" ht="13.2">
      <c r="C508" s="10"/>
      <c r="D508" s="10"/>
      <c r="E508" s="10"/>
    </row>
    <row r="509" spans="3:5" ht="13.2">
      <c r="C509" s="10"/>
      <c r="D509" s="10"/>
      <c r="E509" s="10"/>
    </row>
    <row r="510" spans="3:5" ht="13.2">
      <c r="C510" s="10"/>
      <c r="D510" s="10"/>
      <c r="E510" s="10"/>
    </row>
    <row r="511" spans="3:5" ht="13.2">
      <c r="C511" s="10"/>
      <c r="D511" s="10"/>
      <c r="E511" s="10"/>
    </row>
    <row r="512" spans="3:5" ht="13.2">
      <c r="C512" s="10"/>
      <c r="D512" s="10"/>
      <c r="E512" s="10"/>
    </row>
    <row r="513" spans="3:5" ht="13.2">
      <c r="C513" s="10"/>
      <c r="D513" s="10"/>
      <c r="E513" s="10"/>
    </row>
    <row r="514" spans="3:5" ht="13.2">
      <c r="C514" s="10"/>
      <c r="D514" s="10"/>
      <c r="E514" s="10"/>
    </row>
    <row r="515" spans="3:5" ht="13.2">
      <c r="C515" s="10"/>
      <c r="D515" s="10"/>
      <c r="E515" s="10"/>
    </row>
    <row r="516" spans="3:5" ht="13.2">
      <c r="C516" s="10"/>
      <c r="D516" s="10"/>
      <c r="E516" s="10"/>
    </row>
    <row r="517" spans="3:5" ht="13.2">
      <c r="C517" s="10"/>
      <c r="D517" s="10"/>
      <c r="E517" s="10"/>
    </row>
    <row r="518" spans="3:5" ht="13.2">
      <c r="C518" s="10"/>
      <c r="D518" s="10"/>
      <c r="E518" s="10"/>
    </row>
    <row r="519" spans="3:5" ht="13.2">
      <c r="C519" s="10"/>
      <c r="D519" s="10"/>
      <c r="E519" s="10"/>
    </row>
    <row r="520" spans="3:5" ht="13.2">
      <c r="C520" s="10"/>
      <c r="D520" s="10"/>
      <c r="E520" s="10"/>
    </row>
    <row r="521" spans="3:5" ht="13.2">
      <c r="C521" s="10"/>
      <c r="D521" s="10"/>
      <c r="E521" s="10"/>
    </row>
    <row r="522" spans="3:5" ht="13.2">
      <c r="C522" s="10"/>
      <c r="D522" s="10"/>
      <c r="E522" s="10"/>
    </row>
    <row r="523" spans="3:5" ht="13.2">
      <c r="C523" s="10"/>
      <c r="D523" s="10"/>
      <c r="E523" s="10"/>
    </row>
    <row r="524" spans="3:5" ht="13.2">
      <c r="C524" s="10"/>
      <c r="D524" s="10"/>
      <c r="E524" s="10"/>
    </row>
    <row r="525" spans="3:5" ht="13.2">
      <c r="C525" s="10"/>
      <c r="D525" s="10"/>
      <c r="E525" s="10"/>
    </row>
    <row r="526" spans="3:5" ht="13.2">
      <c r="C526" s="10"/>
      <c r="D526" s="10"/>
      <c r="E526" s="10"/>
    </row>
    <row r="527" spans="3:5" ht="13.2">
      <c r="C527" s="10"/>
      <c r="D527" s="10"/>
      <c r="E527" s="10"/>
    </row>
    <row r="528" spans="3:5" ht="13.2">
      <c r="C528" s="10"/>
      <c r="D528" s="10"/>
      <c r="E528" s="10"/>
    </row>
    <row r="529" spans="3:5" ht="13.2">
      <c r="C529" s="10"/>
      <c r="D529" s="10"/>
      <c r="E529" s="10"/>
    </row>
    <row r="530" spans="3:5" ht="13.2">
      <c r="C530" s="10"/>
      <c r="D530" s="10"/>
      <c r="E530" s="10"/>
    </row>
    <row r="531" spans="3:5" ht="13.2">
      <c r="C531" s="10"/>
      <c r="D531" s="10"/>
      <c r="E531" s="10"/>
    </row>
    <row r="532" spans="3:5" ht="13.2">
      <c r="C532" s="10"/>
      <c r="D532" s="10"/>
      <c r="E532" s="10"/>
    </row>
    <row r="533" spans="3:5" ht="13.2">
      <c r="C533" s="10"/>
      <c r="D533" s="10"/>
      <c r="E533" s="10"/>
    </row>
    <row r="534" spans="3:5" ht="13.2">
      <c r="C534" s="10"/>
      <c r="D534" s="10"/>
      <c r="E534" s="10"/>
    </row>
    <row r="535" spans="3:5" ht="13.2">
      <c r="C535" s="10"/>
      <c r="D535" s="10"/>
      <c r="E535" s="10"/>
    </row>
    <row r="536" spans="3:5" ht="13.2">
      <c r="C536" s="10"/>
      <c r="D536" s="10"/>
      <c r="E536" s="10"/>
    </row>
    <row r="537" spans="3:5" ht="13.2">
      <c r="C537" s="10"/>
      <c r="D537" s="10"/>
      <c r="E537" s="10"/>
    </row>
    <row r="538" spans="3:5" ht="13.2">
      <c r="C538" s="10"/>
      <c r="D538" s="10"/>
      <c r="E538" s="10"/>
    </row>
    <row r="539" spans="3:5" ht="13.2">
      <c r="C539" s="10"/>
      <c r="D539" s="10"/>
      <c r="E539" s="10"/>
    </row>
    <row r="540" spans="3:5" ht="13.2">
      <c r="C540" s="10"/>
      <c r="D540" s="10"/>
      <c r="E540" s="10"/>
    </row>
    <row r="541" spans="3:5" ht="13.2">
      <c r="C541" s="10"/>
      <c r="D541" s="10"/>
      <c r="E541" s="10"/>
    </row>
    <row r="542" spans="3:5" ht="13.2">
      <c r="C542" s="10"/>
      <c r="D542" s="10"/>
      <c r="E542" s="10"/>
    </row>
    <row r="543" spans="3:5" ht="13.2">
      <c r="C543" s="10"/>
      <c r="D543" s="10"/>
      <c r="E543" s="10"/>
    </row>
    <row r="544" spans="3:5" ht="13.2">
      <c r="C544" s="10"/>
      <c r="D544" s="10"/>
      <c r="E544" s="10"/>
    </row>
    <row r="545" spans="3:5" ht="13.2">
      <c r="C545" s="10"/>
      <c r="D545" s="10"/>
      <c r="E545" s="10"/>
    </row>
    <row r="546" spans="3:5" ht="13.2">
      <c r="C546" s="10"/>
      <c r="D546" s="10"/>
      <c r="E546" s="10"/>
    </row>
    <row r="547" spans="3:5" ht="13.2">
      <c r="C547" s="10"/>
      <c r="D547" s="10"/>
      <c r="E547" s="10"/>
    </row>
    <row r="548" spans="3:5" ht="13.2">
      <c r="C548" s="10"/>
      <c r="D548" s="10"/>
      <c r="E548" s="10"/>
    </row>
    <row r="549" spans="3:5" ht="13.2">
      <c r="C549" s="10"/>
      <c r="D549" s="10"/>
      <c r="E549" s="10"/>
    </row>
    <row r="550" spans="3:5" ht="13.2">
      <c r="C550" s="10"/>
      <c r="D550" s="10"/>
      <c r="E550" s="10"/>
    </row>
    <row r="551" spans="3:5" ht="13.2">
      <c r="C551" s="10"/>
      <c r="D551" s="10"/>
      <c r="E551" s="10"/>
    </row>
    <row r="552" spans="3:5" ht="13.2">
      <c r="C552" s="10"/>
      <c r="D552" s="10"/>
      <c r="E552" s="10"/>
    </row>
    <row r="553" spans="3:5" ht="13.2">
      <c r="C553" s="10"/>
      <c r="D553" s="10"/>
      <c r="E553" s="10"/>
    </row>
    <row r="554" spans="3:5" ht="13.2">
      <c r="C554" s="10"/>
      <c r="D554" s="10"/>
      <c r="E554" s="10"/>
    </row>
    <row r="555" spans="3:5" ht="13.2">
      <c r="C555" s="10"/>
      <c r="D555" s="10"/>
      <c r="E555" s="10"/>
    </row>
    <row r="556" spans="3:5" ht="13.2">
      <c r="C556" s="10"/>
      <c r="D556" s="10"/>
      <c r="E556" s="10"/>
    </row>
    <row r="557" spans="3:5" ht="13.2">
      <c r="C557" s="10"/>
      <c r="D557" s="10"/>
      <c r="E557" s="10"/>
    </row>
    <row r="558" spans="3:5" ht="13.2">
      <c r="C558" s="10"/>
      <c r="D558" s="10"/>
      <c r="E558" s="10"/>
    </row>
    <row r="559" spans="3:5" ht="13.2">
      <c r="C559" s="10"/>
      <c r="D559" s="10"/>
      <c r="E559" s="10"/>
    </row>
    <row r="560" spans="3:5" ht="13.2">
      <c r="C560" s="10"/>
      <c r="D560" s="10"/>
      <c r="E560" s="10"/>
    </row>
    <row r="561" spans="3:5" ht="13.2">
      <c r="C561" s="10"/>
      <c r="D561" s="10"/>
      <c r="E561" s="10"/>
    </row>
    <row r="562" spans="3:5" ht="13.2">
      <c r="C562" s="10"/>
      <c r="D562" s="10"/>
      <c r="E562" s="10"/>
    </row>
    <row r="563" spans="3:5" ht="13.2">
      <c r="C563" s="10"/>
      <c r="D563" s="10"/>
      <c r="E563" s="10"/>
    </row>
    <row r="564" spans="3:5" ht="13.2">
      <c r="C564" s="10"/>
      <c r="D564" s="10"/>
      <c r="E564" s="10"/>
    </row>
    <row r="565" spans="3:5" ht="13.2">
      <c r="C565" s="10"/>
      <c r="D565" s="10"/>
      <c r="E565" s="10"/>
    </row>
    <row r="566" spans="3:5" ht="13.2">
      <c r="C566" s="10"/>
      <c r="D566" s="10"/>
      <c r="E566" s="10"/>
    </row>
    <row r="567" spans="3:5" ht="13.2">
      <c r="C567" s="10"/>
      <c r="D567" s="10"/>
      <c r="E567" s="10"/>
    </row>
    <row r="568" spans="3:5" ht="13.2">
      <c r="C568" s="10"/>
      <c r="D568" s="10"/>
      <c r="E568" s="10"/>
    </row>
    <row r="569" spans="3:5" ht="13.2">
      <c r="C569" s="10"/>
      <c r="D569" s="10"/>
      <c r="E569" s="10"/>
    </row>
    <row r="570" spans="3:5" ht="13.2">
      <c r="C570" s="10"/>
      <c r="D570" s="10"/>
      <c r="E570" s="10"/>
    </row>
    <row r="571" spans="3:5" ht="13.2">
      <c r="C571" s="10"/>
      <c r="D571" s="10"/>
      <c r="E571" s="10"/>
    </row>
    <row r="572" spans="3:5" ht="13.2">
      <c r="C572" s="10"/>
      <c r="D572" s="10"/>
      <c r="E572" s="10"/>
    </row>
    <row r="573" spans="3:5" ht="13.2">
      <c r="C573" s="10"/>
      <c r="D573" s="10"/>
      <c r="E573" s="10"/>
    </row>
    <row r="574" spans="3:5" ht="13.2">
      <c r="C574" s="10"/>
      <c r="D574" s="10"/>
      <c r="E574" s="10"/>
    </row>
    <row r="575" spans="3:5" ht="13.2">
      <c r="C575" s="10"/>
      <c r="D575" s="10"/>
      <c r="E575" s="10"/>
    </row>
    <row r="576" spans="3:5" ht="13.2">
      <c r="C576" s="10"/>
      <c r="D576" s="10"/>
      <c r="E576" s="10"/>
    </row>
    <row r="577" spans="3:5" ht="13.2">
      <c r="C577" s="10"/>
      <c r="D577" s="10"/>
      <c r="E577" s="10"/>
    </row>
    <row r="578" spans="3:5" ht="13.2">
      <c r="C578" s="10"/>
      <c r="D578" s="10"/>
      <c r="E578" s="10"/>
    </row>
    <row r="579" spans="3:5" ht="13.2">
      <c r="C579" s="10"/>
      <c r="D579" s="10"/>
      <c r="E579" s="10"/>
    </row>
    <row r="580" spans="3:5" ht="13.2">
      <c r="C580" s="10"/>
      <c r="D580" s="10"/>
      <c r="E580" s="10"/>
    </row>
    <row r="581" spans="3:5" ht="13.2">
      <c r="C581" s="10"/>
      <c r="D581" s="10"/>
      <c r="E581" s="10"/>
    </row>
    <row r="582" spans="3:5" ht="13.2">
      <c r="C582" s="10"/>
      <c r="D582" s="10"/>
      <c r="E582" s="10"/>
    </row>
    <row r="583" spans="3:5" ht="13.2">
      <c r="C583" s="10"/>
      <c r="D583" s="10"/>
      <c r="E583" s="10"/>
    </row>
    <row r="584" spans="3:5" ht="13.2">
      <c r="C584" s="10"/>
      <c r="D584" s="10"/>
      <c r="E584" s="10"/>
    </row>
    <row r="585" spans="3:5" ht="13.2">
      <c r="C585" s="10"/>
      <c r="D585" s="10"/>
      <c r="E585" s="10"/>
    </row>
    <row r="586" spans="3:5" ht="13.2">
      <c r="C586" s="10"/>
      <c r="D586" s="10"/>
      <c r="E586" s="10"/>
    </row>
    <row r="587" spans="3:5" ht="13.2">
      <c r="C587" s="10"/>
      <c r="D587" s="10"/>
      <c r="E587" s="10"/>
    </row>
    <row r="588" spans="3:5" ht="13.2">
      <c r="C588" s="10"/>
      <c r="D588" s="10"/>
      <c r="E588" s="10"/>
    </row>
    <row r="589" spans="3:5" ht="13.2">
      <c r="C589" s="10"/>
      <c r="D589" s="10"/>
      <c r="E589" s="10"/>
    </row>
    <row r="590" spans="3:5" ht="13.2">
      <c r="C590" s="10"/>
      <c r="D590" s="10"/>
      <c r="E590" s="10"/>
    </row>
    <row r="591" spans="3:5" ht="13.2">
      <c r="C591" s="10"/>
      <c r="D591" s="10"/>
      <c r="E591" s="10"/>
    </row>
    <row r="592" spans="3:5" ht="13.2">
      <c r="C592" s="10"/>
      <c r="D592" s="10"/>
      <c r="E592" s="10"/>
    </row>
    <row r="593" spans="3:5" ht="13.2">
      <c r="C593" s="10"/>
      <c r="D593" s="10"/>
      <c r="E593" s="10"/>
    </row>
    <row r="594" spans="3:5" ht="13.2">
      <c r="C594" s="10"/>
      <c r="D594" s="10"/>
      <c r="E594" s="10"/>
    </row>
    <row r="595" spans="3:5" ht="13.2">
      <c r="C595" s="10"/>
      <c r="D595" s="10"/>
      <c r="E595" s="10"/>
    </row>
    <row r="596" spans="3:5" ht="13.2">
      <c r="C596" s="10"/>
      <c r="D596" s="10"/>
      <c r="E596" s="10"/>
    </row>
    <row r="597" spans="3:5" ht="13.2">
      <c r="C597" s="10"/>
      <c r="D597" s="10"/>
      <c r="E597" s="10"/>
    </row>
    <row r="598" spans="3:5" ht="13.2">
      <c r="C598" s="10"/>
      <c r="D598" s="10"/>
      <c r="E598" s="10"/>
    </row>
    <row r="599" spans="3:5" ht="13.2">
      <c r="C599" s="10"/>
      <c r="D599" s="10"/>
      <c r="E599" s="10"/>
    </row>
    <row r="600" spans="3:5" ht="13.2">
      <c r="C600" s="10"/>
      <c r="D600" s="10"/>
      <c r="E600" s="10"/>
    </row>
    <row r="601" spans="3:5" ht="13.2">
      <c r="C601" s="10"/>
      <c r="D601" s="10"/>
      <c r="E601" s="10"/>
    </row>
    <row r="602" spans="3:5" ht="13.2">
      <c r="C602" s="10"/>
      <c r="D602" s="10"/>
      <c r="E602" s="10"/>
    </row>
    <row r="603" spans="3:5" ht="13.2">
      <c r="C603" s="10"/>
      <c r="D603" s="10"/>
      <c r="E603" s="10"/>
    </row>
    <row r="604" spans="3:5" ht="13.2">
      <c r="C604" s="10"/>
      <c r="D604" s="10"/>
      <c r="E604" s="10"/>
    </row>
    <row r="605" spans="3:5" ht="13.2">
      <c r="C605" s="10"/>
      <c r="D605" s="10"/>
      <c r="E605" s="10"/>
    </row>
    <row r="606" spans="3:5" ht="13.2">
      <c r="C606" s="10"/>
      <c r="D606" s="10"/>
      <c r="E606" s="10"/>
    </row>
    <row r="607" spans="3:5" ht="13.2">
      <c r="C607" s="10"/>
      <c r="D607" s="10"/>
      <c r="E607" s="10"/>
    </row>
    <row r="608" spans="3:5" ht="13.2">
      <c r="C608" s="10"/>
      <c r="D608" s="10"/>
      <c r="E608" s="10"/>
    </row>
    <row r="609" spans="3:5" ht="13.2">
      <c r="C609" s="10"/>
      <c r="D609" s="10"/>
      <c r="E609" s="10"/>
    </row>
    <row r="610" spans="3:5" ht="13.2">
      <c r="C610" s="10"/>
      <c r="D610" s="10"/>
      <c r="E610" s="10"/>
    </row>
    <row r="611" spans="3:5" ht="13.2">
      <c r="C611" s="10"/>
      <c r="D611" s="10"/>
      <c r="E611" s="10"/>
    </row>
    <row r="612" spans="3:5" ht="13.2">
      <c r="C612" s="10"/>
      <c r="D612" s="10"/>
      <c r="E612" s="10"/>
    </row>
    <row r="613" spans="3:5" ht="13.2">
      <c r="C613" s="10"/>
      <c r="D613" s="10"/>
      <c r="E613" s="10"/>
    </row>
    <row r="614" spans="3:5" ht="13.2">
      <c r="C614" s="10"/>
      <c r="D614" s="10"/>
      <c r="E614" s="10"/>
    </row>
    <row r="615" spans="3:5" ht="13.2">
      <c r="C615" s="10"/>
      <c r="D615" s="10"/>
      <c r="E615" s="10"/>
    </row>
    <row r="616" spans="3:5" ht="13.2">
      <c r="C616" s="10"/>
      <c r="D616" s="10"/>
      <c r="E616" s="10"/>
    </row>
    <row r="617" spans="3:5" ht="13.2">
      <c r="C617" s="10"/>
      <c r="D617" s="10"/>
      <c r="E617" s="10"/>
    </row>
    <row r="618" spans="3:5" ht="13.2">
      <c r="C618" s="10"/>
      <c r="D618" s="10"/>
      <c r="E618" s="10"/>
    </row>
    <row r="619" spans="3:5" ht="13.2">
      <c r="C619" s="10"/>
      <c r="D619" s="10"/>
      <c r="E619" s="10"/>
    </row>
    <row r="620" spans="3:5" ht="13.2">
      <c r="C620" s="10"/>
      <c r="D620" s="10"/>
      <c r="E620" s="10"/>
    </row>
    <row r="621" spans="3:5" ht="13.2">
      <c r="C621" s="10"/>
      <c r="D621" s="10"/>
      <c r="E621" s="10"/>
    </row>
    <row r="622" spans="3:5" ht="13.2">
      <c r="C622" s="10"/>
      <c r="D622" s="10"/>
      <c r="E622" s="10"/>
    </row>
    <row r="623" spans="3:5" ht="13.2">
      <c r="C623" s="10"/>
      <c r="D623" s="10"/>
      <c r="E623" s="10"/>
    </row>
    <row r="624" spans="3:5" ht="13.2">
      <c r="C624" s="10"/>
      <c r="D624" s="10"/>
      <c r="E624" s="10"/>
    </row>
    <row r="625" spans="3:5" ht="13.2">
      <c r="C625" s="10"/>
      <c r="D625" s="10"/>
      <c r="E625" s="10"/>
    </row>
    <row r="626" spans="3:5" ht="13.2">
      <c r="C626" s="10"/>
      <c r="D626" s="10"/>
      <c r="E626" s="10"/>
    </row>
    <row r="627" spans="3:5" ht="13.2">
      <c r="C627" s="10"/>
      <c r="D627" s="10"/>
      <c r="E627" s="10"/>
    </row>
    <row r="628" spans="3:5" ht="13.2">
      <c r="C628" s="10"/>
      <c r="D628" s="10"/>
      <c r="E628" s="10"/>
    </row>
    <row r="629" spans="3:5" ht="13.2">
      <c r="C629" s="10"/>
      <c r="D629" s="10"/>
      <c r="E629" s="10"/>
    </row>
    <row r="630" spans="3:5" ht="13.2">
      <c r="C630" s="10"/>
      <c r="D630" s="10"/>
      <c r="E630" s="10"/>
    </row>
    <row r="631" spans="3:5" ht="13.2">
      <c r="C631" s="10"/>
      <c r="D631" s="10"/>
      <c r="E631" s="10"/>
    </row>
    <row r="632" spans="3:5" ht="13.2">
      <c r="C632" s="10"/>
      <c r="D632" s="10"/>
      <c r="E632" s="10"/>
    </row>
    <row r="633" spans="3:5" ht="13.2">
      <c r="C633" s="10"/>
      <c r="D633" s="10"/>
      <c r="E633" s="10"/>
    </row>
    <row r="634" spans="3:5" ht="13.2">
      <c r="C634" s="10"/>
      <c r="D634" s="10"/>
      <c r="E634" s="10"/>
    </row>
    <row r="635" spans="3:5" ht="13.2">
      <c r="C635" s="10"/>
      <c r="D635" s="10"/>
      <c r="E635" s="10"/>
    </row>
    <row r="636" spans="3:5" ht="13.2">
      <c r="C636" s="10"/>
      <c r="D636" s="10"/>
      <c r="E636" s="10"/>
    </row>
    <row r="637" spans="3:5" ht="13.2">
      <c r="C637" s="10"/>
      <c r="D637" s="10"/>
      <c r="E637" s="10"/>
    </row>
    <row r="638" spans="3:5" ht="13.2">
      <c r="C638" s="10"/>
      <c r="D638" s="10"/>
      <c r="E638" s="10"/>
    </row>
    <row r="639" spans="3:5" ht="13.2">
      <c r="C639" s="10"/>
      <c r="D639" s="10"/>
      <c r="E639" s="10"/>
    </row>
    <row r="640" spans="3:5" ht="13.2">
      <c r="C640" s="10"/>
      <c r="D640" s="10"/>
      <c r="E640" s="10"/>
    </row>
    <row r="641" spans="3:5" ht="13.2">
      <c r="C641" s="10"/>
      <c r="D641" s="10"/>
      <c r="E641" s="10"/>
    </row>
    <row r="642" spans="3:5" ht="13.2">
      <c r="C642" s="10"/>
      <c r="D642" s="10"/>
      <c r="E642" s="10"/>
    </row>
    <row r="643" spans="3:5" ht="13.2">
      <c r="C643" s="10"/>
      <c r="D643" s="10"/>
      <c r="E643" s="10"/>
    </row>
    <row r="644" spans="3:5" ht="13.2">
      <c r="C644" s="10"/>
      <c r="D644" s="10"/>
      <c r="E644" s="10"/>
    </row>
    <row r="645" spans="3:5" ht="13.2">
      <c r="C645" s="10"/>
      <c r="D645" s="10"/>
      <c r="E645" s="10"/>
    </row>
    <row r="646" spans="3:5" ht="13.2">
      <c r="C646" s="10"/>
      <c r="D646" s="10"/>
      <c r="E646" s="10"/>
    </row>
    <row r="647" spans="3:5" ht="13.2">
      <c r="C647" s="10"/>
      <c r="D647" s="10"/>
      <c r="E647" s="10"/>
    </row>
    <row r="648" spans="3:5" ht="13.2">
      <c r="C648" s="10"/>
      <c r="D648" s="10"/>
      <c r="E648" s="10"/>
    </row>
    <row r="649" spans="3:5" ht="13.2">
      <c r="C649" s="10"/>
      <c r="D649" s="10"/>
      <c r="E649" s="10"/>
    </row>
    <row r="650" spans="3:5" ht="13.2">
      <c r="C650" s="10"/>
      <c r="D650" s="10"/>
      <c r="E650" s="10"/>
    </row>
    <row r="651" spans="3:5" ht="13.2">
      <c r="C651" s="10"/>
      <c r="D651" s="10"/>
      <c r="E651" s="10"/>
    </row>
    <row r="652" spans="3:5" ht="13.2">
      <c r="C652" s="10"/>
      <c r="D652" s="10"/>
      <c r="E652" s="10"/>
    </row>
    <row r="653" spans="3:5" ht="13.2">
      <c r="C653" s="10"/>
      <c r="D653" s="10"/>
      <c r="E653" s="10"/>
    </row>
    <row r="654" spans="3:5" ht="13.2">
      <c r="C654" s="10"/>
      <c r="D654" s="10"/>
      <c r="E654" s="10"/>
    </row>
    <row r="655" spans="3:5" ht="13.2">
      <c r="C655" s="10"/>
      <c r="D655" s="10"/>
      <c r="E655" s="10"/>
    </row>
    <row r="656" spans="3:5" ht="13.2">
      <c r="C656" s="10"/>
      <c r="D656" s="10"/>
      <c r="E656" s="10"/>
    </row>
    <row r="657" spans="3:5" ht="13.2">
      <c r="C657" s="10"/>
      <c r="D657" s="10"/>
      <c r="E657" s="10"/>
    </row>
    <row r="658" spans="3:5" ht="13.2">
      <c r="C658" s="10"/>
      <c r="D658" s="10"/>
      <c r="E658" s="10"/>
    </row>
    <row r="659" spans="3:5" ht="13.2">
      <c r="C659" s="10"/>
      <c r="D659" s="10"/>
      <c r="E659" s="10"/>
    </row>
    <row r="660" spans="3:5" ht="13.2">
      <c r="C660" s="10"/>
      <c r="D660" s="10"/>
      <c r="E660" s="10"/>
    </row>
    <row r="661" spans="3:5" ht="13.2">
      <c r="C661" s="10"/>
      <c r="D661" s="10"/>
      <c r="E661" s="10"/>
    </row>
    <row r="662" spans="3:5" ht="13.2">
      <c r="C662" s="10"/>
      <c r="D662" s="10"/>
      <c r="E662" s="10"/>
    </row>
    <row r="663" spans="3:5" ht="13.2">
      <c r="C663" s="10"/>
      <c r="D663" s="10"/>
      <c r="E663" s="10"/>
    </row>
    <row r="664" spans="3:5" ht="13.2">
      <c r="C664" s="10"/>
      <c r="D664" s="10"/>
      <c r="E664" s="10"/>
    </row>
    <row r="665" spans="3:5" ht="13.2">
      <c r="C665" s="10"/>
      <c r="D665" s="10"/>
      <c r="E665" s="10"/>
    </row>
    <row r="666" spans="3:5" ht="13.2">
      <c r="C666" s="10"/>
      <c r="D666" s="10"/>
      <c r="E666" s="10"/>
    </row>
    <row r="667" spans="3:5" ht="13.2">
      <c r="C667" s="10"/>
      <c r="D667" s="10"/>
      <c r="E667" s="10"/>
    </row>
    <row r="668" spans="3:5" ht="13.2">
      <c r="C668" s="10"/>
      <c r="D668" s="10"/>
      <c r="E668" s="10"/>
    </row>
    <row r="669" spans="3:5" ht="13.2">
      <c r="C669" s="10"/>
      <c r="D669" s="10"/>
      <c r="E669" s="10"/>
    </row>
    <row r="670" spans="3:5" ht="13.2">
      <c r="C670" s="10"/>
      <c r="D670" s="10"/>
      <c r="E670" s="10"/>
    </row>
    <row r="671" spans="3:5" ht="13.2">
      <c r="C671" s="10"/>
      <c r="D671" s="10"/>
      <c r="E671" s="10"/>
    </row>
    <row r="672" spans="3:5" ht="13.2">
      <c r="C672" s="10"/>
      <c r="D672" s="10"/>
      <c r="E672" s="10"/>
    </row>
    <row r="673" spans="3:5" ht="13.2">
      <c r="C673" s="10"/>
      <c r="D673" s="10"/>
      <c r="E673" s="10"/>
    </row>
    <row r="674" spans="3:5" ht="13.2">
      <c r="C674" s="10"/>
      <c r="D674" s="10"/>
      <c r="E674" s="10"/>
    </row>
    <row r="675" spans="3:5" ht="13.2">
      <c r="C675" s="10"/>
      <c r="D675" s="10"/>
      <c r="E675" s="10"/>
    </row>
    <row r="676" spans="3:5" ht="13.2">
      <c r="C676" s="10"/>
      <c r="D676" s="10"/>
      <c r="E676" s="10"/>
    </row>
    <row r="677" spans="3:5" ht="13.2">
      <c r="C677" s="10"/>
      <c r="D677" s="10"/>
      <c r="E677" s="10"/>
    </row>
    <row r="678" spans="3:5" ht="13.2">
      <c r="C678" s="10"/>
      <c r="D678" s="10"/>
      <c r="E678" s="10"/>
    </row>
    <row r="679" spans="3:5" ht="13.2">
      <c r="C679" s="10"/>
      <c r="D679" s="10"/>
      <c r="E679" s="10"/>
    </row>
    <row r="680" spans="3:5" ht="13.2">
      <c r="C680" s="10"/>
      <c r="D680" s="10"/>
      <c r="E680" s="10"/>
    </row>
    <row r="681" spans="3:5" ht="13.2">
      <c r="C681" s="10"/>
      <c r="D681" s="10"/>
      <c r="E681" s="10"/>
    </row>
    <row r="682" spans="3:5" ht="13.2">
      <c r="C682" s="10"/>
      <c r="D682" s="10"/>
      <c r="E682" s="10"/>
    </row>
    <row r="683" spans="3:5" ht="13.2">
      <c r="C683" s="10"/>
      <c r="D683" s="10"/>
      <c r="E683" s="10"/>
    </row>
    <row r="684" spans="3:5" ht="13.2">
      <c r="C684" s="10"/>
      <c r="D684" s="10"/>
      <c r="E684" s="10"/>
    </row>
    <row r="685" spans="3:5" ht="13.2">
      <c r="C685" s="10"/>
      <c r="D685" s="10"/>
      <c r="E685" s="10"/>
    </row>
    <row r="686" spans="3:5" ht="13.2">
      <c r="C686" s="10"/>
      <c r="D686" s="10"/>
      <c r="E686" s="10"/>
    </row>
    <row r="687" spans="3:5" ht="13.2">
      <c r="C687" s="10"/>
      <c r="D687" s="10"/>
      <c r="E687" s="10"/>
    </row>
    <row r="688" spans="3:5" ht="13.2">
      <c r="C688" s="10"/>
      <c r="D688" s="10"/>
      <c r="E688" s="10"/>
    </row>
    <row r="689" spans="3:5" ht="13.2">
      <c r="C689" s="10"/>
      <c r="D689" s="10"/>
      <c r="E689" s="10"/>
    </row>
    <row r="690" spans="3:5" ht="13.2">
      <c r="C690" s="10"/>
      <c r="D690" s="10"/>
      <c r="E690" s="10"/>
    </row>
    <row r="691" spans="3:5" ht="13.2">
      <c r="C691" s="10"/>
      <c r="D691" s="10"/>
      <c r="E691" s="10"/>
    </row>
    <row r="692" spans="3:5" ht="13.2">
      <c r="C692" s="10"/>
      <c r="D692" s="10"/>
      <c r="E692" s="10"/>
    </row>
    <row r="693" spans="3:5" ht="13.2">
      <c r="C693" s="10"/>
      <c r="D693" s="10"/>
      <c r="E693" s="10"/>
    </row>
    <row r="694" spans="3:5" ht="13.2">
      <c r="C694" s="10"/>
      <c r="D694" s="10"/>
      <c r="E694" s="10"/>
    </row>
    <row r="695" spans="3:5" ht="13.2">
      <c r="C695" s="10"/>
      <c r="D695" s="10"/>
      <c r="E695" s="10"/>
    </row>
    <row r="696" spans="3:5" ht="13.2">
      <c r="C696" s="10"/>
      <c r="D696" s="10"/>
      <c r="E696" s="10"/>
    </row>
    <row r="697" spans="3:5" ht="13.2">
      <c r="C697" s="10"/>
      <c r="D697" s="10"/>
      <c r="E697" s="10"/>
    </row>
    <row r="698" spans="3:5" ht="13.2">
      <c r="C698" s="10"/>
      <c r="D698" s="10"/>
      <c r="E698" s="10"/>
    </row>
    <row r="699" spans="3:5" ht="13.2">
      <c r="C699" s="10"/>
      <c r="D699" s="10"/>
      <c r="E699" s="10"/>
    </row>
    <row r="700" spans="3:5" ht="13.2">
      <c r="C700" s="10"/>
      <c r="D700" s="10"/>
      <c r="E700" s="10"/>
    </row>
    <row r="701" spans="3:5" ht="13.2">
      <c r="C701" s="10"/>
      <c r="D701" s="10"/>
      <c r="E701" s="10"/>
    </row>
    <row r="702" spans="3:5" ht="13.2">
      <c r="C702" s="10"/>
      <c r="D702" s="10"/>
      <c r="E702" s="10"/>
    </row>
    <row r="703" spans="3:5" ht="13.2">
      <c r="C703" s="10"/>
      <c r="D703" s="10"/>
      <c r="E703" s="10"/>
    </row>
    <row r="704" spans="3:5" ht="13.2">
      <c r="C704" s="10"/>
      <c r="D704" s="10"/>
      <c r="E704" s="10"/>
    </row>
    <row r="705" spans="3:5" ht="13.2">
      <c r="C705" s="10"/>
      <c r="D705" s="10"/>
      <c r="E705" s="10"/>
    </row>
    <row r="706" spans="3:5" ht="13.2">
      <c r="C706" s="10"/>
      <c r="D706" s="10"/>
      <c r="E706" s="10"/>
    </row>
    <row r="707" spans="3:5" ht="13.2">
      <c r="C707" s="10"/>
      <c r="D707" s="10"/>
      <c r="E707" s="10"/>
    </row>
    <row r="708" spans="3:5" ht="13.2">
      <c r="C708" s="10"/>
      <c r="D708" s="10"/>
      <c r="E708" s="10"/>
    </row>
    <row r="709" spans="3:5" ht="13.2">
      <c r="C709" s="10"/>
      <c r="D709" s="10"/>
      <c r="E709" s="10"/>
    </row>
    <row r="710" spans="3:5" ht="13.2">
      <c r="C710" s="10"/>
      <c r="D710" s="10"/>
      <c r="E710" s="10"/>
    </row>
    <row r="711" spans="3:5" ht="13.2">
      <c r="C711" s="10"/>
      <c r="D711" s="10"/>
      <c r="E711" s="10"/>
    </row>
    <row r="712" spans="3:5" ht="13.2">
      <c r="C712" s="10"/>
      <c r="D712" s="10"/>
      <c r="E712" s="10"/>
    </row>
    <row r="713" spans="3:5" ht="13.2">
      <c r="C713" s="10"/>
      <c r="D713" s="10"/>
      <c r="E713" s="10"/>
    </row>
    <row r="714" spans="3:5" ht="13.2">
      <c r="C714" s="10"/>
      <c r="D714" s="10"/>
      <c r="E714" s="10"/>
    </row>
    <row r="715" spans="3:5" ht="13.2">
      <c r="C715" s="10"/>
      <c r="D715" s="10"/>
      <c r="E715" s="10"/>
    </row>
    <row r="716" spans="3:5" ht="13.2">
      <c r="C716" s="10"/>
      <c r="D716" s="10"/>
      <c r="E716" s="10"/>
    </row>
    <row r="717" spans="3:5" ht="13.2">
      <c r="C717" s="10"/>
      <c r="D717" s="10"/>
      <c r="E717" s="10"/>
    </row>
    <row r="718" spans="3:5" ht="13.2">
      <c r="C718" s="10"/>
      <c r="D718" s="10"/>
      <c r="E718" s="10"/>
    </row>
    <row r="719" spans="3:5" ht="13.2">
      <c r="C719" s="10"/>
      <c r="D719" s="10"/>
      <c r="E719" s="10"/>
    </row>
    <row r="720" spans="3:5" ht="13.2">
      <c r="C720" s="10"/>
      <c r="D720" s="10"/>
      <c r="E720" s="10"/>
    </row>
    <row r="721" spans="3:5" ht="13.2">
      <c r="C721" s="10"/>
      <c r="D721" s="10"/>
      <c r="E721" s="10"/>
    </row>
    <row r="722" spans="3:5" ht="13.2">
      <c r="C722" s="10"/>
      <c r="D722" s="10"/>
      <c r="E722" s="10"/>
    </row>
    <row r="723" spans="3:5" ht="13.2">
      <c r="C723" s="10"/>
      <c r="D723" s="10"/>
      <c r="E723" s="10"/>
    </row>
    <row r="724" spans="3:5" ht="13.2">
      <c r="C724" s="10"/>
      <c r="D724" s="10"/>
      <c r="E724" s="10"/>
    </row>
    <row r="725" spans="3:5" ht="13.2">
      <c r="C725" s="10"/>
      <c r="D725" s="10"/>
      <c r="E725" s="10"/>
    </row>
    <row r="726" spans="3:5" ht="13.2">
      <c r="C726" s="10"/>
      <c r="D726" s="10"/>
      <c r="E726" s="10"/>
    </row>
    <row r="727" spans="3:5" ht="13.2">
      <c r="C727" s="10"/>
      <c r="D727" s="10"/>
      <c r="E727" s="10"/>
    </row>
    <row r="728" spans="3:5" ht="13.2">
      <c r="C728" s="10"/>
      <c r="D728" s="10"/>
      <c r="E728" s="10"/>
    </row>
    <row r="729" spans="3:5" ht="13.2">
      <c r="C729" s="10"/>
      <c r="D729" s="10"/>
      <c r="E729" s="10"/>
    </row>
    <row r="730" spans="3:5" ht="13.2">
      <c r="C730" s="10"/>
      <c r="D730" s="10"/>
      <c r="E730" s="10"/>
    </row>
    <row r="731" spans="3:5" ht="13.2">
      <c r="C731" s="10"/>
      <c r="D731" s="10"/>
      <c r="E731" s="10"/>
    </row>
    <row r="732" spans="3:5" ht="13.2">
      <c r="C732" s="10"/>
      <c r="D732" s="10"/>
      <c r="E732" s="10"/>
    </row>
    <row r="733" spans="3:5" ht="13.2">
      <c r="C733" s="10"/>
      <c r="D733" s="10"/>
      <c r="E733" s="10"/>
    </row>
    <row r="734" spans="3:5" ht="13.2">
      <c r="C734" s="10"/>
      <c r="D734" s="10"/>
      <c r="E734" s="10"/>
    </row>
    <row r="735" spans="3:5" ht="13.2">
      <c r="C735" s="10"/>
      <c r="D735" s="10"/>
      <c r="E735" s="10"/>
    </row>
    <row r="736" spans="3:5" ht="13.2">
      <c r="C736" s="10"/>
      <c r="D736" s="10"/>
      <c r="E736" s="10"/>
    </row>
    <row r="737" spans="3:5" ht="13.2">
      <c r="C737" s="10"/>
      <c r="D737" s="10"/>
      <c r="E737" s="10"/>
    </row>
    <row r="738" spans="3:5" ht="13.2">
      <c r="C738" s="10"/>
      <c r="D738" s="10"/>
      <c r="E738" s="10"/>
    </row>
    <row r="739" spans="3:5" ht="13.2">
      <c r="C739" s="10"/>
      <c r="D739" s="10"/>
      <c r="E739" s="10"/>
    </row>
    <row r="740" spans="3:5" ht="13.2">
      <c r="C740" s="10"/>
      <c r="D740" s="10"/>
      <c r="E740" s="10"/>
    </row>
    <row r="741" spans="3:5" ht="13.2">
      <c r="C741" s="10"/>
      <c r="D741" s="10"/>
      <c r="E741" s="10"/>
    </row>
    <row r="742" spans="3:5" ht="13.2">
      <c r="C742" s="10"/>
      <c r="D742" s="10"/>
      <c r="E742" s="10"/>
    </row>
    <row r="743" spans="3:5" ht="13.2">
      <c r="C743" s="10"/>
      <c r="D743" s="10"/>
      <c r="E743" s="10"/>
    </row>
    <row r="744" spans="3:5" ht="13.2">
      <c r="C744" s="10"/>
      <c r="D744" s="10"/>
      <c r="E744" s="10"/>
    </row>
    <row r="745" spans="3:5" ht="13.2">
      <c r="C745" s="10"/>
      <c r="D745" s="10"/>
      <c r="E745" s="10"/>
    </row>
    <row r="746" spans="3:5" ht="13.2">
      <c r="C746" s="10"/>
      <c r="D746" s="10"/>
      <c r="E746" s="10"/>
    </row>
    <row r="747" spans="3:5" ht="13.2">
      <c r="C747" s="10"/>
      <c r="D747" s="10"/>
      <c r="E747" s="10"/>
    </row>
    <row r="748" spans="3:5" ht="13.2">
      <c r="C748" s="10"/>
      <c r="D748" s="10"/>
      <c r="E748" s="10"/>
    </row>
    <row r="749" spans="3:5" ht="13.2">
      <c r="C749" s="10"/>
      <c r="D749" s="10"/>
      <c r="E749" s="10"/>
    </row>
    <row r="750" spans="3:5" ht="13.2">
      <c r="C750" s="10"/>
      <c r="D750" s="10"/>
      <c r="E750" s="10"/>
    </row>
    <row r="751" spans="3:5" ht="13.2">
      <c r="C751" s="10"/>
      <c r="D751" s="10"/>
      <c r="E751" s="10"/>
    </row>
    <row r="752" spans="3:5" ht="13.2">
      <c r="C752" s="10"/>
      <c r="D752" s="10"/>
      <c r="E752" s="10"/>
    </row>
    <row r="753" spans="3:5" ht="13.2">
      <c r="C753" s="10"/>
      <c r="D753" s="10"/>
      <c r="E753" s="10"/>
    </row>
    <row r="754" spans="3:5" ht="13.2">
      <c r="C754" s="10"/>
      <c r="D754" s="10"/>
      <c r="E754" s="10"/>
    </row>
    <row r="755" spans="3:5" ht="13.2">
      <c r="C755" s="10"/>
      <c r="D755" s="10"/>
      <c r="E755" s="10"/>
    </row>
    <row r="756" spans="3:5" ht="13.2">
      <c r="C756" s="10"/>
      <c r="D756" s="10"/>
      <c r="E756" s="10"/>
    </row>
    <row r="757" spans="3:5" ht="13.2">
      <c r="C757" s="10"/>
      <c r="D757" s="10"/>
      <c r="E757" s="10"/>
    </row>
    <row r="758" spans="3:5" ht="13.2">
      <c r="C758" s="10"/>
      <c r="D758" s="10"/>
      <c r="E758" s="10"/>
    </row>
    <row r="759" spans="3:5" ht="13.2">
      <c r="C759" s="10"/>
      <c r="D759" s="10"/>
      <c r="E759" s="10"/>
    </row>
    <row r="760" spans="3:5" ht="13.2">
      <c r="C760" s="10"/>
      <c r="D760" s="10"/>
      <c r="E760" s="10"/>
    </row>
    <row r="761" spans="3:5" ht="13.2">
      <c r="C761" s="10"/>
      <c r="D761" s="10"/>
      <c r="E761" s="10"/>
    </row>
    <row r="762" spans="3:5" ht="13.2">
      <c r="C762" s="10"/>
      <c r="D762" s="10"/>
      <c r="E762" s="10"/>
    </row>
    <row r="763" spans="3:5" ht="13.2">
      <c r="C763" s="10"/>
      <c r="D763" s="10"/>
      <c r="E763" s="10"/>
    </row>
    <row r="764" spans="3:5" ht="13.2">
      <c r="C764" s="10"/>
      <c r="D764" s="10"/>
      <c r="E764" s="10"/>
    </row>
    <row r="765" spans="3:5" ht="13.2">
      <c r="C765" s="10"/>
      <c r="D765" s="10"/>
      <c r="E765" s="10"/>
    </row>
    <row r="766" spans="3:5" ht="13.2">
      <c r="C766" s="10"/>
      <c r="D766" s="10"/>
      <c r="E766" s="10"/>
    </row>
    <row r="767" spans="3:5" ht="13.2">
      <c r="C767" s="10"/>
      <c r="D767" s="10"/>
      <c r="E767" s="10"/>
    </row>
    <row r="768" spans="3:5" ht="13.2">
      <c r="C768" s="10"/>
      <c r="D768" s="10"/>
      <c r="E768" s="10"/>
    </row>
    <row r="769" spans="3:5" ht="13.2">
      <c r="C769" s="10"/>
      <c r="D769" s="10"/>
      <c r="E769" s="10"/>
    </row>
    <row r="770" spans="3:5" ht="13.2">
      <c r="C770" s="10"/>
      <c r="D770" s="10"/>
      <c r="E770" s="10"/>
    </row>
    <row r="771" spans="3:5" ht="13.2">
      <c r="C771" s="10"/>
      <c r="D771" s="10"/>
      <c r="E771" s="10"/>
    </row>
    <row r="772" spans="3:5" ht="13.2">
      <c r="C772" s="10"/>
      <c r="D772" s="10"/>
      <c r="E772" s="10"/>
    </row>
    <row r="773" spans="3:5" ht="13.2">
      <c r="C773" s="10"/>
      <c r="D773" s="10"/>
      <c r="E773" s="10"/>
    </row>
    <row r="774" spans="3:5" ht="13.2">
      <c r="C774" s="10"/>
      <c r="D774" s="10"/>
      <c r="E774" s="10"/>
    </row>
    <row r="775" spans="3:5" ht="13.2">
      <c r="C775" s="10"/>
      <c r="D775" s="10"/>
      <c r="E775" s="10"/>
    </row>
    <row r="776" spans="3:5" ht="13.2">
      <c r="C776" s="10"/>
      <c r="D776" s="10"/>
      <c r="E776" s="10"/>
    </row>
    <row r="777" spans="3:5" ht="13.2">
      <c r="C777" s="10"/>
      <c r="D777" s="10"/>
      <c r="E777" s="10"/>
    </row>
    <row r="778" spans="3:5" ht="13.2">
      <c r="C778" s="10"/>
      <c r="D778" s="10"/>
      <c r="E778" s="10"/>
    </row>
    <row r="779" spans="3:5" ht="13.2">
      <c r="C779" s="10"/>
      <c r="D779" s="10"/>
      <c r="E779" s="10"/>
    </row>
    <row r="780" spans="3:5" ht="13.2">
      <c r="C780" s="10"/>
      <c r="D780" s="10"/>
      <c r="E780" s="10"/>
    </row>
    <row r="781" spans="3:5" ht="13.2">
      <c r="C781" s="10"/>
      <c r="D781" s="10"/>
      <c r="E781" s="10"/>
    </row>
    <row r="782" spans="3:5" ht="13.2">
      <c r="C782" s="10"/>
      <c r="D782" s="10"/>
      <c r="E782" s="10"/>
    </row>
    <row r="783" spans="3:5" ht="13.2">
      <c r="C783" s="10"/>
      <c r="D783" s="10"/>
      <c r="E783" s="10"/>
    </row>
    <row r="784" spans="3:5" ht="13.2">
      <c r="C784" s="10"/>
      <c r="D784" s="10"/>
      <c r="E784" s="10"/>
    </row>
    <row r="785" spans="3:5" ht="13.2">
      <c r="C785" s="10"/>
      <c r="D785" s="10"/>
      <c r="E785" s="10"/>
    </row>
    <row r="786" spans="3:5" ht="13.2">
      <c r="C786" s="10"/>
      <c r="D786" s="10"/>
      <c r="E786" s="10"/>
    </row>
    <row r="787" spans="3:5" ht="13.2">
      <c r="C787" s="10"/>
      <c r="D787" s="10"/>
      <c r="E787" s="10"/>
    </row>
    <row r="788" spans="3:5" ht="13.2">
      <c r="C788" s="10"/>
      <c r="D788" s="10"/>
      <c r="E788" s="10"/>
    </row>
    <row r="789" spans="3:5" ht="13.2">
      <c r="C789" s="10"/>
      <c r="D789" s="10"/>
      <c r="E789" s="10"/>
    </row>
    <row r="790" spans="3:5" ht="13.2">
      <c r="C790" s="10"/>
      <c r="D790" s="10"/>
      <c r="E790" s="10"/>
    </row>
    <row r="791" spans="3:5" ht="13.2">
      <c r="C791" s="10"/>
      <c r="D791" s="10"/>
      <c r="E791" s="10"/>
    </row>
    <row r="792" spans="3:5" ht="13.2">
      <c r="C792" s="10"/>
      <c r="D792" s="10"/>
      <c r="E792" s="10"/>
    </row>
    <row r="793" spans="3:5" ht="13.2">
      <c r="C793" s="10"/>
      <c r="D793" s="10"/>
      <c r="E793" s="10"/>
    </row>
    <row r="794" spans="3:5" ht="13.2">
      <c r="C794" s="10"/>
      <c r="D794" s="10"/>
      <c r="E794" s="10"/>
    </row>
    <row r="795" spans="3:5" ht="13.2">
      <c r="C795" s="10"/>
      <c r="D795" s="10"/>
      <c r="E795" s="10"/>
    </row>
    <row r="796" spans="3:5" ht="13.2">
      <c r="C796" s="10"/>
      <c r="D796" s="10"/>
      <c r="E796" s="10"/>
    </row>
    <row r="797" spans="3:5" ht="13.2">
      <c r="C797" s="10"/>
      <c r="D797" s="10"/>
      <c r="E797" s="10"/>
    </row>
    <row r="798" spans="3:5" ht="13.2">
      <c r="C798" s="10"/>
      <c r="D798" s="10"/>
      <c r="E798" s="10"/>
    </row>
    <row r="799" spans="3:5" ht="13.2">
      <c r="C799" s="10"/>
      <c r="D799" s="10"/>
      <c r="E799" s="10"/>
    </row>
    <row r="800" spans="3:5" ht="13.2">
      <c r="C800" s="10"/>
      <c r="D800" s="10"/>
      <c r="E800" s="10"/>
    </row>
    <row r="801" spans="3:5" ht="13.2">
      <c r="C801" s="10"/>
      <c r="D801" s="10"/>
      <c r="E801" s="10"/>
    </row>
    <row r="802" spans="3:5" ht="13.2">
      <c r="C802" s="10"/>
      <c r="D802" s="10"/>
      <c r="E802" s="10"/>
    </row>
    <row r="803" spans="3:5" ht="13.2">
      <c r="C803" s="10"/>
      <c r="D803" s="10"/>
      <c r="E803" s="10"/>
    </row>
    <row r="804" spans="3:5" ht="13.2">
      <c r="C804" s="10"/>
      <c r="D804" s="10"/>
      <c r="E804" s="10"/>
    </row>
    <row r="805" spans="3:5" ht="13.2">
      <c r="C805" s="10"/>
      <c r="D805" s="10"/>
      <c r="E805" s="10"/>
    </row>
    <row r="806" spans="3:5" ht="13.2">
      <c r="C806" s="10"/>
      <c r="D806" s="10"/>
      <c r="E806" s="10"/>
    </row>
    <row r="807" spans="3:5" ht="13.2">
      <c r="C807" s="10"/>
      <c r="D807" s="10"/>
      <c r="E807" s="10"/>
    </row>
    <row r="808" spans="3:5" ht="13.2">
      <c r="C808" s="10"/>
      <c r="D808" s="10"/>
      <c r="E808" s="10"/>
    </row>
    <row r="809" spans="3:5" ht="13.2">
      <c r="C809" s="10"/>
      <c r="D809" s="10"/>
      <c r="E809" s="10"/>
    </row>
    <row r="810" spans="3:5" ht="13.2">
      <c r="C810" s="10"/>
      <c r="D810" s="10"/>
      <c r="E810" s="10"/>
    </row>
    <row r="811" spans="3:5" ht="13.2">
      <c r="C811" s="10"/>
      <c r="D811" s="10"/>
      <c r="E811" s="10"/>
    </row>
    <row r="812" spans="3:5" ht="13.2">
      <c r="C812" s="10"/>
      <c r="D812" s="10"/>
      <c r="E812" s="10"/>
    </row>
    <row r="813" spans="3:5" ht="13.2">
      <c r="C813" s="10"/>
      <c r="D813" s="10"/>
      <c r="E813" s="10"/>
    </row>
    <row r="814" spans="3:5" ht="13.2">
      <c r="C814" s="10"/>
      <c r="D814" s="10"/>
      <c r="E814" s="10"/>
    </row>
    <row r="815" spans="3:5" ht="13.2">
      <c r="C815" s="10"/>
      <c r="D815" s="10"/>
      <c r="E815" s="10"/>
    </row>
    <row r="816" spans="3:5" ht="13.2">
      <c r="C816" s="10"/>
      <c r="D816" s="10"/>
      <c r="E816" s="10"/>
    </row>
    <row r="817" spans="3:5" ht="13.2">
      <c r="C817" s="10"/>
      <c r="D817" s="10"/>
      <c r="E817" s="10"/>
    </row>
    <row r="818" spans="3:5" ht="13.2">
      <c r="C818" s="10"/>
      <c r="D818" s="10"/>
      <c r="E818" s="10"/>
    </row>
    <row r="819" spans="3:5" ht="13.2">
      <c r="C819" s="10"/>
      <c r="D819" s="10"/>
      <c r="E819" s="10"/>
    </row>
    <row r="820" spans="3:5" ht="13.2">
      <c r="C820" s="10"/>
      <c r="D820" s="10"/>
      <c r="E820" s="10"/>
    </row>
    <row r="821" spans="3:5" ht="13.2">
      <c r="C821" s="10"/>
      <c r="D821" s="10"/>
      <c r="E821" s="10"/>
    </row>
    <row r="822" spans="3:5" ht="13.2">
      <c r="C822" s="10"/>
      <c r="D822" s="10"/>
      <c r="E822" s="10"/>
    </row>
    <row r="823" spans="3:5" ht="13.2">
      <c r="C823" s="10"/>
      <c r="D823" s="10"/>
      <c r="E823" s="10"/>
    </row>
    <row r="824" spans="3:5" ht="13.2">
      <c r="C824" s="10"/>
      <c r="D824" s="10"/>
      <c r="E824" s="10"/>
    </row>
    <row r="825" spans="3:5" ht="13.2">
      <c r="C825" s="10"/>
      <c r="D825" s="10"/>
      <c r="E825" s="10"/>
    </row>
    <row r="826" spans="3:5" ht="13.2">
      <c r="C826" s="10"/>
      <c r="D826" s="10"/>
      <c r="E826" s="10"/>
    </row>
    <row r="827" spans="3:5" ht="13.2">
      <c r="C827" s="10"/>
      <c r="D827" s="10"/>
      <c r="E827" s="10"/>
    </row>
    <row r="828" spans="3:5" ht="13.2">
      <c r="C828" s="10"/>
      <c r="D828" s="10"/>
      <c r="E828" s="10"/>
    </row>
    <row r="829" spans="3:5" ht="13.2">
      <c r="C829" s="10"/>
      <c r="D829" s="10"/>
      <c r="E829" s="10"/>
    </row>
    <row r="830" spans="3:5" ht="13.2">
      <c r="C830" s="10"/>
      <c r="D830" s="10"/>
      <c r="E830" s="10"/>
    </row>
    <row r="831" spans="3:5" ht="13.2">
      <c r="C831" s="10"/>
      <c r="D831" s="10"/>
      <c r="E831" s="10"/>
    </row>
    <row r="832" spans="3:5" ht="13.2">
      <c r="C832" s="10"/>
      <c r="D832" s="10"/>
      <c r="E832" s="10"/>
    </row>
    <row r="833" spans="3:5" ht="13.2">
      <c r="C833" s="10"/>
      <c r="D833" s="10"/>
      <c r="E833" s="10"/>
    </row>
    <row r="834" spans="3:5" ht="13.2">
      <c r="C834" s="10"/>
      <c r="D834" s="10"/>
      <c r="E834" s="10"/>
    </row>
    <row r="835" spans="3:5" ht="13.2">
      <c r="C835" s="10"/>
      <c r="D835" s="10"/>
      <c r="E835" s="10"/>
    </row>
    <row r="836" spans="3:5" ht="13.2">
      <c r="C836" s="10"/>
      <c r="D836" s="10"/>
      <c r="E836" s="10"/>
    </row>
    <row r="837" spans="3:5" ht="13.2">
      <c r="C837" s="10"/>
      <c r="D837" s="10"/>
      <c r="E837" s="10"/>
    </row>
    <row r="838" spans="3:5" ht="13.2">
      <c r="C838" s="10"/>
      <c r="D838" s="10"/>
      <c r="E838" s="10"/>
    </row>
    <row r="839" spans="3:5" ht="13.2">
      <c r="C839" s="10"/>
      <c r="D839" s="10"/>
      <c r="E839" s="10"/>
    </row>
    <row r="840" spans="3:5" ht="13.2">
      <c r="C840" s="10"/>
      <c r="D840" s="10"/>
      <c r="E840" s="10"/>
    </row>
    <row r="841" spans="3:5" ht="13.2">
      <c r="C841" s="10"/>
      <c r="D841" s="10"/>
      <c r="E841" s="10"/>
    </row>
    <row r="842" spans="3:5" ht="13.2">
      <c r="C842" s="10"/>
      <c r="D842" s="10"/>
      <c r="E842" s="10"/>
    </row>
    <row r="843" spans="3:5" ht="13.2">
      <c r="C843" s="10"/>
      <c r="D843" s="10"/>
      <c r="E843" s="10"/>
    </row>
    <row r="844" spans="3:5" ht="13.2">
      <c r="C844" s="10"/>
      <c r="D844" s="10"/>
      <c r="E844" s="10"/>
    </row>
    <row r="845" spans="3:5" ht="13.2">
      <c r="C845" s="10"/>
      <c r="D845" s="10"/>
      <c r="E845" s="10"/>
    </row>
    <row r="846" spans="3:5" ht="13.2">
      <c r="C846" s="10"/>
      <c r="D846" s="10"/>
      <c r="E846" s="10"/>
    </row>
    <row r="847" spans="3:5" ht="13.2">
      <c r="C847" s="10"/>
      <c r="D847" s="10"/>
      <c r="E847" s="10"/>
    </row>
    <row r="848" spans="3:5" ht="13.2">
      <c r="C848" s="10"/>
      <c r="D848" s="10"/>
      <c r="E848" s="10"/>
    </row>
    <row r="849" spans="3:5" ht="13.2">
      <c r="C849" s="10"/>
      <c r="D849" s="10"/>
      <c r="E849" s="10"/>
    </row>
    <row r="850" spans="3:5" ht="13.2">
      <c r="C850" s="10"/>
      <c r="D850" s="10"/>
      <c r="E850" s="10"/>
    </row>
    <row r="851" spans="3:5" ht="13.2">
      <c r="C851" s="10"/>
      <c r="D851" s="10"/>
      <c r="E851" s="10"/>
    </row>
    <row r="852" spans="3:5" ht="13.2">
      <c r="C852" s="10"/>
      <c r="D852" s="10"/>
      <c r="E852" s="10"/>
    </row>
    <row r="853" spans="3:5" ht="13.2">
      <c r="C853" s="10"/>
      <c r="D853" s="10"/>
      <c r="E853" s="10"/>
    </row>
    <row r="854" spans="3:5" ht="13.2">
      <c r="C854" s="10"/>
      <c r="D854" s="10"/>
      <c r="E854" s="10"/>
    </row>
    <row r="855" spans="3:5" ht="13.2">
      <c r="C855" s="10"/>
      <c r="D855" s="10"/>
      <c r="E855" s="10"/>
    </row>
    <row r="856" spans="3:5" ht="13.2">
      <c r="C856" s="10"/>
      <c r="D856" s="10"/>
      <c r="E856" s="10"/>
    </row>
    <row r="857" spans="3:5" ht="13.2">
      <c r="C857" s="10"/>
      <c r="D857" s="10"/>
      <c r="E857" s="10"/>
    </row>
    <row r="858" spans="3:5" ht="13.2">
      <c r="C858" s="10"/>
      <c r="D858" s="10"/>
      <c r="E858" s="10"/>
    </row>
    <row r="859" spans="3:5" ht="13.2">
      <c r="C859" s="10"/>
      <c r="D859" s="10"/>
      <c r="E859" s="10"/>
    </row>
    <row r="860" spans="3:5" ht="13.2">
      <c r="C860" s="10"/>
      <c r="D860" s="10"/>
      <c r="E860" s="10"/>
    </row>
    <row r="861" spans="3:5" ht="13.2">
      <c r="C861" s="10"/>
      <c r="D861" s="10"/>
      <c r="E861" s="10"/>
    </row>
    <row r="862" spans="3:5" ht="13.2">
      <c r="C862" s="10"/>
      <c r="D862" s="10"/>
      <c r="E862" s="10"/>
    </row>
    <row r="863" spans="3:5" ht="13.2">
      <c r="C863" s="10"/>
      <c r="D863" s="10"/>
      <c r="E863" s="10"/>
    </row>
    <row r="864" spans="3:5" ht="13.2">
      <c r="C864" s="10"/>
      <c r="D864" s="10"/>
      <c r="E864" s="10"/>
    </row>
    <row r="865" spans="3:5" ht="13.2">
      <c r="C865" s="10"/>
      <c r="D865" s="10"/>
      <c r="E865" s="10"/>
    </row>
    <row r="866" spans="3:5" ht="13.2">
      <c r="C866" s="10"/>
      <c r="D866" s="10"/>
      <c r="E866" s="10"/>
    </row>
    <row r="867" spans="3:5" ht="13.2">
      <c r="C867" s="10"/>
      <c r="D867" s="10"/>
      <c r="E867" s="10"/>
    </row>
    <row r="868" spans="3:5" ht="13.2">
      <c r="C868" s="10"/>
      <c r="D868" s="10"/>
      <c r="E868" s="10"/>
    </row>
    <row r="869" spans="3:5" ht="13.2">
      <c r="C869" s="10"/>
      <c r="D869" s="10"/>
      <c r="E869" s="10"/>
    </row>
    <row r="870" spans="3:5" ht="13.2">
      <c r="C870" s="10"/>
      <c r="D870" s="10"/>
      <c r="E870" s="10"/>
    </row>
    <row r="871" spans="3:5" ht="13.2">
      <c r="C871" s="10"/>
      <c r="D871" s="10"/>
      <c r="E871" s="10"/>
    </row>
    <row r="872" spans="3:5" ht="13.2">
      <c r="C872" s="10"/>
      <c r="D872" s="10"/>
      <c r="E872" s="10"/>
    </row>
    <row r="873" spans="3:5" ht="13.2">
      <c r="C873" s="10"/>
      <c r="D873" s="10"/>
      <c r="E873" s="10"/>
    </row>
    <row r="874" spans="3:5" ht="13.2">
      <c r="C874" s="10"/>
      <c r="D874" s="10"/>
      <c r="E874" s="10"/>
    </row>
    <row r="875" spans="3:5" ht="13.2">
      <c r="C875" s="10"/>
      <c r="D875" s="10"/>
      <c r="E875" s="10"/>
    </row>
    <row r="876" spans="3:5" ht="13.2">
      <c r="C876" s="10"/>
      <c r="D876" s="10"/>
      <c r="E876" s="10"/>
    </row>
    <row r="877" spans="3:5" ht="13.2">
      <c r="C877" s="10"/>
      <c r="D877" s="10"/>
      <c r="E877" s="10"/>
    </row>
    <row r="878" spans="3:5" ht="13.2">
      <c r="C878" s="10"/>
      <c r="D878" s="10"/>
      <c r="E878" s="10"/>
    </row>
    <row r="879" spans="3:5" ht="13.2">
      <c r="C879" s="10"/>
      <c r="D879" s="10"/>
      <c r="E879" s="10"/>
    </row>
    <row r="880" spans="3:5" ht="13.2">
      <c r="C880" s="10"/>
      <c r="D880" s="10"/>
      <c r="E880" s="10"/>
    </row>
    <row r="881" spans="3:5" ht="13.2">
      <c r="C881" s="10"/>
      <c r="D881" s="10"/>
      <c r="E881" s="10"/>
    </row>
    <row r="882" spans="3:5" ht="13.2">
      <c r="C882" s="10"/>
      <c r="D882" s="10"/>
      <c r="E882" s="10"/>
    </row>
    <row r="883" spans="3:5" ht="13.2">
      <c r="C883" s="10"/>
      <c r="D883" s="10"/>
      <c r="E883" s="10"/>
    </row>
    <row r="884" spans="3:5" ht="13.2">
      <c r="C884" s="10"/>
      <c r="D884" s="10"/>
      <c r="E884" s="10"/>
    </row>
    <row r="885" spans="3:5" ht="13.2">
      <c r="C885" s="10"/>
      <c r="D885" s="10"/>
      <c r="E885" s="10"/>
    </row>
    <row r="886" spans="3:5" ht="13.2">
      <c r="C886" s="10"/>
      <c r="D886" s="10"/>
      <c r="E886" s="10"/>
    </row>
    <row r="887" spans="3:5" ht="13.2">
      <c r="C887" s="10"/>
      <c r="D887" s="10"/>
      <c r="E887" s="10"/>
    </row>
    <row r="888" spans="3:5" ht="13.2">
      <c r="C888" s="10"/>
      <c r="D888" s="10"/>
      <c r="E888" s="10"/>
    </row>
    <row r="889" spans="3:5" ht="13.2">
      <c r="C889" s="10"/>
      <c r="D889" s="10"/>
      <c r="E889" s="10"/>
    </row>
    <row r="890" spans="3:5" ht="13.2">
      <c r="C890" s="10"/>
      <c r="D890" s="10"/>
      <c r="E890" s="10"/>
    </row>
    <row r="891" spans="3:5" ht="13.2">
      <c r="C891" s="10"/>
      <c r="D891" s="10"/>
      <c r="E891" s="10"/>
    </row>
    <row r="892" spans="3:5" ht="13.2">
      <c r="C892" s="10"/>
      <c r="D892" s="10"/>
      <c r="E892" s="10"/>
    </row>
    <row r="893" spans="3:5" ht="13.2">
      <c r="C893" s="10"/>
      <c r="D893" s="10"/>
      <c r="E893" s="10"/>
    </row>
    <row r="894" spans="3:5" ht="13.2">
      <c r="C894" s="10"/>
      <c r="D894" s="10"/>
      <c r="E894" s="10"/>
    </row>
    <row r="895" spans="3:5" ht="13.2">
      <c r="C895" s="10"/>
      <c r="D895" s="10"/>
      <c r="E895" s="10"/>
    </row>
    <row r="896" spans="3:5" ht="13.2">
      <c r="C896" s="10"/>
      <c r="D896" s="10"/>
      <c r="E896" s="10"/>
    </row>
    <row r="897" spans="3:5" ht="13.2">
      <c r="C897" s="10"/>
      <c r="D897" s="10"/>
      <c r="E897" s="10"/>
    </row>
    <row r="898" spans="3:5" ht="13.2">
      <c r="C898" s="10"/>
      <c r="D898" s="10"/>
      <c r="E898" s="10"/>
    </row>
    <row r="899" spans="3:5" ht="13.2">
      <c r="C899" s="10"/>
      <c r="D899" s="10"/>
      <c r="E899" s="10"/>
    </row>
    <row r="900" spans="3:5" ht="13.2">
      <c r="C900" s="10"/>
      <c r="D900" s="10"/>
      <c r="E900" s="10"/>
    </row>
    <row r="901" spans="3:5" ht="13.2">
      <c r="C901" s="10"/>
      <c r="D901" s="10"/>
      <c r="E901" s="10"/>
    </row>
    <row r="902" spans="3:5" ht="13.2">
      <c r="C902" s="10"/>
      <c r="D902" s="10"/>
      <c r="E902" s="10"/>
    </row>
    <row r="903" spans="3:5" ht="13.2">
      <c r="C903" s="10"/>
      <c r="D903" s="10"/>
      <c r="E903" s="10"/>
    </row>
    <row r="904" spans="3:5" ht="13.2">
      <c r="C904" s="10"/>
      <c r="D904" s="10"/>
      <c r="E904" s="10"/>
    </row>
    <row r="905" spans="3:5" ht="13.2">
      <c r="C905" s="10"/>
      <c r="D905" s="10"/>
      <c r="E905" s="10"/>
    </row>
    <row r="906" spans="3:5" ht="13.2">
      <c r="C906" s="10"/>
      <c r="D906" s="10"/>
      <c r="E906" s="10"/>
    </row>
    <row r="907" spans="3:5" ht="13.2">
      <c r="C907" s="10"/>
      <c r="D907" s="10"/>
      <c r="E907" s="10"/>
    </row>
    <row r="908" spans="3:5" ht="13.2">
      <c r="C908" s="10"/>
      <c r="D908" s="10"/>
      <c r="E908" s="10"/>
    </row>
    <row r="909" spans="3:5" ht="13.2">
      <c r="C909" s="10"/>
      <c r="D909" s="10"/>
      <c r="E909" s="10"/>
    </row>
    <row r="910" spans="3:5" ht="13.2">
      <c r="C910" s="10"/>
      <c r="D910" s="10"/>
      <c r="E910" s="10"/>
    </row>
    <row r="911" spans="3:5" ht="13.2">
      <c r="C911" s="10"/>
      <c r="D911" s="10"/>
      <c r="E911" s="10"/>
    </row>
    <row r="912" spans="3:5" ht="13.2">
      <c r="C912" s="10"/>
      <c r="D912" s="10"/>
      <c r="E912" s="10"/>
    </row>
    <row r="913" spans="3:5" ht="13.2">
      <c r="C913" s="10"/>
      <c r="D913" s="10"/>
      <c r="E913" s="10"/>
    </row>
    <row r="914" spans="3:5" ht="13.2">
      <c r="C914" s="10"/>
      <c r="D914" s="10"/>
      <c r="E914" s="10"/>
    </row>
    <row r="915" spans="3:5" ht="13.2">
      <c r="C915" s="10"/>
      <c r="D915" s="10"/>
      <c r="E915" s="10"/>
    </row>
    <row r="916" spans="3:5" ht="13.2">
      <c r="C916" s="10"/>
      <c r="D916" s="10"/>
      <c r="E916" s="10"/>
    </row>
    <row r="917" spans="3:5" ht="13.2">
      <c r="C917" s="10"/>
      <c r="D917" s="10"/>
      <c r="E917" s="10"/>
    </row>
    <row r="918" spans="3:5" ht="13.2">
      <c r="C918" s="10"/>
      <c r="D918" s="10"/>
      <c r="E918" s="10"/>
    </row>
    <row r="919" spans="3:5" ht="13.2">
      <c r="C919" s="10"/>
      <c r="D919" s="10"/>
      <c r="E919" s="10"/>
    </row>
    <row r="920" spans="3:5" ht="13.2">
      <c r="C920" s="10"/>
      <c r="D920" s="10"/>
      <c r="E920" s="10"/>
    </row>
    <row r="921" spans="3:5" ht="13.2">
      <c r="C921" s="10"/>
      <c r="D921" s="10"/>
      <c r="E921" s="10"/>
    </row>
    <row r="922" spans="3:5" ht="13.2">
      <c r="C922" s="10"/>
      <c r="D922" s="10"/>
      <c r="E922" s="10"/>
    </row>
    <row r="923" spans="3:5" ht="13.2">
      <c r="C923" s="10"/>
      <c r="D923" s="10"/>
      <c r="E923" s="10"/>
    </row>
    <row r="924" spans="3:5" ht="13.2">
      <c r="C924" s="10"/>
      <c r="D924" s="10"/>
      <c r="E924" s="10"/>
    </row>
    <row r="925" spans="3:5" ht="13.2">
      <c r="C925" s="10"/>
      <c r="D925" s="10"/>
      <c r="E925" s="10"/>
    </row>
    <row r="926" spans="3:5" ht="13.2">
      <c r="C926" s="10"/>
      <c r="D926" s="10"/>
      <c r="E926" s="10"/>
    </row>
    <row r="927" spans="3:5" ht="13.2">
      <c r="C927" s="10"/>
      <c r="D927" s="10"/>
      <c r="E927" s="10"/>
    </row>
    <row r="928" spans="3:5" ht="13.2">
      <c r="C928" s="10"/>
      <c r="D928" s="10"/>
      <c r="E928" s="10"/>
    </row>
    <row r="929" spans="3:5" ht="13.2">
      <c r="C929" s="10"/>
      <c r="D929" s="10"/>
      <c r="E929" s="10"/>
    </row>
    <row r="930" spans="3:5" ht="13.2">
      <c r="C930" s="10"/>
      <c r="D930" s="10"/>
      <c r="E930" s="10"/>
    </row>
    <row r="931" spans="3:5" ht="13.2">
      <c r="C931" s="10"/>
      <c r="D931" s="10"/>
      <c r="E931" s="10"/>
    </row>
    <row r="932" spans="3:5" ht="13.2">
      <c r="C932" s="10"/>
      <c r="D932" s="10"/>
      <c r="E932" s="10"/>
    </row>
    <row r="933" spans="3:5" ht="13.2">
      <c r="C933" s="10"/>
      <c r="D933" s="10"/>
      <c r="E933" s="10"/>
    </row>
    <row r="934" spans="3:5" ht="13.2">
      <c r="C934" s="10"/>
      <c r="D934" s="10"/>
      <c r="E934" s="10"/>
    </row>
    <row r="935" spans="3:5" ht="13.2">
      <c r="C935" s="10"/>
      <c r="D935" s="10"/>
      <c r="E935" s="10"/>
    </row>
    <row r="936" spans="3:5" ht="13.2">
      <c r="C936" s="10"/>
      <c r="D936" s="10"/>
      <c r="E936" s="10"/>
    </row>
    <row r="937" spans="3:5" ht="13.2">
      <c r="C937" s="10"/>
      <c r="D937" s="10"/>
      <c r="E937" s="10"/>
    </row>
    <row r="938" spans="3:5" ht="13.2">
      <c r="C938" s="10"/>
      <c r="D938" s="10"/>
      <c r="E938" s="10"/>
    </row>
    <row r="939" spans="3:5" ht="13.2">
      <c r="C939" s="10"/>
      <c r="D939" s="10"/>
      <c r="E939" s="10"/>
    </row>
    <row r="940" spans="3:5" ht="13.2">
      <c r="C940" s="10"/>
      <c r="D940" s="10"/>
      <c r="E940" s="10"/>
    </row>
    <row r="941" spans="3:5" ht="13.2">
      <c r="C941" s="10"/>
      <c r="D941" s="10"/>
      <c r="E941" s="10"/>
    </row>
    <row r="942" spans="3:5" ht="13.2">
      <c r="C942" s="10"/>
      <c r="D942" s="10"/>
      <c r="E942" s="10"/>
    </row>
    <row r="943" spans="3:5" ht="13.2">
      <c r="C943" s="10"/>
      <c r="D943" s="10"/>
      <c r="E943" s="10"/>
    </row>
    <row r="944" spans="3:5" ht="13.2">
      <c r="C944" s="10"/>
      <c r="D944" s="10"/>
      <c r="E944" s="10"/>
    </row>
    <row r="945" spans="3:5" ht="13.2">
      <c r="C945" s="10"/>
      <c r="D945" s="10"/>
      <c r="E945" s="10"/>
    </row>
    <row r="946" spans="3:5" ht="13.2">
      <c r="C946" s="10"/>
      <c r="D946" s="10"/>
      <c r="E946" s="10"/>
    </row>
    <row r="947" spans="3:5" ht="13.2">
      <c r="C947" s="10"/>
      <c r="D947" s="10"/>
      <c r="E947" s="10"/>
    </row>
    <row r="948" spans="3:5" ht="13.2">
      <c r="C948" s="10"/>
      <c r="D948" s="10"/>
      <c r="E948" s="10"/>
    </row>
    <row r="949" spans="3:5" ht="13.2">
      <c r="C949" s="10"/>
      <c r="D949" s="10"/>
      <c r="E949" s="10"/>
    </row>
    <row r="950" spans="3:5" ht="13.2">
      <c r="C950" s="10"/>
      <c r="D950" s="10"/>
      <c r="E950" s="10"/>
    </row>
    <row r="951" spans="3:5" ht="13.2">
      <c r="C951" s="10"/>
      <c r="D951" s="10"/>
      <c r="E951" s="10"/>
    </row>
    <row r="952" spans="3:5" ht="13.2">
      <c r="C952" s="10"/>
      <c r="D952" s="10"/>
      <c r="E952" s="10"/>
    </row>
    <row r="953" spans="3:5" ht="13.2">
      <c r="C953" s="10"/>
      <c r="D953" s="10"/>
      <c r="E953" s="10"/>
    </row>
    <row r="954" spans="3:5" ht="13.2">
      <c r="C954" s="10"/>
      <c r="D954" s="10"/>
      <c r="E954" s="10"/>
    </row>
    <row r="955" spans="3:5" ht="13.2">
      <c r="C955" s="10"/>
      <c r="D955" s="10"/>
      <c r="E955" s="10"/>
    </row>
    <row r="956" spans="3:5" ht="13.2">
      <c r="C956" s="10"/>
      <c r="D956" s="10"/>
      <c r="E956" s="10"/>
    </row>
    <row r="957" spans="3:5" ht="13.2">
      <c r="C957" s="10"/>
      <c r="D957" s="10"/>
      <c r="E957" s="10"/>
    </row>
    <row r="958" spans="3:5" ht="13.2">
      <c r="C958" s="10"/>
      <c r="D958" s="10"/>
      <c r="E958" s="10"/>
    </row>
    <row r="959" spans="3:5" ht="13.2">
      <c r="C959" s="10"/>
      <c r="D959" s="10"/>
      <c r="E959" s="10"/>
    </row>
    <row r="960" spans="3:5" ht="13.2">
      <c r="C960" s="10"/>
      <c r="D960" s="10"/>
      <c r="E960" s="10"/>
    </row>
    <row r="961" spans="3:5" ht="13.2">
      <c r="C961" s="10"/>
      <c r="D961" s="10"/>
      <c r="E961" s="10"/>
    </row>
    <row r="962" spans="3:5" ht="13.2">
      <c r="C962" s="10"/>
      <c r="D962" s="10"/>
      <c r="E962" s="10"/>
    </row>
    <row r="963" spans="3:5" ht="13.2">
      <c r="C963" s="10"/>
      <c r="D963" s="10"/>
      <c r="E963" s="10"/>
    </row>
    <row r="964" spans="3:5" ht="13.2">
      <c r="C964" s="10"/>
      <c r="D964" s="10"/>
      <c r="E964" s="10"/>
    </row>
    <row r="965" spans="3:5" ht="13.2">
      <c r="C965" s="10"/>
      <c r="D965" s="10"/>
      <c r="E965" s="10"/>
    </row>
    <row r="966" spans="3:5" ht="13.2">
      <c r="C966" s="10"/>
      <c r="D966" s="10"/>
      <c r="E966" s="10"/>
    </row>
    <row r="967" spans="3:5" ht="13.2">
      <c r="C967" s="10"/>
      <c r="D967" s="10"/>
      <c r="E967" s="10"/>
    </row>
    <row r="968" spans="3:5" ht="13.2">
      <c r="C968" s="10"/>
      <c r="D968" s="10"/>
      <c r="E968" s="10"/>
    </row>
    <row r="969" spans="3:5" ht="13.2">
      <c r="C969" s="10"/>
      <c r="D969" s="10"/>
      <c r="E969" s="10"/>
    </row>
    <row r="970" spans="3:5" ht="13.2">
      <c r="C970" s="10"/>
      <c r="D970" s="10"/>
      <c r="E970" s="10"/>
    </row>
    <row r="971" spans="3:5" ht="13.2">
      <c r="C971" s="10"/>
      <c r="D971" s="10"/>
      <c r="E971" s="10"/>
    </row>
    <row r="972" spans="3:5" ht="13.2">
      <c r="C972" s="10"/>
      <c r="D972" s="10"/>
      <c r="E972" s="10"/>
    </row>
    <row r="973" spans="3:5" ht="13.2">
      <c r="C973" s="10"/>
      <c r="D973" s="10"/>
      <c r="E973" s="10"/>
    </row>
    <row r="974" spans="3:5" ht="13.2">
      <c r="C974" s="10"/>
      <c r="D974" s="10"/>
      <c r="E974" s="10"/>
    </row>
    <row r="975" spans="3:5" ht="13.2">
      <c r="C975" s="10"/>
      <c r="D975" s="10"/>
      <c r="E975" s="10"/>
    </row>
    <row r="976" spans="3:5" ht="13.2">
      <c r="C976" s="10"/>
      <c r="D976" s="10"/>
      <c r="E976" s="10"/>
    </row>
    <row r="977" spans="3:5" ht="13.2">
      <c r="C977" s="10"/>
      <c r="D977" s="10"/>
      <c r="E977" s="10"/>
    </row>
    <row r="978" spans="3:5" ht="13.2">
      <c r="C978" s="10"/>
      <c r="D978" s="10"/>
      <c r="E978" s="10"/>
    </row>
    <row r="979" spans="3:5" ht="13.2">
      <c r="C979" s="10"/>
      <c r="D979" s="10"/>
      <c r="E979" s="10"/>
    </row>
    <row r="980" spans="3:5" ht="13.2">
      <c r="C980" s="10"/>
      <c r="D980" s="10"/>
      <c r="E980" s="10"/>
    </row>
    <row r="981" spans="3:5" ht="13.2">
      <c r="C981" s="10"/>
      <c r="D981" s="10"/>
      <c r="E981" s="10"/>
    </row>
    <row r="982" spans="3:5" ht="13.2">
      <c r="C982" s="10"/>
      <c r="D982" s="10"/>
      <c r="E982" s="10"/>
    </row>
    <row r="983" spans="3:5" ht="13.2">
      <c r="C983" s="10"/>
      <c r="D983" s="10"/>
      <c r="E983" s="10"/>
    </row>
    <row r="984" spans="3:5" ht="13.2">
      <c r="C984" s="10"/>
      <c r="D984" s="10"/>
      <c r="E984" s="10"/>
    </row>
    <row r="985" spans="3:5" ht="13.2">
      <c r="C985" s="10"/>
      <c r="D985" s="10"/>
      <c r="E985" s="10"/>
    </row>
    <row r="986" spans="3:5" ht="13.2">
      <c r="C986" s="10"/>
      <c r="D986" s="10"/>
      <c r="E986" s="10"/>
    </row>
    <row r="987" spans="3:5" ht="13.2">
      <c r="C987" s="10"/>
      <c r="D987" s="10"/>
      <c r="E987" s="10"/>
    </row>
    <row r="988" spans="3:5" ht="13.2">
      <c r="C988" s="10"/>
      <c r="D988" s="10"/>
      <c r="E988" s="10"/>
    </row>
    <row r="989" spans="3:5" ht="13.2">
      <c r="C989" s="10"/>
      <c r="D989" s="10"/>
      <c r="E989" s="10"/>
    </row>
    <row r="990" spans="3:5" ht="13.2">
      <c r="C990" s="10"/>
      <c r="D990" s="10"/>
      <c r="E990" s="10"/>
    </row>
    <row r="991" spans="3:5" ht="13.2">
      <c r="C991" s="10"/>
      <c r="D991" s="10"/>
      <c r="E991" s="10"/>
    </row>
    <row r="992" spans="3:5" ht="13.2">
      <c r="C992" s="10"/>
      <c r="D992" s="10"/>
      <c r="E992" s="10"/>
    </row>
    <row r="993" spans="3:5" ht="13.2">
      <c r="C993" s="10"/>
      <c r="D993" s="10"/>
      <c r="E993" s="10"/>
    </row>
    <row r="994" spans="3:5" ht="13.2">
      <c r="C994" s="10"/>
      <c r="D994" s="10"/>
      <c r="E994" s="10"/>
    </row>
  </sheetData>
  <mergeCells count="12">
    <mergeCell ref="F1:AE1"/>
    <mergeCell ref="A2:A3"/>
    <mergeCell ref="B2:B3"/>
    <mergeCell ref="G2:K2"/>
    <mergeCell ref="L2:O2"/>
    <mergeCell ref="P2:S2"/>
    <mergeCell ref="T2:W2"/>
    <mergeCell ref="X2:AB2"/>
    <mergeCell ref="AC2:AF2"/>
    <mergeCell ref="AG2:AG3"/>
    <mergeCell ref="AH2:AH3"/>
    <mergeCell ref="AI2:AI3"/>
  </mergeCells>
  <dataValidations count="1">
    <dataValidation type="list" allowBlank="1" showErrorMessage="1" sqref="F4:AF130 F131:K131 M131:AF131 F132:AF153 F154:AJ174 F175:AG184" xr:uid="{00000000-0002-0000-0000-000000000000}">
      <formula1>"አለ/ች,ቀሪ,ፍቃድ"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FF"/>
    <outlinePr summaryBelow="0" summaryRight="0"/>
  </sheetPr>
  <dimension ref="A1:AC99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6640625" defaultRowHeight="15.75" customHeight="1"/>
  <cols>
    <col min="2" max="2" width="24.77734375" customWidth="1"/>
    <col min="6" max="6" width="8.6640625" customWidth="1"/>
    <col min="7" max="7" width="9.109375" customWidth="1"/>
    <col min="8" max="8" width="9.77734375" customWidth="1"/>
    <col min="19" max="19" width="26.77734375" customWidth="1"/>
  </cols>
  <sheetData>
    <row r="1" spans="1:29">
      <c r="E1" s="2"/>
      <c r="F1" s="4"/>
      <c r="G1" s="4"/>
      <c r="H1" s="4"/>
      <c r="I1" s="4"/>
      <c r="J1" s="4"/>
      <c r="K1" s="4"/>
    </row>
    <row r="2" spans="1:29" ht="15.75" customHeight="1">
      <c r="A2" s="324" t="s">
        <v>0</v>
      </c>
      <c r="C2" s="5"/>
      <c r="D2" s="6"/>
      <c r="E2" s="8"/>
      <c r="F2" s="322" t="s">
        <v>2</v>
      </c>
      <c r="G2" s="311"/>
      <c r="H2" s="311"/>
      <c r="I2" s="312"/>
      <c r="J2" s="325" t="s">
        <v>6</v>
      </c>
      <c r="K2" s="311"/>
      <c r="L2" s="311"/>
      <c r="M2" s="311"/>
      <c r="N2" s="312"/>
      <c r="O2" s="325" t="s">
        <v>10</v>
      </c>
      <c r="P2" s="311"/>
      <c r="Q2" s="311"/>
      <c r="R2" s="311"/>
      <c r="S2" s="325" t="s">
        <v>12</v>
      </c>
      <c r="T2" s="311"/>
      <c r="U2" s="311"/>
      <c r="V2" s="311"/>
      <c r="W2" s="325" t="s">
        <v>15</v>
      </c>
      <c r="X2" s="311"/>
      <c r="Y2" s="311"/>
      <c r="Z2" s="311"/>
      <c r="AA2" s="14" t="s">
        <v>17</v>
      </c>
      <c r="AB2" s="313" t="s">
        <v>18</v>
      </c>
      <c r="AC2" s="313" t="s">
        <v>19</v>
      </c>
    </row>
    <row r="3" spans="1:29" ht="15.75" customHeight="1">
      <c r="A3" s="314"/>
      <c r="C3" s="18" t="s">
        <v>5</v>
      </c>
      <c r="D3" s="18" t="s">
        <v>7</v>
      </c>
      <c r="E3" s="20" t="s">
        <v>8</v>
      </c>
      <c r="F3" s="21">
        <v>4</v>
      </c>
      <c r="G3" s="21">
        <v>11</v>
      </c>
      <c r="H3" s="21">
        <v>18</v>
      </c>
      <c r="I3" s="21">
        <v>25</v>
      </c>
      <c r="J3" s="21">
        <v>2</v>
      </c>
      <c r="K3" s="21">
        <v>9</v>
      </c>
      <c r="L3" s="24">
        <v>16</v>
      </c>
      <c r="M3" s="24">
        <v>23</v>
      </c>
      <c r="N3" s="24">
        <v>30</v>
      </c>
      <c r="O3" s="24">
        <v>7</v>
      </c>
      <c r="P3" s="24">
        <v>14</v>
      </c>
      <c r="Q3" s="24">
        <v>21</v>
      </c>
      <c r="R3" s="24">
        <v>28</v>
      </c>
      <c r="S3" s="24">
        <v>5</v>
      </c>
      <c r="T3" s="24">
        <v>12</v>
      </c>
      <c r="U3" s="27">
        <v>19</v>
      </c>
      <c r="V3" s="27">
        <v>26</v>
      </c>
      <c r="W3" s="24">
        <v>3</v>
      </c>
      <c r="X3" s="24">
        <v>10</v>
      </c>
      <c r="Y3" s="24">
        <v>17</v>
      </c>
      <c r="Z3" s="21">
        <v>24</v>
      </c>
      <c r="AA3" s="21">
        <v>1</v>
      </c>
      <c r="AB3" s="314"/>
      <c r="AC3" s="314"/>
    </row>
    <row r="4" spans="1:29">
      <c r="A4" s="31" t="s">
        <v>21</v>
      </c>
      <c r="B4" s="35" t="s">
        <v>22</v>
      </c>
      <c r="C4" s="36">
        <v>29</v>
      </c>
      <c r="D4" s="36" t="s">
        <v>23</v>
      </c>
      <c r="E4" s="40">
        <v>942587270</v>
      </c>
      <c r="F4" s="42"/>
      <c r="G4" s="42"/>
      <c r="H4" s="42"/>
      <c r="I4" s="42"/>
      <c r="J4" s="42"/>
      <c r="K4" s="42"/>
      <c r="L4" s="42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6"/>
      <c r="AB4" s="47">
        <f t="shared" ref="AB4:AB7" si="0">COUNTIF(F4:AA4,"አለ/ች")</f>
        <v>0</v>
      </c>
      <c r="AC4" s="48"/>
    </row>
    <row r="5" spans="1:29">
      <c r="A5" s="31" t="s">
        <v>28</v>
      </c>
      <c r="B5" s="35" t="s">
        <v>29</v>
      </c>
      <c r="C5" s="49">
        <v>24</v>
      </c>
      <c r="D5" s="49" t="s">
        <v>23</v>
      </c>
      <c r="E5" s="50">
        <v>980277351</v>
      </c>
      <c r="F5" s="42"/>
      <c r="G5" s="42"/>
      <c r="H5" s="42"/>
      <c r="I5" s="42"/>
      <c r="J5" s="42"/>
      <c r="K5" s="42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6"/>
      <c r="AB5" s="48">
        <f t="shared" si="0"/>
        <v>0</v>
      </c>
      <c r="AC5" s="48"/>
    </row>
    <row r="6" spans="1:29">
      <c r="A6" s="31" t="s">
        <v>30</v>
      </c>
      <c r="B6" s="52" t="s">
        <v>32</v>
      </c>
      <c r="C6" s="49">
        <v>22</v>
      </c>
      <c r="D6" s="49" t="s">
        <v>34</v>
      </c>
      <c r="E6" s="50">
        <v>975184120</v>
      </c>
      <c r="F6" s="42"/>
      <c r="G6" s="42"/>
      <c r="H6" s="42"/>
      <c r="I6" s="42"/>
      <c r="J6" s="42"/>
      <c r="K6" s="42"/>
      <c r="L6" s="42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6"/>
      <c r="AB6" s="48">
        <f t="shared" si="0"/>
        <v>0</v>
      </c>
      <c r="AC6" s="48"/>
    </row>
    <row r="7" spans="1:29">
      <c r="A7" s="31" t="s">
        <v>36</v>
      </c>
      <c r="B7" s="54" t="s">
        <v>37</v>
      </c>
      <c r="C7" s="36">
        <v>22</v>
      </c>
      <c r="D7" s="36" t="s">
        <v>34</v>
      </c>
      <c r="E7" s="40">
        <v>934808278</v>
      </c>
      <c r="F7" s="42"/>
      <c r="G7" s="42"/>
      <c r="H7" s="42"/>
      <c r="I7" s="42"/>
      <c r="J7" s="42"/>
      <c r="K7" s="42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6"/>
      <c r="AB7" s="48">
        <f t="shared" si="0"/>
        <v>0</v>
      </c>
      <c r="AC7" s="48"/>
    </row>
    <row r="8" spans="1:29">
      <c r="A8" s="31" t="s">
        <v>40</v>
      </c>
      <c r="B8" s="52" t="s">
        <v>41</v>
      </c>
      <c r="C8" s="49">
        <v>28</v>
      </c>
      <c r="D8" s="49" t="s">
        <v>23</v>
      </c>
      <c r="E8" s="50">
        <v>911817477</v>
      </c>
      <c r="F8" s="42"/>
      <c r="G8" s="42"/>
      <c r="H8" s="42"/>
      <c r="I8" s="42"/>
      <c r="J8" s="42"/>
      <c r="K8" s="42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6"/>
      <c r="AB8" s="48">
        <f>COUNTIF(F4:AA8,"አለ/ች")</f>
        <v>0</v>
      </c>
      <c r="AC8" s="48"/>
    </row>
    <row r="9" spans="1:29">
      <c r="A9" s="31" t="s">
        <v>44</v>
      </c>
      <c r="B9" s="54" t="s">
        <v>45</v>
      </c>
      <c r="C9" s="36">
        <v>26</v>
      </c>
      <c r="D9" s="36" t="s">
        <v>23</v>
      </c>
      <c r="E9" s="40">
        <v>914908467</v>
      </c>
      <c r="F9" s="42"/>
      <c r="G9" s="42" t="s">
        <v>27</v>
      </c>
      <c r="H9" s="42"/>
      <c r="I9" s="42" t="s">
        <v>27</v>
      </c>
      <c r="J9" s="42" t="s">
        <v>27</v>
      </c>
      <c r="K9" s="42" t="s">
        <v>27</v>
      </c>
      <c r="L9" s="42"/>
      <c r="M9" s="42" t="s">
        <v>27</v>
      </c>
      <c r="N9" s="44"/>
      <c r="O9" s="42" t="s">
        <v>27</v>
      </c>
      <c r="P9" s="42" t="s">
        <v>27</v>
      </c>
      <c r="Q9" s="42" t="s">
        <v>27</v>
      </c>
      <c r="R9" s="42" t="s">
        <v>27</v>
      </c>
      <c r="S9" s="42" t="s">
        <v>27</v>
      </c>
      <c r="T9" s="42" t="s">
        <v>27</v>
      </c>
      <c r="U9" s="44"/>
      <c r="V9" s="42" t="s">
        <v>27</v>
      </c>
      <c r="W9" s="42" t="s">
        <v>27</v>
      </c>
      <c r="X9" s="42" t="s">
        <v>27</v>
      </c>
      <c r="Y9" s="42" t="s">
        <v>27</v>
      </c>
      <c r="Z9" s="44"/>
      <c r="AA9" s="46"/>
      <c r="AB9" s="48">
        <f t="shared" ref="AB9:AB10" si="1">COUNTIF(F9:AA9,"አለ/ች")</f>
        <v>15</v>
      </c>
      <c r="AC9" s="48"/>
    </row>
    <row r="10" spans="1:29">
      <c r="A10" s="31" t="s">
        <v>48</v>
      </c>
      <c r="B10" s="52" t="s">
        <v>49</v>
      </c>
      <c r="C10" s="49">
        <v>26</v>
      </c>
      <c r="D10" s="49" t="s">
        <v>34</v>
      </c>
      <c r="E10" s="50">
        <v>939915837</v>
      </c>
      <c r="F10" s="42" t="s">
        <v>27</v>
      </c>
      <c r="G10" s="42" t="s">
        <v>27</v>
      </c>
      <c r="H10" s="42" t="s">
        <v>27</v>
      </c>
      <c r="I10" s="42" t="s">
        <v>27</v>
      </c>
      <c r="J10" s="42" t="s">
        <v>19</v>
      </c>
      <c r="K10" s="42" t="s">
        <v>27</v>
      </c>
      <c r="L10" s="42" t="s">
        <v>27</v>
      </c>
      <c r="M10" s="44"/>
      <c r="N10" s="42" t="s">
        <v>27</v>
      </c>
      <c r="O10" s="44"/>
      <c r="P10" s="42" t="s">
        <v>27</v>
      </c>
      <c r="Q10" s="44"/>
      <c r="R10" s="42" t="s">
        <v>27</v>
      </c>
      <c r="S10" s="44"/>
      <c r="T10" s="44"/>
      <c r="U10" s="44"/>
      <c r="V10" s="44"/>
      <c r="W10" s="44"/>
      <c r="X10" s="42"/>
      <c r="Y10" s="42"/>
      <c r="Z10" s="42"/>
      <c r="AA10" s="46"/>
      <c r="AB10" s="48">
        <f t="shared" si="1"/>
        <v>9</v>
      </c>
      <c r="AC10" s="48"/>
    </row>
    <row r="11" spans="1:29">
      <c r="A11" s="31" t="s">
        <v>50</v>
      </c>
      <c r="B11" s="54" t="s">
        <v>51</v>
      </c>
      <c r="C11" s="36">
        <v>42</v>
      </c>
      <c r="D11" s="36" t="s">
        <v>34</v>
      </c>
      <c r="E11" s="40">
        <v>911920887</v>
      </c>
      <c r="F11" s="42"/>
      <c r="G11" s="42"/>
      <c r="H11" s="42"/>
      <c r="I11" s="42"/>
      <c r="J11" s="42"/>
      <c r="K11" s="42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6"/>
      <c r="AB11" s="48"/>
      <c r="AC11" s="48"/>
    </row>
    <row r="12" spans="1:29">
      <c r="A12" s="31" t="s">
        <v>54</v>
      </c>
      <c r="B12" s="52" t="s">
        <v>55</v>
      </c>
      <c r="C12" s="49">
        <v>25</v>
      </c>
      <c r="D12" s="49" t="s">
        <v>23</v>
      </c>
      <c r="E12" s="50">
        <v>950479398</v>
      </c>
      <c r="F12" s="42"/>
      <c r="G12" s="42"/>
      <c r="H12" s="42"/>
      <c r="I12" s="42"/>
      <c r="J12" s="42"/>
      <c r="K12" s="42"/>
      <c r="L12" s="42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2"/>
      <c r="X12" s="44"/>
      <c r="Y12" s="44"/>
      <c r="Z12" s="44"/>
      <c r="AA12" s="46"/>
      <c r="AB12" s="48"/>
      <c r="AC12" s="48"/>
    </row>
    <row r="13" spans="1:29">
      <c r="A13" s="31" t="s">
        <v>56</v>
      </c>
      <c r="B13" s="54" t="s">
        <v>57</v>
      </c>
      <c r="C13" s="36">
        <v>54</v>
      </c>
      <c r="D13" s="36" t="s">
        <v>34</v>
      </c>
      <c r="E13" s="40">
        <v>913576921</v>
      </c>
      <c r="F13" s="42"/>
      <c r="G13" s="42"/>
      <c r="H13" s="42"/>
      <c r="I13" s="42"/>
      <c r="J13" s="42"/>
      <c r="K13" s="42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6"/>
      <c r="AB13" s="48"/>
      <c r="AC13" s="48"/>
    </row>
    <row r="14" spans="1:29">
      <c r="A14" s="31" t="s">
        <v>60</v>
      </c>
      <c r="B14" s="52" t="s">
        <v>61</v>
      </c>
      <c r="C14" s="49">
        <v>35</v>
      </c>
      <c r="D14" s="49" t="s">
        <v>34</v>
      </c>
      <c r="E14" s="50">
        <v>977096599</v>
      </c>
      <c r="F14" s="42"/>
      <c r="G14" s="42"/>
      <c r="H14" s="42"/>
      <c r="I14" s="42"/>
      <c r="J14" s="42"/>
      <c r="K14" s="42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6"/>
      <c r="AB14" s="48"/>
      <c r="AC14" s="48"/>
    </row>
    <row r="15" spans="1:29">
      <c r="A15" s="31" t="s">
        <v>62</v>
      </c>
      <c r="B15" s="54" t="s">
        <v>63</v>
      </c>
      <c r="C15" s="36">
        <v>5</v>
      </c>
      <c r="D15" s="36" t="s">
        <v>23</v>
      </c>
      <c r="E15" s="40">
        <v>941989870</v>
      </c>
      <c r="F15" s="42"/>
      <c r="G15" s="42"/>
      <c r="H15" s="42"/>
      <c r="I15" s="42"/>
      <c r="J15" s="42"/>
      <c r="K15" s="42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6"/>
      <c r="AB15" s="48"/>
      <c r="AC15" s="48"/>
    </row>
    <row r="16" spans="1:29">
      <c r="A16" s="31" t="s">
        <v>66</v>
      </c>
      <c r="B16" s="54" t="s">
        <v>67</v>
      </c>
      <c r="C16" s="36">
        <v>18</v>
      </c>
      <c r="D16" s="36" t="s">
        <v>23</v>
      </c>
      <c r="E16" s="40">
        <v>986204381</v>
      </c>
      <c r="F16" s="42"/>
      <c r="G16" s="42"/>
      <c r="H16" s="42"/>
      <c r="I16" s="42"/>
      <c r="J16" s="42"/>
      <c r="K16" s="42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6"/>
      <c r="AB16" s="48"/>
      <c r="AC16" s="48"/>
    </row>
    <row r="17" spans="1:29">
      <c r="A17" s="31" t="s">
        <v>70</v>
      </c>
      <c r="B17" s="54" t="s">
        <v>71</v>
      </c>
      <c r="C17" s="36">
        <v>24</v>
      </c>
      <c r="D17" s="36" t="s">
        <v>34</v>
      </c>
      <c r="E17" s="40">
        <v>965401984</v>
      </c>
      <c r="F17" s="42"/>
      <c r="G17" s="42"/>
      <c r="H17" s="42"/>
      <c r="I17" s="42"/>
      <c r="J17" s="42"/>
      <c r="K17" s="42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6"/>
      <c r="AB17" s="48"/>
      <c r="AC17" s="48"/>
    </row>
    <row r="18" spans="1:29">
      <c r="A18" s="31" t="s">
        <v>72</v>
      </c>
      <c r="B18" s="52" t="s">
        <v>73</v>
      </c>
      <c r="C18" s="49">
        <v>30</v>
      </c>
      <c r="D18" s="49" t="s">
        <v>34</v>
      </c>
      <c r="E18" s="50">
        <v>927690660</v>
      </c>
      <c r="F18" s="42"/>
      <c r="G18" s="42"/>
      <c r="H18" s="42"/>
      <c r="I18" s="42"/>
      <c r="J18" s="42"/>
      <c r="K18" s="42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6"/>
      <c r="AB18" s="48"/>
      <c r="AC18" s="48"/>
    </row>
    <row r="19" spans="1:29">
      <c r="A19" s="31" t="s">
        <v>76</v>
      </c>
      <c r="B19" s="54" t="s">
        <v>77</v>
      </c>
      <c r="C19" s="36">
        <v>36</v>
      </c>
      <c r="D19" s="36" t="s">
        <v>34</v>
      </c>
      <c r="E19" s="40">
        <v>911399021</v>
      </c>
      <c r="F19" s="42"/>
      <c r="G19" s="42"/>
      <c r="H19" s="42"/>
      <c r="I19" s="42"/>
      <c r="J19" s="42"/>
      <c r="K19" s="42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6"/>
      <c r="AB19" s="48"/>
      <c r="AC19" s="48"/>
    </row>
    <row r="20" spans="1:29">
      <c r="A20" s="31" t="s">
        <v>78</v>
      </c>
      <c r="B20" s="52" t="s">
        <v>79</v>
      </c>
      <c r="C20" s="49">
        <v>19</v>
      </c>
      <c r="D20" s="49" t="s">
        <v>34</v>
      </c>
      <c r="E20" s="50">
        <v>949452514</v>
      </c>
      <c r="F20" s="42"/>
      <c r="G20" s="42"/>
      <c r="H20" s="42"/>
      <c r="I20" s="42"/>
      <c r="J20" s="42"/>
      <c r="K20" s="42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6"/>
      <c r="AB20" s="48"/>
      <c r="AC20" s="48"/>
    </row>
    <row r="21" spans="1:29">
      <c r="A21" s="31" t="s">
        <v>82</v>
      </c>
      <c r="B21" s="54" t="s">
        <v>83</v>
      </c>
      <c r="C21" s="36">
        <v>25</v>
      </c>
      <c r="D21" s="36" t="s">
        <v>34</v>
      </c>
      <c r="E21" s="40">
        <v>951088921</v>
      </c>
      <c r="F21" s="42"/>
      <c r="G21" s="42"/>
      <c r="H21" s="42"/>
      <c r="I21" s="42"/>
      <c r="J21" s="42"/>
      <c r="K21" s="42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6"/>
      <c r="AB21" s="48"/>
      <c r="AC21" s="48"/>
    </row>
    <row r="22" spans="1:29">
      <c r="A22" s="31" t="s">
        <v>85</v>
      </c>
      <c r="B22" s="52" t="s">
        <v>87</v>
      </c>
      <c r="C22" s="49">
        <v>20</v>
      </c>
      <c r="D22" s="49" t="s">
        <v>34</v>
      </c>
      <c r="E22" s="50">
        <v>94031387</v>
      </c>
      <c r="F22" s="42"/>
      <c r="G22" s="42"/>
      <c r="H22" s="42"/>
      <c r="I22" s="42"/>
      <c r="J22" s="42"/>
      <c r="K22" s="42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6"/>
      <c r="AB22" s="48"/>
      <c r="AC22" s="48"/>
    </row>
    <row r="23" spans="1:29">
      <c r="A23" s="31" t="s">
        <v>88</v>
      </c>
      <c r="B23" s="52" t="s">
        <v>89</v>
      </c>
      <c r="C23" s="49">
        <v>20</v>
      </c>
      <c r="D23" s="49" t="s">
        <v>34</v>
      </c>
      <c r="E23" s="50">
        <v>901024888</v>
      </c>
      <c r="F23" s="42"/>
      <c r="G23" s="42"/>
      <c r="H23" s="42"/>
      <c r="I23" s="42"/>
      <c r="J23" s="42"/>
      <c r="K23" s="42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6"/>
      <c r="AB23" s="48"/>
      <c r="AC23" s="48"/>
    </row>
    <row r="24" spans="1:29">
      <c r="A24" s="31" t="s">
        <v>92</v>
      </c>
      <c r="B24" s="52" t="s">
        <v>93</v>
      </c>
      <c r="C24" s="49">
        <v>33</v>
      </c>
      <c r="D24" s="49" t="s">
        <v>23</v>
      </c>
      <c r="E24" s="50">
        <v>985031306</v>
      </c>
      <c r="F24" s="42"/>
      <c r="G24" s="42"/>
      <c r="H24" s="42"/>
      <c r="I24" s="42"/>
      <c r="J24" s="42"/>
      <c r="K24" s="42"/>
      <c r="L24" s="42"/>
      <c r="M24" s="44"/>
      <c r="N24" s="44"/>
      <c r="O24" s="44"/>
      <c r="P24" s="44"/>
      <c r="Q24" s="44"/>
      <c r="R24" s="42" t="s">
        <v>27</v>
      </c>
      <c r="S24" s="44"/>
      <c r="T24" s="44"/>
      <c r="U24" s="44"/>
      <c r="V24" s="44"/>
      <c r="W24" s="44"/>
      <c r="X24" s="44"/>
      <c r="Y24" s="44"/>
      <c r="Z24" s="44"/>
      <c r="AA24" s="46"/>
      <c r="AB24" s="48"/>
      <c r="AC24" s="48"/>
    </row>
    <row r="25" spans="1:29">
      <c r="A25" s="31" t="s">
        <v>94</v>
      </c>
      <c r="B25" s="52" t="s">
        <v>95</v>
      </c>
      <c r="C25" s="49">
        <v>21</v>
      </c>
      <c r="D25" s="49" t="s">
        <v>34</v>
      </c>
      <c r="E25" s="50">
        <v>988149779</v>
      </c>
      <c r="F25" s="42"/>
      <c r="G25" s="42"/>
      <c r="H25" s="42"/>
      <c r="I25" s="42"/>
      <c r="J25" s="42"/>
      <c r="K25" s="42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6"/>
      <c r="AB25" s="48"/>
      <c r="AC25" s="48"/>
    </row>
    <row r="26" spans="1:29">
      <c r="A26" s="31" t="s">
        <v>96</v>
      </c>
      <c r="B26" s="52" t="s">
        <v>97</v>
      </c>
      <c r="C26" s="49">
        <v>26</v>
      </c>
      <c r="D26" s="49" t="s">
        <v>34</v>
      </c>
      <c r="E26" s="50">
        <v>932313764</v>
      </c>
      <c r="F26" s="42"/>
      <c r="G26" s="42"/>
      <c r="H26" s="42"/>
      <c r="I26" s="42"/>
      <c r="J26" s="42"/>
      <c r="K26" s="42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6"/>
      <c r="AB26" s="48"/>
      <c r="AC26" s="48"/>
    </row>
    <row r="27" spans="1:29">
      <c r="A27" s="31" t="s">
        <v>100</v>
      </c>
      <c r="B27" s="52" t="s">
        <v>101</v>
      </c>
      <c r="C27" s="49">
        <v>26</v>
      </c>
      <c r="D27" s="49" t="s">
        <v>34</v>
      </c>
      <c r="E27" s="50">
        <v>924590992</v>
      </c>
      <c r="F27" s="42"/>
      <c r="G27" s="42"/>
      <c r="H27" s="42"/>
      <c r="I27" s="42"/>
      <c r="J27" s="42"/>
      <c r="K27" s="42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6"/>
      <c r="AB27" s="48"/>
      <c r="AC27" s="48"/>
    </row>
    <row r="28" spans="1:29">
      <c r="A28" s="31" t="s">
        <v>102</v>
      </c>
      <c r="B28" s="54" t="s">
        <v>103</v>
      </c>
      <c r="C28" s="36">
        <v>33</v>
      </c>
      <c r="D28" s="36" t="s">
        <v>34</v>
      </c>
      <c r="E28" s="40">
        <v>920955446</v>
      </c>
      <c r="F28" s="42"/>
      <c r="G28" s="42"/>
      <c r="H28" s="42"/>
      <c r="I28" s="42"/>
      <c r="J28" s="42"/>
      <c r="K28" s="42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6"/>
      <c r="AB28" s="48"/>
      <c r="AC28" s="48"/>
    </row>
    <row r="29" spans="1:29">
      <c r="A29" s="31" t="s">
        <v>106</v>
      </c>
      <c r="B29" s="52" t="s">
        <v>107</v>
      </c>
      <c r="C29" s="49">
        <v>25</v>
      </c>
      <c r="D29" s="49" t="s">
        <v>34</v>
      </c>
      <c r="E29" s="50">
        <v>941454064</v>
      </c>
      <c r="F29" s="42"/>
      <c r="G29" s="42"/>
      <c r="H29" s="42"/>
      <c r="I29" s="42"/>
      <c r="J29" s="42"/>
      <c r="K29" s="42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6"/>
      <c r="AB29" s="48"/>
      <c r="AC29" s="48"/>
    </row>
    <row r="30" spans="1:29">
      <c r="A30" s="31" t="s">
        <v>110</v>
      </c>
      <c r="B30" s="54" t="s">
        <v>111</v>
      </c>
      <c r="C30" s="36">
        <v>26</v>
      </c>
      <c r="D30" s="36" t="s">
        <v>34</v>
      </c>
      <c r="E30" s="40">
        <v>953465341</v>
      </c>
      <c r="F30" s="42"/>
      <c r="G30" s="42" t="s">
        <v>19</v>
      </c>
      <c r="H30" s="42"/>
      <c r="I30" s="42"/>
      <c r="J30" s="42"/>
      <c r="K30" s="42"/>
      <c r="L30" s="42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6"/>
      <c r="AB30" s="48"/>
      <c r="AC30" s="48"/>
    </row>
    <row r="31" spans="1:29">
      <c r="A31" s="31" t="s">
        <v>115</v>
      </c>
      <c r="B31" s="52" t="s">
        <v>116</v>
      </c>
      <c r="C31" s="49">
        <v>23</v>
      </c>
      <c r="D31" s="49" t="s">
        <v>34</v>
      </c>
      <c r="E31" s="50">
        <v>934237757</v>
      </c>
      <c r="F31" s="42"/>
      <c r="G31" s="42" t="s">
        <v>19</v>
      </c>
      <c r="H31" s="42"/>
      <c r="I31" s="42"/>
      <c r="J31" s="42"/>
      <c r="K31" s="42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6"/>
      <c r="AB31" s="48"/>
      <c r="AC31" s="48"/>
    </row>
    <row r="32" spans="1:29">
      <c r="A32" s="31" t="s">
        <v>117</v>
      </c>
      <c r="B32" s="52" t="s">
        <v>118</v>
      </c>
      <c r="C32" s="49">
        <v>24</v>
      </c>
      <c r="D32" s="49" t="s">
        <v>34</v>
      </c>
      <c r="E32" s="50">
        <v>947974914</v>
      </c>
      <c r="F32" s="42"/>
      <c r="G32" s="42"/>
      <c r="H32" s="42"/>
      <c r="I32" s="42"/>
      <c r="J32" s="42"/>
      <c r="K32" s="42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6"/>
      <c r="AB32" s="48"/>
      <c r="AC32" s="48"/>
    </row>
    <row r="33" spans="1:29">
      <c r="A33" s="31" t="s">
        <v>121</v>
      </c>
      <c r="B33" s="54" t="s">
        <v>122</v>
      </c>
      <c r="C33" s="36">
        <v>26</v>
      </c>
      <c r="D33" s="36" t="s">
        <v>23</v>
      </c>
      <c r="E33" s="40">
        <v>931292914</v>
      </c>
      <c r="F33" s="42"/>
      <c r="G33" s="42"/>
      <c r="H33" s="42"/>
      <c r="I33" s="42"/>
      <c r="J33" s="42"/>
      <c r="K33" s="42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6"/>
      <c r="AB33" s="48"/>
      <c r="AC33" s="48"/>
    </row>
    <row r="34" spans="1:29" ht="13.8">
      <c r="A34" s="31" t="s">
        <v>123</v>
      </c>
      <c r="B34" s="54" t="s">
        <v>124</v>
      </c>
      <c r="C34" s="36">
        <v>22</v>
      </c>
      <c r="D34" s="36" t="s">
        <v>23</v>
      </c>
      <c r="E34" s="40">
        <v>940392480</v>
      </c>
      <c r="F34" s="42"/>
      <c r="G34" s="42" t="s">
        <v>27</v>
      </c>
      <c r="H34" s="42"/>
      <c r="I34" s="42"/>
      <c r="J34" s="42"/>
      <c r="K34" s="42"/>
      <c r="L34" s="42" t="s">
        <v>27</v>
      </c>
      <c r="M34" s="42" t="s">
        <v>27</v>
      </c>
      <c r="N34" s="42" t="s">
        <v>27</v>
      </c>
      <c r="O34" s="42" t="s">
        <v>27</v>
      </c>
      <c r="P34" s="42" t="s">
        <v>112</v>
      </c>
      <c r="Q34" s="44"/>
      <c r="R34" s="42" t="s">
        <v>27</v>
      </c>
      <c r="S34" s="44"/>
      <c r="T34" s="42" t="s">
        <v>27</v>
      </c>
      <c r="U34" s="44"/>
      <c r="V34" s="44"/>
      <c r="W34" s="42"/>
      <c r="X34" s="44"/>
      <c r="Y34" s="44"/>
      <c r="Z34" s="44"/>
      <c r="AA34" s="46"/>
      <c r="AB34" s="48"/>
      <c r="AC34" s="48"/>
    </row>
    <row r="35" spans="1:29" ht="13.8">
      <c r="A35" s="31" t="s">
        <v>127</v>
      </c>
      <c r="B35" s="54" t="s">
        <v>128</v>
      </c>
      <c r="C35" s="36">
        <v>21</v>
      </c>
      <c r="D35" s="36" t="s">
        <v>34</v>
      </c>
      <c r="E35" s="40">
        <v>938310626</v>
      </c>
      <c r="F35" s="42"/>
      <c r="G35" s="42"/>
      <c r="H35" s="42"/>
      <c r="I35" s="42"/>
      <c r="J35" s="42"/>
      <c r="K35" s="42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6"/>
      <c r="AB35" s="48"/>
      <c r="AC35" s="48"/>
    </row>
    <row r="36" spans="1:29" ht="13.8">
      <c r="A36" s="31" t="s">
        <v>131</v>
      </c>
      <c r="B36" s="52" t="s">
        <v>132</v>
      </c>
      <c r="C36" s="49">
        <v>26</v>
      </c>
      <c r="D36" s="49" t="s">
        <v>34</v>
      </c>
      <c r="E36" s="50">
        <v>967367457</v>
      </c>
      <c r="F36" s="42"/>
      <c r="G36" s="42" t="s">
        <v>27</v>
      </c>
      <c r="H36" s="42" t="s">
        <v>27</v>
      </c>
      <c r="I36" s="42" t="s">
        <v>27</v>
      </c>
      <c r="J36" s="42" t="s">
        <v>27</v>
      </c>
      <c r="K36" s="42"/>
      <c r="L36" s="42"/>
      <c r="M36" s="42" t="s">
        <v>27</v>
      </c>
      <c r="N36" s="44"/>
      <c r="O36" s="42" t="s">
        <v>27</v>
      </c>
      <c r="P36" s="42" t="s">
        <v>27</v>
      </c>
      <c r="Q36" s="44"/>
      <c r="R36" s="42" t="s">
        <v>27</v>
      </c>
      <c r="S36" s="44"/>
      <c r="T36" s="44"/>
      <c r="U36" s="44"/>
      <c r="V36" s="44"/>
      <c r="W36" s="44"/>
      <c r="X36" s="42"/>
      <c r="Y36" s="42"/>
      <c r="Z36" s="42"/>
      <c r="AA36" s="46"/>
      <c r="AB36" s="48"/>
      <c r="AC36" s="48"/>
    </row>
    <row r="37" spans="1:29" ht="13.8">
      <c r="A37" s="31" t="s">
        <v>133</v>
      </c>
      <c r="B37" s="54" t="s">
        <v>134</v>
      </c>
      <c r="C37" s="36">
        <v>32</v>
      </c>
      <c r="D37" s="36" t="s">
        <v>23</v>
      </c>
      <c r="E37" s="40">
        <v>940392157</v>
      </c>
      <c r="F37" s="42"/>
      <c r="G37" s="42"/>
      <c r="H37" s="42"/>
      <c r="I37" s="42" t="s">
        <v>27</v>
      </c>
      <c r="J37" s="42" t="s">
        <v>112</v>
      </c>
      <c r="K37" s="42" t="s">
        <v>27</v>
      </c>
      <c r="L37" s="42"/>
      <c r="M37" s="42" t="s">
        <v>27</v>
      </c>
      <c r="N37" s="42"/>
      <c r="O37" s="42"/>
      <c r="P37" s="42" t="s">
        <v>27</v>
      </c>
      <c r="Q37" s="42" t="s">
        <v>27</v>
      </c>
      <c r="R37" s="42" t="s">
        <v>27</v>
      </c>
      <c r="S37" s="42" t="s">
        <v>27</v>
      </c>
      <c r="T37" s="42" t="s">
        <v>27</v>
      </c>
      <c r="U37" s="44"/>
      <c r="V37" s="44"/>
      <c r="W37" s="42"/>
      <c r="X37" s="44"/>
      <c r="Y37" s="44"/>
      <c r="Z37" s="44"/>
      <c r="AA37" s="46"/>
      <c r="AB37" s="48"/>
      <c r="AC37" s="48"/>
    </row>
    <row r="38" spans="1:29" ht="13.8">
      <c r="A38" s="31" t="s">
        <v>137</v>
      </c>
      <c r="B38" s="54" t="s">
        <v>138</v>
      </c>
      <c r="C38" s="36">
        <v>26</v>
      </c>
      <c r="D38" s="36" t="s">
        <v>34</v>
      </c>
      <c r="E38" s="40">
        <v>995874407</v>
      </c>
      <c r="F38" s="42"/>
      <c r="G38" s="42"/>
      <c r="H38" s="42"/>
      <c r="I38" s="42"/>
      <c r="J38" s="42"/>
      <c r="K38" s="42"/>
      <c r="L38" s="44"/>
      <c r="M38" s="44"/>
      <c r="N38" s="44"/>
      <c r="O38" s="44"/>
      <c r="P38" s="42" t="s">
        <v>27</v>
      </c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6"/>
      <c r="AB38" s="48"/>
      <c r="AC38" s="48"/>
    </row>
    <row r="39" spans="1:29" ht="13.8">
      <c r="A39" s="31" t="s">
        <v>141</v>
      </c>
      <c r="B39" s="52" t="s">
        <v>142</v>
      </c>
      <c r="C39" s="49">
        <v>29</v>
      </c>
      <c r="D39" s="49" t="s">
        <v>34</v>
      </c>
      <c r="E39" s="50">
        <v>922869827</v>
      </c>
      <c r="F39" s="42"/>
      <c r="G39" s="42"/>
      <c r="H39" s="42"/>
      <c r="I39" s="42"/>
      <c r="J39" s="42"/>
      <c r="K39" s="42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6"/>
      <c r="AB39" s="48"/>
      <c r="AC39" s="48"/>
    </row>
    <row r="40" spans="1:29" ht="13.8">
      <c r="A40" s="31" t="s">
        <v>145</v>
      </c>
      <c r="B40" s="52" t="s">
        <v>146</v>
      </c>
      <c r="C40" s="49">
        <v>28</v>
      </c>
      <c r="D40" s="49" t="s">
        <v>34</v>
      </c>
      <c r="E40" s="50">
        <v>910431840</v>
      </c>
      <c r="F40" s="42"/>
      <c r="G40" s="42"/>
      <c r="H40" s="42"/>
      <c r="I40" s="42"/>
      <c r="J40" s="42"/>
      <c r="K40" s="42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6"/>
      <c r="AB40" s="48"/>
      <c r="AC40" s="48"/>
    </row>
    <row r="41" spans="1:29" ht="13.8">
      <c r="A41" s="31" t="s">
        <v>147</v>
      </c>
      <c r="B41" s="54" t="s">
        <v>148</v>
      </c>
      <c r="C41" s="36">
        <v>19</v>
      </c>
      <c r="D41" s="36" t="s">
        <v>34</v>
      </c>
      <c r="E41" s="40">
        <v>983370569</v>
      </c>
      <c r="F41" s="42"/>
      <c r="G41" s="42"/>
      <c r="H41" s="42"/>
      <c r="I41" s="42"/>
      <c r="J41" s="42"/>
      <c r="K41" s="42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6"/>
      <c r="AB41" s="48"/>
      <c r="AC41" s="48"/>
    </row>
    <row r="42" spans="1:29" ht="13.8">
      <c r="A42" s="31" t="s">
        <v>151</v>
      </c>
      <c r="B42" s="54" t="s">
        <v>152</v>
      </c>
      <c r="C42" s="36">
        <v>26</v>
      </c>
      <c r="D42" s="36" t="s">
        <v>23</v>
      </c>
      <c r="E42" s="40">
        <v>955992240</v>
      </c>
      <c r="F42" s="42"/>
      <c r="G42" s="42"/>
      <c r="H42" s="42"/>
      <c r="I42" s="42"/>
      <c r="J42" s="42"/>
      <c r="K42" s="42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6"/>
      <c r="AB42" s="48"/>
      <c r="AC42" s="48"/>
    </row>
    <row r="43" spans="1:29" ht="13.8">
      <c r="A43" s="31" t="s">
        <v>155</v>
      </c>
      <c r="B43" s="52" t="s">
        <v>156</v>
      </c>
      <c r="C43" s="49">
        <v>34</v>
      </c>
      <c r="D43" s="49" t="s">
        <v>34</v>
      </c>
      <c r="E43" s="50">
        <v>967549699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4"/>
      <c r="V43" s="44"/>
      <c r="W43" s="44"/>
      <c r="X43" s="42"/>
      <c r="Y43" s="42"/>
      <c r="Z43" s="42"/>
      <c r="AA43" s="46"/>
      <c r="AB43" s="48"/>
      <c r="AC43" s="48"/>
    </row>
    <row r="44" spans="1:29" ht="13.8">
      <c r="A44" s="31" t="s">
        <v>157</v>
      </c>
      <c r="B44" s="54" t="s">
        <v>158</v>
      </c>
      <c r="C44" s="36">
        <v>30</v>
      </c>
      <c r="D44" s="36" t="s">
        <v>34</v>
      </c>
      <c r="E44" s="40">
        <v>989973556</v>
      </c>
      <c r="F44" s="42"/>
      <c r="G44" s="42"/>
      <c r="H44" s="42"/>
      <c r="I44" s="42"/>
      <c r="J44" s="42"/>
      <c r="K44" s="42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6"/>
      <c r="AB44" s="48"/>
      <c r="AC44" s="48"/>
    </row>
    <row r="45" spans="1:29" ht="13.8">
      <c r="A45" s="31" t="s">
        <v>161</v>
      </c>
      <c r="B45" s="52" t="s">
        <v>162</v>
      </c>
      <c r="C45" s="49">
        <v>25</v>
      </c>
      <c r="D45" s="49" t="s">
        <v>23</v>
      </c>
      <c r="E45" s="50">
        <v>940200314</v>
      </c>
      <c r="F45" s="42" t="s">
        <v>27</v>
      </c>
      <c r="G45" s="42" t="s">
        <v>27</v>
      </c>
      <c r="H45" s="42" t="s">
        <v>27</v>
      </c>
      <c r="I45" s="42" t="s">
        <v>27</v>
      </c>
      <c r="J45" s="42" t="s">
        <v>27</v>
      </c>
      <c r="K45" s="42" t="s">
        <v>27</v>
      </c>
      <c r="L45" s="42" t="s">
        <v>27</v>
      </c>
      <c r="M45" s="42"/>
      <c r="N45" s="42"/>
      <c r="O45" s="42" t="s">
        <v>27</v>
      </c>
      <c r="P45" s="42" t="s">
        <v>27</v>
      </c>
      <c r="Q45" s="42" t="s">
        <v>27</v>
      </c>
      <c r="R45" s="42" t="s">
        <v>27</v>
      </c>
      <c r="S45" s="42"/>
      <c r="T45" s="42"/>
      <c r="U45" s="44"/>
      <c r="V45" s="44"/>
      <c r="W45" s="42"/>
      <c r="X45" s="44"/>
      <c r="Y45" s="44"/>
      <c r="Z45" s="44"/>
      <c r="AA45" s="46"/>
      <c r="AB45" s="48"/>
      <c r="AC45" s="48"/>
    </row>
    <row r="46" spans="1:29" ht="13.8">
      <c r="A46" s="31" t="s">
        <v>163</v>
      </c>
      <c r="B46" s="54" t="s">
        <v>164</v>
      </c>
      <c r="C46" s="36">
        <v>26</v>
      </c>
      <c r="D46" s="36" t="s">
        <v>23</v>
      </c>
      <c r="E46" s="40">
        <v>965926849</v>
      </c>
      <c r="F46" s="42"/>
      <c r="G46" s="42"/>
      <c r="H46" s="42"/>
      <c r="I46" s="42"/>
      <c r="J46" s="42"/>
      <c r="K46" s="42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6"/>
      <c r="AB46" s="48"/>
      <c r="AC46" s="48"/>
    </row>
    <row r="47" spans="1:29" ht="13.8">
      <c r="A47" s="31" t="s">
        <v>167</v>
      </c>
      <c r="B47" s="52" t="s">
        <v>168</v>
      </c>
      <c r="C47" s="49">
        <v>25</v>
      </c>
      <c r="D47" s="49" t="s">
        <v>23</v>
      </c>
      <c r="E47" s="50">
        <v>955414484</v>
      </c>
      <c r="F47" s="42"/>
      <c r="G47" s="42"/>
      <c r="H47" s="42"/>
      <c r="I47" s="42"/>
      <c r="J47" s="42"/>
      <c r="K47" s="42"/>
      <c r="L47" s="44"/>
      <c r="M47" s="44"/>
      <c r="N47" s="44"/>
      <c r="O47" s="44"/>
      <c r="P47" s="44"/>
      <c r="Q47" s="44"/>
      <c r="R47" s="42" t="s">
        <v>27</v>
      </c>
      <c r="S47" s="44"/>
      <c r="T47" s="44"/>
      <c r="U47" s="44"/>
      <c r="V47" s="44"/>
      <c r="W47" s="44"/>
      <c r="X47" s="44"/>
      <c r="Y47" s="44"/>
      <c r="Z47" s="44"/>
      <c r="AA47" s="46"/>
      <c r="AB47" s="48"/>
      <c r="AC47" s="48"/>
    </row>
    <row r="48" spans="1:29" ht="13.8">
      <c r="A48" s="31" t="s">
        <v>169</v>
      </c>
      <c r="B48" s="54" t="s">
        <v>170</v>
      </c>
      <c r="C48" s="36">
        <v>27</v>
      </c>
      <c r="D48" s="36" t="s">
        <v>23</v>
      </c>
      <c r="E48" s="40">
        <v>927614806</v>
      </c>
      <c r="F48" s="42"/>
      <c r="G48" s="42"/>
      <c r="H48" s="42"/>
      <c r="I48" s="42"/>
      <c r="J48" s="42"/>
      <c r="K48" s="42"/>
      <c r="L48" s="44"/>
      <c r="M48" s="42" t="s">
        <v>27</v>
      </c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6"/>
      <c r="AB48" s="48"/>
      <c r="AC48" s="48"/>
    </row>
    <row r="49" spans="1:29" ht="13.8">
      <c r="A49" s="31" t="s">
        <v>173</v>
      </c>
      <c r="B49" s="52" t="s">
        <v>174</v>
      </c>
      <c r="C49" s="49">
        <v>24</v>
      </c>
      <c r="D49" s="49" t="s">
        <v>34</v>
      </c>
      <c r="E49" s="50">
        <v>924302598</v>
      </c>
      <c r="F49" s="42"/>
      <c r="G49" s="42"/>
      <c r="H49" s="42"/>
      <c r="I49" s="42"/>
      <c r="J49" s="42"/>
      <c r="K49" s="42"/>
      <c r="L49" s="42"/>
      <c r="M49" s="44"/>
      <c r="N49" s="44"/>
      <c r="O49" s="44"/>
      <c r="P49" s="42" t="s">
        <v>27</v>
      </c>
      <c r="Q49" s="42" t="s">
        <v>27</v>
      </c>
      <c r="R49" s="42" t="s">
        <v>27</v>
      </c>
      <c r="S49" s="44"/>
      <c r="T49" s="44"/>
      <c r="U49" s="44"/>
      <c r="V49" s="44"/>
      <c r="W49" s="42" t="s">
        <v>27</v>
      </c>
      <c r="X49" s="42" t="s">
        <v>27</v>
      </c>
      <c r="Y49" s="42" t="s">
        <v>27</v>
      </c>
      <c r="Z49" s="44"/>
      <c r="AA49" s="46"/>
      <c r="AB49" s="48"/>
      <c r="AC49" s="48"/>
    </row>
    <row r="50" spans="1:29" ht="13.8">
      <c r="A50" s="31" t="s">
        <v>175</v>
      </c>
      <c r="B50" s="52" t="s">
        <v>176</v>
      </c>
      <c r="C50" s="49">
        <v>18</v>
      </c>
      <c r="D50" s="49" t="s">
        <v>23</v>
      </c>
      <c r="E50" s="50">
        <v>972267930</v>
      </c>
      <c r="F50" s="42"/>
      <c r="G50" s="42"/>
      <c r="H50" s="42"/>
      <c r="I50" s="42"/>
      <c r="J50" s="42"/>
      <c r="K50" s="42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6"/>
      <c r="AB50" s="48"/>
      <c r="AC50" s="48"/>
    </row>
    <row r="51" spans="1:29" ht="13.8">
      <c r="A51" s="31" t="s">
        <v>179</v>
      </c>
      <c r="B51" s="54" t="s">
        <v>180</v>
      </c>
      <c r="C51" s="36">
        <v>26</v>
      </c>
      <c r="D51" s="36" t="s">
        <v>23</v>
      </c>
      <c r="E51" s="40">
        <v>922568678</v>
      </c>
      <c r="F51" s="42"/>
      <c r="G51" s="42"/>
      <c r="H51" s="42"/>
      <c r="I51" s="42"/>
      <c r="J51" s="42"/>
      <c r="K51" s="42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6"/>
      <c r="AB51" s="48"/>
      <c r="AC51" s="48"/>
    </row>
    <row r="52" spans="1:29" ht="13.8">
      <c r="A52" s="31" t="s">
        <v>181</v>
      </c>
      <c r="B52" s="52" t="s">
        <v>182</v>
      </c>
      <c r="C52" s="49">
        <v>39</v>
      </c>
      <c r="D52" s="49" t="s">
        <v>23</v>
      </c>
      <c r="E52" s="50">
        <v>910907687</v>
      </c>
      <c r="F52" s="42"/>
      <c r="G52" s="42"/>
      <c r="H52" s="42"/>
      <c r="I52" s="42"/>
      <c r="J52" s="42"/>
      <c r="K52" s="42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6"/>
      <c r="AB52" s="48"/>
      <c r="AC52" s="48"/>
    </row>
    <row r="53" spans="1:29" ht="13.8">
      <c r="A53" s="31" t="s">
        <v>185</v>
      </c>
      <c r="B53" s="54" t="s">
        <v>186</v>
      </c>
      <c r="C53" s="36">
        <v>39</v>
      </c>
      <c r="D53" s="36" t="s">
        <v>23</v>
      </c>
      <c r="E53" s="40">
        <v>913487374</v>
      </c>
      <c r="F53" s="42"/>
      <c r="G53" s="42"/>
      <c r="H53" s="42"/>
      <c r="I53" s="42"/>
      <c r="J53" s="42"/>
      <c r="K53" s="42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6"/>
      <c r="AB53" s="48"/>
      <c r="AC53" s="48"/>
    </row>
    <row r="54" spans="1:29" ht="13.8">
      <c r="A54" s="31" t="s">
        <v>187</v>
      </c>
      <c r="B54" s="52" t="s">
        <v>188</v>
      </c>
      <c r="C54" s="49">
        <v>28</v>
      </c>
      <c r="D54" s="49" t="s">
        <v>23</v>
      </c>
      <c r="E54" s="50">
        <v>945133013</v>
      </c>
      <c r="F54" s="42"/>
      <c r="G54" s="42"/>
      <c r="H54" s="42"/>
      <c r="I54" s="42"/>
      <c r="J54" s="42"/>
      <c r="K54" s="42"/>
      <c r="L54" s="42"/>
      <c r="M54" s="44"/>
      <c r="N54" s="42"/>
      <c r="O54" s="42" t="s">
        <v>27</v>
      </c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6"/>
      <c r="AB54" s="48"/>
      <c r="AC54" s="48"/>
    </row>
    <row r="55" spans="1:29" ht="13.8">
      <c r="A55" s="31" t="s">
        <v>191</v>
      </c>
      <c r="B55" s="54" t="s">
        <v>192</v>
      </c>
      <c r="C55" s="36">
        <v>24</v>
      </c>
      <c r="D55" s="36" t="s">
        <v>34</v>
      </c>
      <c r="E55" s="40">
        <v>929140348</v>
      </c>
      <c r="F55" s="42"/>
      <c r="G55" s="42"/>
      <c r="H55" s="42"/>
      <c r="I55" s="42"/>
      <c r="J55" s="42"/>
      <c r="K55" s="42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6"/>
      <c r="AB55" s="48"/>
      <c r="AC55" s="48"/>
    </row>
    <row r="56" spans="1:29" ht="13.8">
      <c r="A56" s="31" t="s">
        <v>193</v>
      </c>
      <c r="B56" s="54" t="s">
        <v>194</v>
      </c>
      <c r="C56" s="36">
        <v>33</v>
      </c>
      <c r="D56" s="36" t="s">
        <v>23</v>
      </c>
      <c r="E56" s="40">
        <v>922749231</v>
      </c>
      <c r="F56" s="42"/>
      <c r="G56" s="42"/>
      <c r="H56" s="42"/>
      <c r="I56" s="42" t="s">
        <v>27</v>
      </c>
      <c r="J56" s="42" t="s">
        <v>19</v>
      </c>
      <c r="K56" s="42" t="s">
        <v>27</v>
      </c>
      <c r="L56" s="42"/>
      <c r="M56" s="42" t="s">
        <v>27</v>
      </c>
      <c r="N56" s="42" t="s">
        <v>27</v>
      </c>
      <c r="O56" s="42" t="s">
        <v>27</v>
      </c>
      <c r="P56" s="42" t="s">
        <v>27</v>
      </c>
      <c r="Q56" s="42" t="s">
        <v>27</v>
      </c>
      <c r="R56" s="42" t="s">
        <v>27</v>
      </c>
      <c r="S56" s="42"/>
      <c r="T56" s="42"/>
      <c r="U56" s="44"/>
      <c r="V56" s="44"/>
      <c r="W56" s="42"/>
      <c r="X56" s="44"/>
      <c r="Y56" s="42"/>
      <c r="Z56" s="44"/>
      <c r="AA56" s="46"/>
      <c r="AB56" s="48"/>
      <c r="AC56" s="48"/>
    </row>
    <row r="57" spans="1:29" ht="13.8">
      <c r="A57" s="31" t="s">
        <v>196</v>
      </c>
      <c r="B57" s="52" t="s">
        <v>197</v>
      </c>
      <c r="C57" s="49">
        <v>27</v>
      </c>
      <c r="D57" s="49" t="s">
        <v>34</v>
      </c>
      <c r="E57" s="50">
        <v>970411323</v>
      </c>
      <c r="F57" s="42"/>
      <c r="G57" s="42"/>
      <c r="H57" s="42"/>
      <c r="I57" s="42"/>
      <c r="J57" s="42"/>
      <c r="K57" s="42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6"/>
      <c r="AB57" s="48"/>
      <c r="AC57" s="48"/>
    </row>
    <row r="58" spans="1:29" ht="13.8">
      <c r="A58" s="31" t="s">
        <v>199</v>
      </c>
      <c r="B58" s="54" t="s">
        <v>200</v>
      </c>
      <c r="C58" s="36">
        <v>26</v>
      </c>
      <c r="D58" s="36" t="s">
        <v>34</v>
      </c>
      <c r="E58" s="40">
        <v>935328899</v>
      </c>
      <c r="F58" s="42"/>
      <c r="G58" s="42" t="s">
        <v>27</v>
      </c>
      <c r="H58" s="42"/>
      <c r="I58" s="42"/>
      <c r="J58" s="42"/>
      <c r="K58" s="42"/>
      <c r="L58" s="44"/>
      <c r="M58" s="42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6"/>
      <c r="AB58" s="48"/>
      <c r="AC58" s="48"/>
    </row>
    <row r="59" spans="1:29" ht="13.8">
      <c r="A59" s="31" t="s">
        <v>201</v>
      </c>
      <c r="B59" s="52" t="s">
        <v>202</v>
      </c>
      <c r="C59" s="49">
        <v>26</v>
      </c>
      <c r="D59" s="49" t="s">
        <v>34</v>
      </c>
      <c r="E59" s="50">
        <v>925984069</v>
      </c>
      <c r="F59" s="42"/>
      <c r="G59" s="42"/>
      <c r="H59" s="42"/>
      <c r="I59" s="42"/>
      <c r="J59" s="42"/>
      <c r="K59" s="42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6"/>
      <c r="AB59" s="48"/>
      <c r="AC59" s="48"/>
    </row>
    <row r="60" spans="1:29" ht="13.8">
      <c r="A60" s="31" t="s">
        <v>205</v>
      </c>
      <c r="B60" s="69" t="s">
        <v>206</v>
      </c>
      <c r="C60" s="70">
        <v>24</v>
      </c>
      <c r="D60" s="70" t="s">
        <v>34</v>
      </c>
      <c r="E60" s="71">
        <v>973802438</v>
      </c>
      <c r="F60" s="42"/>
      <c r="G60" s="42"/>
      <c r="H60" s="42"/>
      <c r="I60" s="42"/>
      <c r="J60" s="42"/>
      <c r="K60" s="42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6"/>
      <c r="AB60" s="48"/>
      <c r="AC60" s="48"/>
    </row>
    <row r="61" spans="1:29" ht="13.8">
      <c r="A61" s="31" t="s">
        <v>207</v>
      </c>
      <c r="B61" s="72" t="s">
        <v>208</v>
      </c>
      <c r="C61" s="73">
        <v>26</v>
      </c>
      <c r="D61" s="73" t="s">
        <v>34</v>
      </c>
      <c r="E61" s="74">
        <v>927729417</v>
      </c>
      <c r="F61" s="42"/>
      <c r="G61" s="42" t="s">
        <v>27</v>
      </c>
      <c r="H61" s="42"/>
      <c r="I61" s="42"/>
      <c r="J61" s="42"/>
      <c r="K61" s="42"/>
      <c r="L61" s="44"/>
      <c r="M61" s="42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2"/>
      <c r="Z61" s="44"/>
      <c r="AA61" s="46"/>
      <c r="AB61" s="48"/>
      <c r="AC61" s="48"/>
    </row>
    <row r="62" spans="1:29" ht="13.8">
      <c r="A62" s="31" t="s">
        <v>211</v>
      </c>
      <c r="B62" s="54" t="s">
        <v>212</v>
      </c>
      <c r="C62" s="36">
        <v>24</v>
      </c>
      <c r="D62" s="36" t="s">
        <v>23</v>
      </c>
      <c r="E62" s="40">
        <v>909044950</v>
      </c>
      <c r="F62" s="42"/>
      <c r="G62" s="42"/>
      <c r="H62" s="42"/>
      <c r="I62" s="42"/>
      <c r="J62" s="42"/>
      <c r="K62" s="42"/>
      <c r="L62" s="42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6"/>
      <c r="AB62" s="48"/>
      <c r="AC62" s="48"/>
    </row>
    <row r="63" spans="1:29" ht="13.8">
      <c r="A63" s="31" t="s">
        <v>215</v>
      </c>
      <c r="B63" s="52" t="s">
        <v>216</v>
      </c>
      <c r="C63" s="49">
        <v>30</v>
      </c>
      <c r="D63" s="49" t="s">
        <v>23</v>
      </c>
      <c r="E63" s="50">
        <v>904208923</v>
      </c>
      <c r="F63" s="42"/>
      <c r="G63" s="42"/>
      <c r="H63" s="42"/>
      <c r="I63" s="42"/>
      <c r="J63" s="42"/>
      <c r="K63" s="42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6"/>
      <c r="AB63" s="48"/>
      <c r="AC63" s="48"/>
    </row>
    <row r="64" spans="1:29" ht="13.8">
      <c r="A64" s="31" t="s">
        <v>217</v>
      </c>
      <c r="B64" s="54" t="s">
        <v>218</v>
      </c>
      <c r="C64" s="36">
        <v>24</v>
      </c>
      <c r="D64" s="36" t="s">
        <v>23</v>
      </c>
      <c r="E64" s="40">
        <v>927248518</v>
      </c>
      <c r="F64" s="42"/>
      <c r="G64" s="42"/>
      <c r="H64" s="42"/>
      <c r="I64" s="42"/>
      <c r="J64" s="42"/>
      <c r="K64" s="42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6"/>
      <c r="AB64" s="48"/>
      <c r="AC64" s="48"/>
    </row>
    <row r="65" spans="1:29" ht="13.8">
      <c r="A65" s="31" t="s">
        <v>221</v>
      </c>
      <c r="B65" s="52" t="s">
        <v>222</v>
      </c>
      <c r="C65" s="49">
        <v>19</v>
      </c>
      <c r="D65" s="49" t="s">
        <v>34</v>
      </c>
      <c r="E65" s="50">
        <v>977079580</v>
      </c>
      <c r="F65" s="42"/>
      <c r="G65" s="42"/>
      <c r="H65" s="42"/>
      <c r="I65" s="42"/>
      <c r="J65" s="42"/>
      <c r="K65" s="42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6"/>
      <c r="AB65" s="48"/>
      <c r="AC65" s="48"/>
    </row>
    <row r="66" spans="1:29" ht="13.8">
      <c r="A66" s="31" t="s">
        <v>223</v>
      </c>
      <c r="B66" s="54" t="s">
        <v>224</v>
      </c>
      <c r="C66" s="36">
        <v>28</v>
      </c>
      <c r="D66" s="36" t="s">
        <v>23</v>
      </c>
      <c r="E66" s="40">
        <v>961169412</v>
      </c>
      <c r="F66" s="42"/>
      <c r="G66" s="42" t="s">
        <v>27</v>
      </c>
      <c r="H66" s="42" t="s">
        <v>27</v>
      </c>
      <c r="I66" s="42" t="s">
        <v>27</v>
      </c>
      <c r="J66" s="42" t="s">
        <v>27</v>
      </c>
      <c r="K66" s="42"/>
      <c r="L66" s="42"/>
      <c r="M66" s="42"/>
      <c r="N66" s="44"/>
      <c r="O66" s="44"/>
      <c r="P66" s="42" t="s">
        <v>27</v>
      </c>
      <c r="Q66" s="44"/>
      <c r="R66" s="42" t="s">
        <v>27</v>
      </c>
      <c r="S66" s="44"/>
      <c r="T66" s="44"/>
      <c r="U66" s="44"/>
      <c r="V66" s="44"/>
      <c r="W66" s="44"/>
      <c r="X66" s="44"/>
      <c r="Y66" s="44"/>
      <c r="Z66" s="44"/>
      <c r="AA66" s="46"/>
      <c r="AB66" s="48"/>
      <c r="AC66" s="48"/>
    </row>
    <row r="67" spans="1:29" ht="13.8">
      <c r="A67" s="31" t="s">
        <v>227</v>
      </c>
      <c r="B67" s="54" t="s">
        <v>228</v>
      </c>
      <c r="C67" s="36">
        <v>30</v>
      </c>
      <c r="D67" s="36" t="s">
        <v>23</v>
      </c>
      <c r="E67" s="40">
        <v>943301657</v>
      </c>
      <c r="F67" s="42"/>
      <c r="G67" s="42"/>
      <c r="H67" s="42"/>
      <c r="I67" s="42"/>
      <c r="J67" s="42"/>
      <c r="K67" s="42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6"/>
      <c r="AB67" s="48"/>
      <c r="AC67" s="48"/>
    </row>
    <row r="68" spans="1:29" ht="13.8">
      <c r="A68" s="31" t="s">
        <v>229</v>
      </c>
      <c r="B68" s="52" t="s">
        <v>230</v>
      </c>
      <c r="C68" s="49">
        <v>21</v>
      </c>
      <c r="D68" s="49" t="s">
        <v>34</v>
      </c>
      <c r="E68" s="50">
        <v>970720000</v>
      </c>
      <c r="F68" s="42"/>
      <c r="G68" s="42"/>
      <c r="H68" s="42"/>
      <c r="I68" s="42"/>
      <c r="J68" s="42"/>
      <c r="K68" s="42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6"/>
      <c r="AB68" s="48"/>
      <c r="AC68" s="48"/>
    </row>
    <row r="69" spans="1:29" ht="13.8">
      <c r="A69" s="31" t="s">
        <v>231</v>
      </c>
      <c r="B69" s="54" t="s">
        <v>232</v>
      </c>
      <c r="C69" s="36">
        <v>26</v>
      </c>
      <c r="D69" s="36" t="s">
        <v>34</v>
      </c>
      <c r="E69" s="40">
        <v>936993424</v>
      </c>
      <c r="F69" s="42"/>
      <c r="G69" s="42"/>
      <c r="H69" s="42"/>
      <c r="I69" s="42"/>
      <c r="J69" s="42"/>
      <c r="K69" s="42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6"/>
      <c r="AB69" s="48"/>
      <c r="AC69" s="48"/>
    </row>
    <row r="70" spans="1:29" ht="13.8">
      <c r="A70" s="31" t="s">
        <v>235</v>
      </c>
      <c r="B70" s="54" t="s">
        <v>236</v>
      </c>
      <c r="C70" s="36">
        <v>31</v>
      </c>
      <c r="D70" s="36" t="s">
        <v>23</v>
      </c>
      <c r="E70" s="40">
        <v>923398200</v>
      </c>
      <c r="F70" s="42"/>
      <c r="G70" s="42"/>
      <c r="H70" s="42"/>
      <c r="I70" s="42"/>
      <c r="J70" s="42"/>
      <c r="K70" s="42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6"/>
      <c r="AB70" s="48"/>
      <c r="AC70" s="48"/>
    </row>
    <row r="71" spans="1:29" ht="13.8">
      <c r="A71" s="31" t="s">
        <v>237</v>
      </c>
      <c r="B71" s="76" t="s">
        <v>238</v>
      </c>
      <c r="C71" s="59">
        <v>20</v>
      </c>
      <c r="D71" s="59" t="s">
        <v>23</v>
      </c>
      <c r="E71" s="77">
        <v>998234427</v>
      </c>
      <c r="F71" s="42"/>
      <c r="G71" s="42"/>
      <c r="H71" s="42"/>
      <c r="I71" s="42"/>
      <c r="J71" s="42"/>
      <c r="K71" s="42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6"/>
      <c r="AB71" s="48"/>
      <c r="AC71" s="48"/>
    </row>
    <row r="72" spans="1:29" ht="13.8">
      <c r="A72" s="31" t="s">
        <v>241</v>
      </c>
      <c r="B72" s="72" t="s">
        <v>242</v>
      </c>
      <c r="C72" s="78">
        <v>24</v>
      </c>
      <c r="D72" s="78" t="s">
        <v>35</v>
      </c>
      <c r="E72" s="79">
        <v>937561330</v>
      </c>
      <c r="F72" s="42"/>
      <c r="G72" s="42"/>
      <c r="H72" s="42"/>
      <c r="I72" s="42"/>
      <c r="J72" s="42"/>
      <c r="K72" s="42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6"/>
      <c r="AB72" s="48"/>
      <c r="AC72" s="48"/>
    </row>
    <row r="73" spans="1:29" ht="13.8">
      <c r="A73" s="31" t="s">
        <v>245</v>
      </c>
      <c r="B73" s="76" t="s">
        <v>246</v>
      </c>
      <c r="C73" s="59">
        <v>25</v>
      </c>
      <c r="D73" s="59" t="s">
        <v>26</v>
      </c>
      <c r="E73" s="77">
        <v>966312479</v>
      </c>
      <c r="F73" s="42"/>
      <c r="G73" s="42" t="s">
        <v>27</v>
      </c>
      <c r="H73" s="42" t="s">
        <v>27</v>
      </c>
      <c r="I73" s="42"/>
      <c r="J73" s="42"/>
      <c r="K73" s="42"/>
      <c r="L73" s="42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6"/>
      <c r="AB73" s="48"/>
      <c r="AC73" s="48"/>
    </row>
    <row r="74" spans="1:29" ht="13.8">
      <c r="A74" s="31" t="s">
        <v>247</v>
      </c>
      <c r="B74" s="76" t="s">
        <v>248</v>
      </c>
      <c r="C74" s="59">
        <v>35</v>
      </c>
      <c r="D74" s="59" t="s">
        <v>26</v>
      </c>
      <c r="E74" s="77">
        <v>920303156</v>
      </c>
      <c r="F74" s="42"/>
      <c r="G74" s="42"/>
      <c r="H74" s="42" t="s">
        <v>27</v>
      </c>
      <c r="I74" s="42"/>
      <c r="J74" s="42"/>
      <c r="K74" s="42"/>
      <c r="L74" s="42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6"/>
      <c r="AB74" s="48"/>
      <c r="AC74" s="48"/>
    </row>
    <row r="75" spans="1:29" ht="13.8">
      <c r="A75" s="31" t="s">
        <v>251</v>
      </c>
      <c r="B75" s="76" t="s">
        <v>252</v>
      </c>
      <c r="C75" s="59">
        <v>46</v>
      </c>
      <c r="D75" s="59" t="s">
        <v>26</v>
      </c>
      <c r="E75" s="77">
        <v>945773867</v>
      </c>
      <c r="F75" s="42"/>
      <c r="G75" s="42"/>
      <c r="H75" s="42"/>
      <c r="I75" s="42"/>
      <c r="J75" s="42"/>
      <c r="K75" s="42"/>
      <c r="L75" s="44"/>
      <c r="M75" s="44"/>
      <c r="N75" s="44"/>
      <c r="O75" s="44"/>
      <c r="P75" s="44"/>
      <c r="Q75" s="42" t="s">
        <v>27</v>
      </c>
      <c r="R75" s="44"/>
      <c r="S75" s="44"/>
      <c r="T75" s="44"/>
      <c r="U75" s="44"/>
      <c r="V75" s="44"/>
      <c r="W75" s="44"/>
      <c r="X75" s="44"/>
      <c r="Y75" s="44"/>
      <c r="Z75" s="44"/>
      <c r="AA75" s="46"/>
      <c r="AB75" s="48"/>
      <c r="AC75" s="48"/>
    </row>
    <row r="76" spans="1:29" ht="13.8">
      <c r="A76" s="31" t="s">
        <v>255</v>
      </c>
      <c r="B76" s="76" t="s">
        <v>256</v>
      </c>
      <c r="C76" s="59">
        <v>22</v>
      </c>
      <c r="D76" s="59" t="s">
        <v>26</v>
      </c>
      <c r="E76" s="77">
        <v>938094009</v>
      </c>
      <c r="F76" s="42"/>
      <c r="G76" s="42"/>
      <c r="H76" s="42"/>
      <c r="I76" s="42" t="s">
        <v>27</v>
      </c>
      <c r="J76" s="42"/>
      <c r="K76" s="42"/>
      <c r="L76" s="42"/>
      <c r="M76" s="42" t="s">
        <v>27</v>
      </c>
      <c r="N76" s="42" t="s">
        <v>112</v>
      </c>
      <c r="O76" s="42" t="s">
        <v>112</v>
      </c>
      <c r="P76" s="42" t="s">
        <v>27</v>
      </c>
      <c r="Q76" s="44"/>
      <c r="R76" s="42" t="s">
        <v>27</v>
      </c>
      <c r="S76" s="44"/>
      <c r="T76" s="44"/>
      <c r="U76" s="44"/>
      <c r="V76" s="44"/>
      <c r="W76" s="44"/>
      <c r="X76" s="44"/>
      <c r="Y76" s="42"/>
      <c r="Z76" s="44"/>
      <c r="AA76" s="46"/>
      <c r="AB76" s="48"/>
      <c r="AC76" s="48"/>
    </row>
    <row r="77" spans="1:29" ht="13.8">
      <c r="A77" s="31" t="s">
        <v>257</v>
      </c>
      <c r="B77" s="76" t="s">
        <v>258</v>
      </c>
      <c r="C77" s="59">
        <v>29</v>
      </c>
      <c r="D77" s="59" t="s">
        <v>26</v>
      </c>
      <c r="E77" s="77">
        <v>913255636</v>
      </c>
      <c r="F77" s="42"/>
      <c r="G77" s="42"/>
      <c r="H77" s="42"/>
      <c r="I77" s="42"/>
      <c r="J77" s="42"/>
      <c r="K77" s="42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6"/>
      <c r="AB77" s="48"/>
      <c r="AC77" s="48"/>
    </row>
    <row r="78" spans="1:29" ht="13.8">
      <c r="A78" s="31" t="s">
        <v>261</v>
      </c>
      <c r="B78" s="76" t="s">
        <v>262</v>
      </c>
      <c r="C78" s="59">
        <v>27</v>
      </c>
      <c r="D78" s="59" t="s">
        <v>26</v>
      </c>
      <c r="E78" s="77">
        <v>984953625</v>
      </c>
      <c r="F78" s="42"/>
      <c r="G78" s="42"/>
      <c r="H78" s="42"/>
      <c r="I78" s="42"/>
      <c r="J78" s="42"/>
      <c r="K78" s="42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6"/>
      <c r="AB78" s="48"/>
      <c r="AC78" s="48"/>
    </row>
    <row r="79" spans="1:29" ht="14.4">
      <c r="A79" s="31" t="s">
        <v>263</v>
      </c>
      <c r="B79" s="84" t="s">
        <v>264</v>
      </c>
      <c r="C79" s="85">
        <v>18</v>
      </c>
      <c r="D79" s="85" t="s">
        <v>23</v>
      </c>
      <c r="E79" s="86">
        <v>953958948</v>
      </c>
      <c r="F79" s="42"/>
      <c r="G79" s="42"/>
      <c r="H79" s="42"/>
      <c r="I79" s="42"/>
      <c r="J79" s="42"/>
      <c r="K79" s="42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6"/>
      <c r="AB79" s="48"/>
      <c r="AC79" s="48"/>
    </row>
    <row r="80" spans="1:29" ht="14.4">
      <c r="A80" s="31" t="s">
        <v>265</v>
      </c>
      <c r="B80" s="84" t="s">
        <v>266</v>
      </c>
      <c r="C80" s="85">
        <v>28</v>
      </c>
      <c r="D80" s="85" t="s">
        <v>34</v>
      </c>
      <c r="E80" s="86">
        <v>934410238</v>
      </c>
      <c r="F80" s="42"/>
      <c r="G80" s="42"/>
      <c r="H80" s="42"/>
      <c r="I80" s="42"/>
      <c r="J80" s="42"/>
      <c r="K80" s="42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6"/>
      <c r="AB80" s="48"/>
      <c r="AC80" s="48"/>
    </row>
    <row r="81" spans="1:29" ht="14.4">
      <c r="A81" s="31" t="s">
        <v>269</v>
      </c>
      <c r="B81" s="87" t="s">
        <v>270</v>
      </c>
      <c r="C81" s="88">
        <v>27</v>
      </c>
      <c r="D81" s="88" t="s">
        <v>23</v>
      </c>
      <c r="E81" s="89">
        <v>919206483</v>
      </c>
      <c r="F81" s="42"/>
      <c r="G81" s="42"/>
      <c r="H81" s="42"/>
      <c r="I81" s="42"/>
      <c r="J81" s="42"/>
      <c r="K81" s="42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6"/>
      <c r="AB81" s="48"/>
      <c r="AC81" s="48"/>
    </row>
    <row r="82" spans="1:29" ht="14.4">
      <c r="A82" s="31" t="s">
        <v>271</v>
      </c>
      <c r="B82" s="84" t="s">
        <v>272</v>
      </c>
      <c r="C82" s="85">
        <v>20</v>
      </c>
      <c r="D82" s="85" t="s">
        <v>23</v>
      </c>
      <c r="E82" s="86">
        <v>968588139</v>
      </c>
      <c r="F82" s="42"/>
      <c r="G82" s="42"/>
      <c r="H82" s="42"/>
      <c r="I82" s="42"/>
      <c r="J82" s="42"/>
      <c r="K82" s="42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6"/>
      <c r="AB82" s="48"/>
      <c r="AC82" s="48"/>
    </row>
    <row r="83" spans="1:29" ht="14.4">
      <c r="A83" s="31" t="s">
        <v>275</v>
      </c>
      <c r="B83" s="87" t="s">
        <v>276</v>
      </c>
      <c r="C83" s="88">
        <v>22</v>
      </c>
      <c r="D83" s="88" t="s">
        <v>34</v>
      </c>
      <c r="E83" s="89">
        <v>987920756</v>
      </c>
      <c r="F83" s="42"/>
      <c r="G83" s="42"/>
      <c r="H83" s="42"/>
      <c r="I83" s="42"/>
      <c r="J83" s="42"/>
      <c r="K83" s="42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6"/>
      <c r="AB83" s="48"/>
      <c r="AC83" s="48"/>
    </row>
    <row r="84" spans="1:29" ht="14.4">
      <c r="A84" s="31" t="s">
        <v>279</v>
      </c>
      <c r="B84" s="87" t="s">
        <v>280</v>
      </c>
      <c r="C84" s="88">
        <v>25</v>
      </c>
      <c r="D84" s="88" t="s">
        <v>23</v>
      </c>
      <c r="E84" s="89">
        <v>923929826</v>
      </c>
      <c r="F84" s="42"/>
      <c r="G84" s="42"/>
      <c r="H84" s="42"/>
      <c r="I84" s="42"/>
      <c r="J84" s="42"/>
      <c r="K84" s="42"/>
      <c r="L84" s="42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6"/>
      <c r="AB84" s="48"/>
      <c r="AC84" s="48"/>
    </row>
    <row r="85" spans="1:29" ht="14.4">
      <c r="A85" s="31" t="s">
        <v>282</v>
      </c>
      <c r="B85" s="84" t="s">
        <v>284</v>
      </c>
      <c r="C85" s="85">
        <v>19</v>
      </c>
      <c r="D85" s="85" t="s">
        <v>23</v>
      </c>
      <c r="E85" s="86">
        <v>961056610</v>
      </c>
      <c r="F85" s="42"/>
      <c r="G85" s="42"/>
      <c r="H85" s="42"/>
      <c r="I85" s="42"/>
      <c r="J85" s="42"/>
      <c r="K85" s="42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6"/>
      <c r="AB85" s="48"/>
      <c r="AC85" s="48"/>
    </row>
    <row r="86" spans="1:29" ht="14.4">
      <c r="A86" s="31" t="s">
        <v>285</v>
      </c>
      <c r="B86" s="84" t="s">
        <v>286</v>
      </c>
      <c r="C86" s="85">
        <v>26</v>
      </c>
      <c r="D86" s="85" t="s">
        <v>34</v>
      </c>
      <c r="E86" s="86">
        <v>953306326</v>
      </c>
      <c r="F86" s="42"/>
      <c r="G86" s="42" t="s">
        <v>27</v>
      </c>
      <c r="H86" s="42" t="s">
        <v>27</v>
      </c>
      <c r="I86" s="42" t="s">
        <v>27</v>
      </c>
      <c r="J86" s="42" t="s">
        <v>27</v>
      </c>
      <c r="K86" s="42" t="s">
        <v>27</v>
      </c>
      <c r="L86" s="42" t="s">
        <v>27</v>
      </c>
      <c r="M86" s="42" t="s">
        <v>27</v>
      </c>
      <c r="N86" s="42" t="s">
        <v>27</v>
      </c>
      <c r="O86" s="42" t="s">
        <v>27</v>
      </c>
      <c r="P86" s="42" t="s">
        <v>27</v>
      </c>
      <c r="Q86" s="42" t="s">
        <v>27</v>
      </c>
      <c r="R86" s="42" t="s">
        <v>27</v>
      </c>
      <c r="S86" s="42" t="s">
        <v>27</v>
      </c>
      <c r="T86" s="42" t="s">
        <v>27</v>
      </c>
      <c r="U86" s="44"/>
      <c r="V86" s="44"/>
      <c r="W86" s="42"/>
      <c r="X86" s="42"/>
      <c r="Y86" s="42"/>
      <c r="Z86" s="42"/>
      <c r="AA86" s="46"/>
      <c r="AB86" s="48"/>
      <c r="AC86" s="48"/>
    </row>
    <row r="87" spans="1:29" ht="14.4">
      <c r="A87" s="31" t="s">
        <v>289</v>
      </c>
      <c r="B87" s="84" t="s">
        <v>290</v>
      </c>
      <c r="C87" s="85">
        <v>22</v>
      </c>
      <c r="D87" s="85" t="s">
        <v>34</v>
      </c>
      <c r="E87" s="94"/>
      <c r="F87" s="42"/>
      <c r="G87" s="42"/>
      <c r="H87" s="42"/>
      <c r="I87" s="42"/>
      <c r="J87" s="42"/>
      <c r="K87" s="42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6"/>
      <c r="AB87" s="48"/>
      <c r="AC87" s="48"/>
    </row>
    <row r="88" spans="1:29" ht="14.4">
      <c r="A88" s="31" t="s">
        <v>291</v>
      </c>
      <c r="B88" s="87" t="s">
        <v>292</v>
      </c>
      <c r="C88" s="88">
        <v>21</v>
      </c>
      <c r="D88" s="88" t="s">
        <v>34</v>
      </c>
      <c r="E88" s="89">
        <v>906061757</v>
      </c>
      <c r="F88" s="42"/>
      <c r="G88" s="42"/>
      <c r="H88" s="42"/>
      <c r="I88" s="42"/>
      <c r="J88" s="42"/>
      <c r="K88" s="42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6"/>
      <c r="AB88" s="48"/>
      <c r="AC88" s="48"/>
    </row>
    <row r="89" spans="1:29" ht="14.4">
      <c r="A89" s="31" t="s">
        <v>295</v>
      </c>
      <c r="B89" s="84" t="s">
        <v>296</v>
      </c>
      <c r="C89" s="85">
        <v>24</v>
      </c>
      <c r="D89" s="85" t="s">
        <v>23</v>
      </c>
      <c r="E89" s="86">
        <v>987884550</v>
      </c>
      <c r="F89" s="42"/>
      <c r="G89" s="42"/>
      <c r="H89" s="42"/>
      <c r="I89" s="42"/>
      <c r="J89" s="42"/>
      <c r="K89" s="42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6"/>
      <c r="AB89" s="48"/>
      <c r="AC89" s="48"/>
    </row>
    <row r="90" spans="1:29" ht="14.4">
      <c r="A90" s="31" t="s">
        <v>297</v>
      </c>
      <c r="B90" s="84" t="s">
        <v>298</v>
      </c>
      <c r="C90" s="85">
        <v>21</v>
      </c>
      <c r="D90" s="85" t="s">
        <v>34</v>
      </c>
      <c r="E90" s="86">
        <v>929705961</v>
      </c>
      <c r="F90" s="42"/>
      <c r="G90" s="42"/>
      <c r="H90" s="42"/>
      <c r="I90" s="42"/>
      <c r="J90" s="42" t="s">
        <v>27</v>
      </c>
      <c r="K90" s="42" t="s">
        <v>27</v>
      </c>
      <c r="L90" s="42"/>
      <c r="M90" s="42" t="s">
        <v>27</v>
      </c>
      <c r="N90" s="42"/>
      <c r="O90" s="44"/>
      <c r="P90" s="42"/>
      <c r="Q90" s="42"/>
      <c r="R90" s="42"/>
      <c r="S90" s="42"/>
      <c r="T90" s="42"/>
      <c r="U90" s="44"/>
      <c r="V90" s="44"/>
      <c r="W90" s="42"/>
      <c r="X90" s="44"/>
      <c r="Y90" s="44"/>
      <c r="Z90" s="44"/>
      <c r="AA90" s="46"/>
      <c r="AB90" s="48"/>
      <c r="AC90" s="48"/>
    </row>
    <row r="91" spans="1:29" ht="14.4">
      <c r="A91" s="31" t="s">
        <v>301</v>
      </c>
      <c r="B91" s="84" t="s">
        <v>302</v>
      </c>
      <c r="C91" s="85">
        <v>23</v>
      </c>
      <c r="D91" s="85" t="s">
        <v>23</v>
      </c>
      <c r="E91" s="86">
        <v>972721116</v>
      </c>
      <c r="F91" s="42"/>
      <c r="G91" s="42"/>
      <c r="H91" s="42"/>
      <c r="I91" s="42"/>
      <c r="J91" s="42"/>
      <c r="K91" s="42"/>
      <c r="L91" s="42"/>
      <c r="M91" s="42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6"/>
      <c r="AB91" s="48"/>
      <c r="AC91" s="48"/>
    </row>
    <row r="92" spans="1:29" ht="14.4">
      <c r="A92" s="31" t="s">
        <v>303</v>
      </c>
      <c r="B92" s="87" t="s">
        <v>304</v>
      </c>
      <c r="C92" s="88">
        <v>23</v>
      </c>
      <c r="D92" s="88" t="s">
        <v>34</v>
      </c>
      <c r="E92" s="89">
        <v>946870308</v>
      </c>
      <c r="F92" s="42"/>
      <c r="G92" s="42"/>
      <c r="H92" s="42"/>
      <c r="I92" s="42"/>
      <c r="J92" s="42"/>
      <c r="K92" s="42"/>
      <c r="L92" s="42"/>
      <c r="M92" s="44"/>
      <c r="N92" s="42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6"/>
      <c r="AB92" s="48"/>
      <c r="AC92" s="48"/>
    </row>
    <row r="93" spans="1:29" ht="14.4">
      <c r="A93" s="31" t="s">
        <v>307</v>
      </c>
      <c r="B93" s="84" t="s">
        <v>308</v>
      </c>
      <c r="C93" s="85">
        <v>18</v>
      </c>
      <c r="D93" s="85" t="s">
        <v>23</v>
      </c>
      <c r="E93" s="86">
        <v>951517452</v>
      </c>
      <c r="F93" s="42"/>
      <c r="G93" s="42" t="s">
        <v>27</v>
      </c>
      <c r="H93" s="42"/>
      <c r="I93" s="42"/>
      <c r="J93" s="42"/>
      <c r="K93" s="42" t="s">
        <v>27</v>
      </c>
      <c r="L93" s="42"/>
      <c r="M93" s="44"/>
      <c r="N93" s="44"/>
      <c r="O93" s="44"/>
      <c r="P93" s="44"/>
      <c r="Q93" s="42" t="s">
        <v>27</v>
      </c>
      <c r="R93" s="44"/>
      <c r="S93" s="44"/>
      <c r="T93" s="42"/>
      <c r="U93" s="44"/>
      <c r="V93" s="44"/>
      <c r="W93" s="42"/>
      <c r="X93" s="42"/>
      <c r="Y93" s="42"/>
      <c r="Z93" s="42"/>
      <c r="AA93" s="46"/>
      <c r="AB93" s="48"/>
      <c r="AC93" s="48"/>
    </row>
    <row r="94" spans="1:29" ht="14.4">
      <c r="A94" s="31" t="s">
        <v>311</v>
      </c>
      <c r="B94" s="87" t="s">
        <v>312</v>
      </c>
      <c r="C94" s="88">
        <v>20</v>
      </c>
      <c r="D94" s="88" t="s">
        <v>34</v>
      </c>
      <c r="E94" s="89">
        <v>979010999</v>
      </c>
      <c r="F94" s="42"/>
      <c r="G94" s="42" t="s">
        <v>27</v>
      </c>
      <c r="H94" s="42" t="s">
        <v>27</v>
      </c>
      <c r="I94" s="42" t="s">
        <v>27</v>
      </c>
      <c r="J94" s="42" t="s">
        <v>27</v>
      </c>
      <c r="K94" s="42" t="s">
        <v>27</v>
      </c>
      <c r="L94" s="42" t="s">
        <v>27</v>
      </c>
      <c r="M94" s="42" t="s">
        <v>27</v>
      </c>
      <c r="N94" s="42" t="s">
        <v>27</v>
      </c>
      <c r="O94" s="42" t="s">
        <v>27</v>
      </c>
      <c r="P94" s="42" t="s">
        <v>27</v>
      </c>
      <c r="Q94" s="42" t="s">
        <v>27</v>
      </c>
      <c r="R94" s="42" t="s">
        <v>27</v>
      </c>
      <c r="S94" s="44"/>
      <c r="T94" s="44"/>
      <c r="U94" s="44"/>
      <c r="V94" s="44"/>
      <c r="W94" s="44"/>
      <c r="X94" s="42"/>
      <c r="Y94" s="42"/>
      <c r="Z94" s="42"/>
      <c r="AA94" s="46"/>
      <c r="AB94" s="48"/>
      <c r="AC94" s="48"/>
    </row>
    <row r="95" spans="1:29" ht="14.4">
      <c r="A95" s="31" t="s">
        <v>313</v>
      </c>
      <c r="B95" s="87" t="s">
        <v>314</v>
      </c>
      <c r="C95" s="88">
        <v>22</v>
      </c>
      <c r="D95" s="88" t="s">
        <v>23</v>
      </c>
      <c r="E95" s="89">
        <v>963531682</v>
      </c>
      <c r="F95" s="42"/>
      <c r="G95" s="42"/>
      <c r="H95" s="42"/>
      <c r="I95" s="42"/>
      <c r="J95" s="42"/>
      <c r="K95" s="42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2"/>
      <c r="Y95" s="42"/>
      <c r="Z95" s="44"/>
      <c r="AA95" s="46"/>
      <c r="AB95" s="48"/>
      <c r="AC95" s="48"/>
    </row>
    <row r="96" spans="1:29" ht="14.4">
      <c r="A96" s="31" t="s">
        <v>317</v>
      </c>
      <c r="B96" s="84" t="s">
        <v>318</v>
      </c>
      <c r="C96" s="85">
        <v>27</v>
      </c>
      <c r="D96" s="85" t="s">
        <v>23</v>
      </c>
      <c r="E96" s="86">
        <v>984988760</v>
      </c>
      <c r="F96" s="42"/>
      <c r="G96" s="42" t="s">
        <v>27</v>
      </c>
      <c r="H96" s="42" t="s">
        <v>27</v>
      </c>
      <c r="I96" s="42"/>
      <c r="J96" s="42"/>
      <c r="K96" s="42" t="s">
        <v>27</v>
      </c>
      <c r="L96" s="42" t="s">
        <v>27</v>
      </c>
      <c r="M96" s="42" t="s">
        <v>27</v>
      </c>
      <c r="N96" s="44"/>
      <c r="O96" s="42" t="s">
        <v>27</v>
      </c>
      <c r="P96" s="42"/>
      <c r="Q96" s="42"/>
      <c r="R96" s="42" t="s">
        <v>27</v>
      </c>
      <c r="S96" s="42"/>
      <c r="T96" s="42"/>
      <c r="U96" s="44"/>
      <c r="V96" s="44"/>
      <c r="W96" s="42"/>
      <c r="X96" s="44"/>
      <c r="Y96" s="42"/>
      <c r="Z96" s="42"/>
      <c r="AA96" s="46"/>
      <c r="AB96" s="48"/>
      <c r="AC96" s="48"/>
    </row>
    <row r="97" spans="1:29" ht="14.4">
      <c r="A97" s="31" t="s">
        <v>319</v>
      </c>
      <c r="B97" s="87" t="s">
        <v>320</v>
      </c>
      <c r="C97" s="88">
        <v>15</v>
      </c>
      <c r="D97" s="88" t="s">
        <v>34</v>
      </c>
      <c r="E97" s="89">
        <v>972712206</v>
      </c>
      <c r="F97" s="42"/>
      <c r="G97" s="42"/>
      <c r="H97" s="42"/>
      <c r="I97" s="42"/>
      <c r="J97" s="42"/>
      <c r="K97" s="42"/>
      <c r="L97" s="42"/>
      <c r="M97" s="42"/>
      <c r="N97" s="44"/>
      <c r="O97" s="44"/>
      <c r="P97" s="42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6"/>
      <c r="AB97" s="48"/>
      <c r="AC97" s="48"/>
    </row>
    <row r="98" spans="1:29" ht="14.4">
      <c r="A98" s="31" t="s">
        <v>323</v>
      </c>
      <c r="B98" s="84" t="s">
        <v>324</v>
      </c>
      <c r="C98" s="85">
        <v>17</v>
      </c>
      <c r="D98" s="85" t="s">
        <v>34</v>
      </c>
      <c r="E98" s="86">
        <v>950264453</v>
      </c>
      <c r="F98" s="42"/>
      <c r="G98" s="42"/>
      <c r="H98" s="42"/>
      <c r="I98" s="42"/>
      <c r="J98" s="42"/>
      <c r="K98" s="42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6"/>
      <c r="AB98" s="48"/>
      <c r="AC98" s="48"/>
    </row>
    <row r="99" spans="1:29" ht="14.4">
      <c r="A99" s="31" t="s">
        <v>325</v>
      </c>
      <c r="B99" s="87" t="s">
        <v>326</v>
      </c>
      <c r="C99" s="88">
        <v>18</v>
      </c>
      <c r="D99" s="88" t="s">
        <v>34</v>
      </c>
      <c r="E99" s="89">
        <v>992828978</v>
      </c>
      <c r="F99" s="42"/>
      <c r="G99" s="42" t="s">
        <v>27</v>
      </c>
      <c r="H99" s="42"/>
      <c r="I99" s="42"/>
      <c r="J99" s="42" t="s">
        <v>27</v>
      </c>
      <c r="K99" s="42"/>
      <c r="L99" s="42" t="s">
        <v>27</v>
      </c>
      <c r="M99" s="44"/>
      <c r="N99" s="42"/>
      <c r="O99" s="44"/>
      <c r="P99" s="44"/>
      <c r="Q99" s="44"/>
      <c r="R99" s="42" t="s">
        <v>27</v>
      </c>
      <c r="S99" s="44"/>
      <c r="T99" s="44"/>
      <c r="U99" s="44"/>
      <c r="V99" s="44"/>
      <c r="W99" s="44"/>
      <c r="X99" s="44"/>
      <c r="Y99" s="44"/>
      <c r="Z99" s="44"/>
      <c r="AA99" s="46"/>
      <c r="AB99" s="48"/>
      <c r="AC99" s="48"/>
    </row>
    <row r="100" spans="1:29" ht="14.4">
      <c r="A100" s="31" t="s">
        <v>329</v>
      </c>
      <c r="B100" s="84" t="s">
        <v>330</v>
      </c>
      <c r="C100" s="85">
        <v>20</v>
      </c>
      <c r="D100" s="85" t="s">
        <v>23</v>
      </c>
      <c r="E100" s="86">
        <v>963302385</v>
      </c>
      <c r="F100" s="42"/>
      <c r="G100" s="42"/>
      <c r="H100" s="42"/>
      <c r="I100" s="42"/>
      <c r="J100" s="42" t="s">
        <v>27</v>
      </c>
      <c r="K100" s="42" t="s">
        <v>27</v>
      </c>
      <c r="L100" s="42" t="s">
        <v>27</v>
      </c>
      <c r="M100" s="42"/>
      <c r="N100" s="44"/>
      <c r="O100" s="42"/>
      <c r="P100" s="42" t="s">
        <v>27</v>
      </c>
      <c r="Q100" s="42"/>
      <c r="R100" s="44"/>
      <c r="S100" s="44"/>
      <c r="T100" s="42"/>
      <c r="U100" s="44"/>
      <c r="V100" s="44"/>
      <c r="W100" s="42"/>
      <c r="X100" s="44"/>
      <c r="Y100" s="44"/>
      <c r="Z100" s="44"/>
      <c r="AA100" s="46"/>
      <c r="AB100" s="48"/>
      <c r="AC100" s="48"/>
    </row>
    <row r="101" spans="1:29" ht="14.4">
      <c r="A101" s="31" t="s">
        <v>331</v>
      </c>
      <c r="B101" s="87" t="s">
        <v>332</v>
      </c>
      <c r="C101" s="88">
        <v>24</v>
      </c>
      <c r="D101" s="88" t="s">
        <v>23</v>
      </c>
      <c r="E101" s="89">
        <v>931830667</v>
      </c>
      <c r="F101" s="42"/>
      <c r="G101" s="42"/>
      <c r="H101" s="42"/>
      <c r="I101" s="42" t="s">
        <v>27</v>
      </c>
      <c r="J101" s="42" t="s">
        <v>27</v>
      </c>
      <c r="K101" s="42" t="s">
        <v>27</v>
      </c>
      <c r="L101" s="42" t="s">
        <v>27</v>
      </c>
      <c r="M101" s="44"/>
      <c r="N101" s="44"/>
      <c r="O101" s="44"/>
      <c r="P101" s="44"/>
      <c r="Q101" s="42" t="s">
        <v>27</v>
      </c>
      <c r="R101" s="44"/>
      <c r="S101" s="44"/>
      <c r="T101" s="44"/>
      <c r="U101" s="44"/>
      <c r="V101" s="44"/>
      <c r="W101" s="44"/>
      <c r="X101" s="44"/>
      <c r="Y101" s="44"/>
      <c r="Z101" s="44"/>
      <c r="AA101" s="46"/>
      <c r="AB101" s="48"/>
      <c r="AC101" s="48"/>
    </row>
    <row r="102" spans="1:29" ht="14.4">
      <c r="A102" s="31" t="s">
        <v>335</v>
      </c>
      <c r="B102" s="84" t="s">
        <v>336</v>
      </c>
      <c r="C102" s="85">
        <v>29</v>
      </c>
      <c r="D102" s="85" t="s">
        <v>23</v>
      </c>
      <c r="E102" s="86">
        <v>932202329</v>
      </c>
      <c r="F102" s="42"/>
      <c r="G102" s="42"/>
      <c r="H102" s="42"/>
      <c r="I102" s="42"/>
      <c r="J102" s="42"/>
      <c r="K102" s="42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6"/>
      <c r="AB102" s="48"/>
      <c r="AC102" s="48"/>
    </row>
    <row r="103" spans="1:29" ht="14.4">
      <c r="A103" s="31" t="s">
        <v>337</v>
      </c>
      <c r="B103" s="87" t="s">
        <v>338</v>
      </c>
      <c r="C103" s="88">
        <v>23</v>
      </c>
      <c r="D103" s="88" t="s">
        <v>23</v>
      </c>
      <c r="E103" s="89">
        <v>955913331</v>
      </c>
      <c r="F103" s="42"/>
      <c r="G103" s="42"/>
      <c r="H103" s="42"/>
      <c r="I103" s="42"/>
      <c r="J103" s="42"/>
      <c r="K103" s="42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6"/>
      <c r="AB103" s="48"/>
      <c r="AC103" s="48"/>
    </row>
    <row r="104" spans="1:29" ht="14.4">
      <c r="A104" s="31" t="s">
        <v>342</v>
      </c>
      <c r="B104" s="84" t="s">
        <v>343</v>
      </c>
      <c r="C104" s="85">
        <v>23</v>
      </c>
      <c r="D104" s="85" t="s">
        <v>34</v>
      </c>
      <c r="E104" s="86">
        <v>905562409</v>
      </c>
      <c r="F104" s="42"/>
      <c r="G104" s="42"/>
      <c r="H104" s="42"/>
      <c r="I104" s="42" t="s">
        <v>27</v>
      </c>
      <c r="J104" s="42" t="s">
        <v>27</v>
      </c>
      <c r="K104" s="42" t="s">
        <v>27</v>
      </c>
      <c r="L104" s="44"/>
      <c r="M104" s="42" t="s">
        <v>27</v>
      </c>
      <c r="N104" s="44"/>
      <c r="O104" s="44"/>
      <c r="P104" s="44"/>
      <c r="Q104" s="42" t="s">
        <v>27</v>
      </c>
      <c r="R104" s="44"/>
      <c r="S104" s="44"/>
      <c r="T104" s="44"/>
      <c r="U104" s="44"/>
      <c r="V104" s="44"/>
      <c r="W104" s="44"/>
      <c r="X104" s="44"/>
      <c r="Y104" s="44"/>
      <c r="Z104" s="44"/>
      <c r="AA104" s="46"/>
      <c r="AB104" s="48"/>
      <c r="AC104" s="48"/>
    </row>
    <row r="105" spans="1:29" ht="14.4">
      <c r="A105" s="31" t="s">
        <v>344</v>
      </c>
      <c r="B105" s="87" t="s">
        <v>345</v>
      </c>
      <c r="C105" s="88">
        <v>28</v>
      </c>
      <c r="D105" s="88" t="s">
        <v>34</v>
      </c>
      <c r="E105" s="89">
        <v>983331337</v>
      </c>
      <c r="F105" s="42"/>
      <c r="G105" s="42" t="s">
        <v>19</v>
      </c>
      <c r="H105" s="42" t="s">
        <v>27</v>
      </c>
      <c r="I105" s="42" t="s">
        <v>27</v>
      </c>
      <c r="J105" s="42" t="s">
        <v>27</v>
      </c>
      <c r="K105" s="42"/>
      <c r="L105" s="42" t="s">
        <v>27</v>
      </c>
      <c r="M105" s="42" t="s">
        <v>27</v>
      </c>
      <c r="N105" s="44"/>
      <c r="O105" s="44"/>
      <c r="P105" s="42" t="s">
        <v>27</v>
      </c>
      <c r="Q105" s="42" t="s">
        <v>27</v>
      </c>
      <c r="R105" s="42"/>
      <c r="S105" s="42" t="s">
        <v>27</v>
      </c>
      <c r="T105" s="42" t="s">
        <v>27</v>
      </c>
      <c r="U105" s="44"/>
      <c r="V105" s="44"/>
      <c r="W105" s="44"/>
      <c r="X105" s="42"/>
      <c r="Y105" s="42"/>
      <c r="Z105" s="42"/>
      <c r="AA105" s="46"/>
      <c r="AB105" s="48"/>
      <c r="AC105" s="48"/>
    </row>
    <row r="106" spans="1:29" ht="14.4">
      <c r="A106" s="31" t="s">
        <v>348</v>
      </c>
      <c r="B106" s="84" t="s">
        <v>349</v>
      </c>
      <c r="C106" s="85">
        <v>24</v>
      </c>
      <c r="D106" s="85" t="s">
        <v>34</v>
      </c>
      <c r="E106" s="86">
        <v>960710749</v>
      </c>
      <c r="F106" s="42"/>
      <c r="G106" s="42" t="s">
        <v>19</v>
      </c>
      <c r="H106" s="42" t="s">
        <v>27</v>
      </c>
      <c r="I106" s="42" t="s">
        <v>27</v>
      </c>
      <c r="J106" s="42" t="s">
        <v>27</v>
      </c>
      <c r="K106" s="42" t="s">
        <v>27</v>
      </c>
      <c r="L106" s="44"/>
      <c r="M106" s="42" t="s">
        <v>27</v>
      </c>
      <c r="N106" s="44"/>
      <c r="O106" s="44"/>
      <c r="P106" s="42" t="s">
        <v>27</v>
      </c>
      <c r="Q106" s="44"/>
      <c r="R106" s="44"/>
      <c r="S106" s="44"/>
      <c r="T106" s="44"/>
      <c r="U106" s="44"/>
      <c r="V106" s="44"/>
      <c r="W106" s="44"/>
      <c r="X106" s="42"/>
      <c r="Y106" s="44"/>
      <c r="Z106" s="42"/>
      <c r="AA106" s="46"/>
      <c r="AB106" s="48"/>
      <c r="AC106" s="48"/>
    </row>
    <row r="107" spans="1:29" ht="14.4">
      <c r="A107" s="31" t="s">
        <v>350</v>
      </c>
      <c r="B107" s="87" t="s">
        <v>351</v>
      </c>
      <c r="C107" s="88">
        <v>23</v>
      </c>
      <c r="D107" s="88" t="s">
        <v>34</v>
      </c>
      <c r="E107" s="86">
        <v>960710749</v>
      </c>
      <c r="F107" s="42"/>
      <c r="G107" s="42"/>
      <c r="H107" s="42" t="s">
        <v>27</v>
      </c>
      <c r="I107" s="42"/>
      <c r="J107" s="42"/>
      <c r="K107" s="42" t="s">
        <v>27</v>
      </c>
      <c r="L107" s="42"/>
      <c r="M107" s="42" t="s">
        <v>27</v>
      </c>
      <c r="N107" s="44"/>
      <c r="O107" s="44"/>
      <c r="P107" s="44"/>
      <c r="Q107" s="44"/>
      <c r="R107" s="42" t="s">
        <v>27</v>
      </c>
      <c r="S107" s="44"/>
      <c r="T107" s="44"/>
      <c r="U107" s="44"/>
      <c r="V107" s="44"/>
      <c r="W107" s="44"/>
      <c r="X107" s="42" t="s">
        <v>27</v>
      </c>
      <c r="Y107" s="42" t="s">
        <v>27</v>
      </c>
      <c r="Z107" s="42"/>
      <c r="AA107" s="46"/>
      <c r="AB107" s="48"/>
      <c r="AC107" s="48"/>
    </row>
    <row r="108" spans="1:29" ht="14.4">
      <c r="A108" s="31" t="s">
        <v>354</v>
      </c>
      <c r="B108" s="84" t="s">
        <v>355</v>
      </c>
      <c r="C108" s="85">
        <v>31</v>
      </c>
      <c r="D108" s="85" t="s">
        <v>23</v>
      </c>
      <c r="E108" s="86">
        <v>918536286</v>
      </c>
      <c r="F108" s="42"/>
      <c r="G108" s="42"/>
      <c r="H108" s="42" t="s">
        <v>27</v>
      </c>
      <c r="I108" s="42" t="s">
        <v>19</v>
      </c>
      <c r="J108" s="42" t="s">
        <v>27</v>
      </c>
      <c r="K108" s="42" t="s">
        <v>27</v>
      </c>
      <c r="L108" s="42"/>
      <c r="M108" s="42" t="s">
        <v>27</v>
      </c>
      <c r="N108" s="44"/>
      <c r="O108" s="42" t="s">
        <v>27</v>
      </c>
      <c r="P108" s="42" t="s">
        <v>27</v>
      </c>
      <c r="Q108" s="42" t="s">
        <v>27</v>
      </c>
      <c r="R108" s="42" t="s">
        <v>27</v>
      </c>
      <c r="S108" s="44"/>
      <c r="T108" s="44"/>
      <c r="U108" s="44"/>
      <c r="V108" s="44"/>
      <c r="W108" s="44"/>
      <c r="X108" s="44"/>
      <c r="Y108" s="44"/>
      <c r="Z108" s="44"/>
      <c r="AA108" s="46"/>
      <c r="AB108" s="48"/>
      <c r="AC108" s="48"/>
    </row>
    <row r="109" spans="1:29" ht="14.4">
      <c r="A109" s="31" t="s">
        <v>356</v>
      </c>
      <c r="B109" s="87" t="s">
        <v>357</v>
      </c>
      <c r="C109" s="88">
        <v>18</v>
      </c>
      <c r="D109" s="88" t="s">
        <v>34</v>
      </c>
      <c r="E109" s="89">
        <v>930126978</v>
      </c>
      <c r="F109" s="42"/>
      <c r="G109" s="42"/>
      <c r="H109" s="42"/>
      <c r="I109" s="42"/>
      <c r="J109" s="42"/>
      <c r="K109" s="42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6"/>
      <c r="AB109" s="48"/>
      <c r="AC109" s="48"/>
    </row>
    <row r="110" spans="1:29" ht="14.4">
      <c r="A110" s="31" t="s">
        <v>360</v>
      </c>
      <c r="B110" s="84" t="s">
        <v>361</v>
      </c>
      <c r="C110" s="85">
        <v>20</v>
      </c>
      <c r="D110" s="85" t="s">
        <v>34</v>
      </c>
      <c r="E110" s="86">
        <v>918187147</v>
      </c>
      <c r="F110" s="42"/>
      <c r="G110" s="42"/>
      <c r="H110" s="42"/>
      <c r="I110" s="42"/>
      <c r="J110" s="42"/>
      <c r="K110" s="42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6"/>
      <c r="AB110" s="48"/>
      <c r="AC110" s="48"/>
    </row>
    <row r="111" spans="1:29" ht="14.4">
      <c r="A111" s="31" t="s">
        <v>362</v>
      </c>
      <c r="B111" s="87" t="s">
        <v>363</v>
      </c>
      <c r="C111" s="88">
        <v>16</v>
      </c>
      <c r="D111" s="88" t="s">
        <v>34</v>
      </c>
      <c r="E111" s="89">
        <v>984641363</v>
      </c>
      <c r="F111" s="42"/>
      <c r="G111" s="42"/>
      <c r="H111" s="42"/>
      <c r="I111" s="42"/>
      <c r="J111" s="42"/>
      <c r="K111" s="42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6"/>
      <c r="AB111" s="48"/>
      <c r="AC111" s="48"/>
    </row>
    <row r="112" spans="1:29" ht="14.4">
      <c r="A112" s="31" t="s">
        <v>364</v>
      </c>
      <c r="B112" s="84" t="s">
        <v>365</v>
      </c>
      <c r="C112" s="85">
        <v>19</v>
      </c>
      <c r="D112" s="85" t="s">
        <v>34</v>
      </c>
      <c r="E112" s="86">
        <v>955734741</v>
      </c>
      <c r="F112" s="42"/>
      <c r="G112" s="42"/>
      <c r="H112" s="42"/>
      <c r="I112" s="42"/>
      <c r="J112" s="42"/>
      <c r="K112" s="42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6"/>
      <c r="AB112" s="48"/>
      <c r="AC112" s="48"/>
    </row>
    <row r="113" spans="1:29" ht="14.4">
      <c r="A113" s="31" t="s">
        <v>368</v>
      </c>
      <c r="B113" s="87" t="s">
        <v>369</v>
      </c>
      <c r="C113" s="88">
        <v>19</v>
      </c>
      <c r="D113" s="88" t="s">
        <v>34</v>
      </c>
      <c r="E113" s="89">
        <v>989480276</v>
      </c>
      <c r="F113" s="42"/>
      <c r="G113" s="42"/>
      <c r="H113" s="42"/>
      <c r="I113" s="42"/>
      <c r="J113" s="42"/>
      <c r="K113" s="42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6"/>
      <c r="AB113" s="48"/>
      <c r="AC113" s="48"/>
    </row>
    <row r="114" spans="1:29" ht="14.4">
      <c r="A114" s="31" t="s">
        <v>370</v>
      </c>
      <c r="B114" s="84" t="s">
        <v>371</v>
      </c>
      <c r="C114" s="85">
        <v>29</v>
      </c>
      <c r="D114" s="85" t="s">
        <v>34</v>
      </c>
      <c r="E114" s="86">
        <v>919999834</v>
      </c>
      <c r="F114" s="42"/>
      <c r="G114" s="42"/>
      <c r="H114" s="42"/>
      <c r="I114" s="42"/>
      <c r="J114" s="42"/>
      <c r="K114" s="42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6"/>
      <c r="AB114" s="48"/>
      <c r="AC114" s="48"/>
    </row>
    <row r="115" spans="1:29" ht="14.4">
      <c r="A115" s="31" t="s">
        <v>374</v>
      </c>
      <c r="B115" s="87" t="s">
        <v>375</v>
      </c>
      <c r="C115" s="88">
        <v>17</v>
      </c>
      <c r="D115" s="88" t="s">
        <v>34</v>
      </c>
      <c r="E115" s="89">
        <v>986327420</v>
      </c>
      <c r="F115" s="42"/>
      <c r="G115" s="42"/>
      <c r="H115" s="42"/>
      <c r="I115" s="42"/>
      <c r="J115" s="42"/>
      <c r="K115" s="42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6"/>
      <c r="AB115" s="48"/>
      <c r="AC115" s="48"/>
    </row>
    <row r="116" spans="1:29" ht="13.8">
      <c r="A116" s="31" t="s">
        <v>377</v>
      </c>
      <c r="B116" s="113" t="s">
        <v>380</v>
      </c>
      <c r="C116" s="58">
        <v>30</v>
      </c>
      <c r="D116" s="117"/>
      <c r="E116" s="77">
        <v>942056827</v>
      </c>
      <c r="F116" s="42"/>
      <c r="G116" s="42" t="s">
        <v>27</v>
      </c>
      <c r="H116" s="42"/>
      <c r="I116" s="42" t="s">
        <v>19</v>
      </c>
      <c r="J116" s="42" t="s">
        <v>27</v>
      </c>
      <c r="K116" s="42"/>
      <c r="L116" s="42" t="s">
        <v>27</v>
      </c>
      <c r="M116" s="44"/>
      <c r="N116" s="42" t="s">
        <v>27</v>
      </c>
      <c r="O116" s="42" t="s">
        <v>27</v>
      </c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6"/>
      <c r="AB116" s="48"/>
      <c r="AC116" s="48"/>
    </row>
    <row r="117" spans="1:29" ht="13.8">
      <c r="A117" s="31" t="s">
        <v>383</v>
      </c>
      <c r="B117" s="113" t="s">
        <v>384</v>
      </c>
      <c r="C117" s="58">
        <v>23</v>
      </c>
      <c r="D117" s="117"/>
      <c r="E117" s="77">
        <v>970900345</v>
      </c>
      <c r="F117" s="42"/>
      <c r="G117" s="42"/>
      <c r="H117" s="42" t="s">
        <v>27</v>
      </c>
      <c r="I117" s="42"/>
      <c r="J117" s="42" t="s">
        <v>27</v>
      </c>
      <c r="K117" s="42" t="s">
        <v>27</v>
      </c>
      <c r="L117" s="42" t="s">
        <v>27</v>
      </c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6"/>
      <c r="AB117" s="48"/>
      <c r="AC117" s="48"/>
    </row>
    <row r="118" spans="1:29" ht="13.8">
      <c r="A118" s="31" t="s">
        <v>387</v>
      </c>
      <c r="B118" s="113" t="s">
        <v>388</v>
      </c>
      <c r="C118" s="58">
        <v>19</v>
      </c>
      <c r="D118" s="117"/>
      <c r="E118" s="77">
        <v>990242745</v>
      </c>
      <c r="F118" s="42"/>
      <c r="G118" s="42" t="s">
        <v>27</v>
      </c>
      <c r="H118" s="42"/>
      <c r="I118" s="42"/>
      <c r="J118" s="42" t="s">
        <v>27</v>
      </c>
      <c r="K118" s="42"/>
      <c r="L118" s="42"/>
      <c r="M118" s="44"/>
      <c r="N118" s="44"/>
      <c r="O118" s="42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6"/>
      <c r="AB118" s="48"/>
      <c r="AC118" s="48"/>
    </row>
    <row r="119" spans="1:29" ht="13.8">
      <c r="A119" s="31" t="s">
        <v>389</v>
      </c>
      <c r="B119" s="113" t="s">
        <v>390</v>
      </c>
      <c r="C119" s="58">
        <v>24</v>
      </c>
      <c r="D119" s="117"/>
      <c r="E119" s="77">
        <v>978264213</v>
      </c>
      <c r="F119" s="42"/>
      <c r="G119" s="42"/>
      <c r="H119" s="42"/>
      <c r="I119" s="42"/>
      <c r="J119" s="42"/>
      <c r="K119" s="42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6"/>
      <c r="AB119" s="48"/>
      <c r="AC119" s="48"/>
    </row>
    <row r="120" spans="1:29" ht="13.8">
      <c r="A120" s="31" t="s">
        <v>393</v>
      </c>
      <c r="B120" s="113" t="s">
        <v>394</v>
      </c>
      <c r="C120" s="58">
        <v>20</v>
      </c>
      <c r="D120" s="117"/>
      <c r="E120" s="77">
        <v>988108909</v>
      </c>
      <c r="F120" s="42"/>
      <c r="G120" s="42"/>
      <c r="H120" s="42"/>
      <c r="I120" s="42"/>
      <c r="J120" s="42"/>
      <c r="K120" s="42"/>
      <c r="L120" s="42"/>
      <c r="M120" s="44"/>
      <c r="N120" s="44"/>
      <c r="O120" s="44"/>
      <c r="P120" s="42"/>
      <c r="Q120" s="44"/>
      <c r="R120" s="44"/>
      <c r="S120" s="44"/>
      <c r="T120" s="44"/>
      <c r="U120" s="44"/>
      <c r="V120" s="44"/>
      <c r="W120" s="44"/>
      <c r="X120" s="42"/>
      <c r="Y120" s="44"/>
      <c r="Z120" s="42"/>
      <c r="AA120" s="46"/>
      <c r="AB120" s="48"/>
      <c r="AC120" s="48"/>
    </row>
    <row r="121" spans="1:29" ht="13.8">
      <c r="A121" s="31" t="s">
        <v>396</v>
      </c>
      <c r="B121" s="113" t="s">
        <v>398</v>
      </c>
      <c r="C121" s="58">
        <v>25</v>
      </c>
      <c r="D121" s="117"/>
      <c r="E121" s="77">
        <v>953306326</v>
      </c>
      <c r="F121" s="42"/>
      <c r="G121" s="42"/>
      <c r="H121" s="42"/>
      <c r="I121" s="42"/>
      <c r="J121" s="42"/>
      <c r="K121" s="42"/>
      <c r="L121" s="44"/>
      <c r="M121" s="44"/>
      <c r="N121" s="44"/>
      <c r="O121" s="44"/>
      <c r="P121" s="42" t="s">
        <v>27</v>
      </c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6"/>
      <c r="AB121" s="48"/>
      <c r="AC121" s="48"/>
    </row>
    <row r="122" spans="1:29" ht="13.8">
      <c r="A122" s="31" t="s">
        <v>399</v>
      </c>
      <c r="B122" s="113" t="s">
        <v>400</v>
      </c>
      <c r="C122" s="58">
        <v>28</v>
      </c>
      <c r="D122" s="117"/>
      <c r="E122" s="77">
        <v>938480940</v>
      </c>
      <c r="F122" s="42"/>
      <c r="G122" s="42"/>
      <c r="H122" s="42"/>
      <c r="I122" s="42"/>
      <c r="J122" s="42"/>
      <c r="K122" s="42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6"/>
      <c r="AB122" s="48"/>
      <c r="AC122" s="48"/>
    </row>
    <row r="123" spans="1:29" ht="13.8">
      <c r="A123" s="31" t="s">
        <v>403</v>
      </c>
      <c r="B123" s="113" t="s">
        <v>404</v>
      </c>
      <c r="C123" s="58">
        <v>26</v>
      </c>
      <c r="D123" s="117"/>
      <c r="E123" s="77">
        <v>984953625</v>
      </c>
      <c r="F123" s="42"/>
      <c r="G123" s="42"/>
      <c r="H123" s="42"/>
      <c r="I123" s="42"/>
      <c r="J123" s="42"/>
      <c r="K123" s="42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6"/>
      <c r="AB123" s="48"/>
      <c r="AC123" s="48"/>
    </row>
    <row r="124" spans="1:29" ht="13.8">
      <c r="A124" s="31" t="s">
        <v>407</v>
      </c>
      <c r="B124" s="119" t="s">
        <v>408</v>
      </c>
      <c r="C124" s="58">
        <v>28</v>
      </c>
      <c r="D124" s="117"/>
      <c r="E124" s="77">
        <v>983331337</v>
      </c>
      <c r="F124" s="42"/>
      <c r="G124" s="42"/>
      <c r="H124" s="42"/>
      <c r="I124" s="42"/>
      <c r="J124" s="42"/>
      <c r="K124" s="42"/>
      <c r="L124" s="44"/>
      <c r="M124" s="42" t="s">
        <v>27</v>
      </c>
      <c r="N124" s="44"/>
      <c r="O124" s="44"/>
      <c r="P124" s="42" t="s">
        <v>27</v>
      </c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6"/>
      <c r="AB124" s="48"/>
      <c r="AC124" s="48"/>
    </row>
    <row r="125" spans="1:29" ht="13.8">
      <c r="A125" s="31" t="s">
        <v>411</v>
      </c>
      <c r="B125" s="113" t="s">
        <v>412</v>
      </c>
      <c r="C125" s="58">
        <v>27</v>
      </c>
      <c r="D125" s="117"/>
      <c r="E125" s="77">
        <v>923810376</v>
      </c>
      <c r="F125" s="42"/>
      <c r="G125" s="42"/>
      <c r="H125" s="42"/>
      <c r="I125" s="42"/>
      <c r="J125" s="42"/>
      <c r="K125" s="42"/>
      <c r="L125" s="44"/>
      <c r="M125" s="44"/>
      <c r="N125" s="44"/>
      <c r="O125" s="44"/>
      <c r="P125" s="42" t="s">
        <v>27</v>
      </c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6"/>
      <c r="AB125" s="48"/>
      <c r="AC125" s="48"/>
    </row>
    <row r="126" spans="1:29" ht="13.8">
      <c r="A126" s="31" t="s">
        <v>415</v>
      </c>
      <c r="B126" s="113" t="s">
        <v>416</v>
      </c>
      <c r="C126" s="58">
        <v>22</v>
      </c>
      <c r="D126" s="117"/>
      <c r="E126" s="77">
        <v>902286345</v>
      </c>
      <c r="F126" s="42"/>
      <c r="G126" s="42"/>
      <c r="H126" s="42"/>
      <c r="I126" s="42"/>
      <c r="J126" s="42"/>
      <c r="K126" s="42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6"/>
      <c r="AB126" s="48"/>
      <c r="AC126" s="48"/>
    </row>
    <row r="127" spans="1:29" ht="13.8">
      <c r="A127" s="31" t="s">
        <v>419</v>
      </c>
      <c r="B127" s="113" t="s">
        <v>420</v>
      </c>
      <c r="C127" s="58">
        <v>16</v>
      </c>
      <c r="D127" s="117"/>
      <c r="E127" s="77">
        <v>919528145</v>
      </c>
      <c r="F127" s="44"/>
      <c r="G127" s="42"/>
      <c r="H127" s="42"/>
      <c r="I127" s="42"/>
      <c r="J127" s="42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6"/>
      <c r="AB127" s="48"/>
      <c r="AC127" s="48"/>
    </row>
    <row r="128" spans="1:29" ht="13.8">
      <c r="A128" s="31" t="s">
        <v>424</v>
      </c>
      <c r="B128" s="113" t="s">
        <v>425</v>
      </c>
      <c r="C128" s="58">
        <v>27</v>
      </c>
      <c r="D128" s="117"/>
      <c r="E128" s="77">
        <v>948229267</v>
      </c>
      <c r="F128" s="44"/>
      <c r="G128" s="42"/>
      <c r="H128" s="42"/>
      <c r="I128" s="42"/>
      <c r="J128" s="42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6"/>
      <c r="AB128" s="48"/>
      <c r="AC128" s="48"/>
    </row>
    <row r="129" spans="1:29" ht="13.8">
      <c r="A129" s="31" t="s">
        <v>429</v>
      </c>
      <c r="B129" s="120" t="s">
        <v>430</v>
      </c>
      <c r="C129" s="121">
        <v>26</v>
      </c>
      <c r="D129" s="122"/>
      <c r="E129" s="123">
        <v>969110798</v>
      </c>
      <c r="F129" s="44"/>
      <c r="G129" s="42"/>
      <c r="H129" s="42"/>
      <c r="I129" s="42"/>
      <c r="J129" s="42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6"/>
      <c r="AB129" s="48"/>
      <c r="AC129" s="48"/>
    </row>
    <row r="130" spans="1:29" ht="13.8">
      <c r="A130" s="31" t="s">
        <v>433</v>
      </c>
      <c r="B130" s="108" t="s">
        <v>434</v>
      </c>
      <c r="C130" s="112">
        <v>19</v>
      </c>
      <c r="D130" s="114"/>
      <c r="E130" s="124">
        <v>927680440</v>
      </c>
      <c r="F130" s="75"/>
      <c r="G130" s="44"/>
      <c r="H130" s="44"/>
      <c r="I130" s="44"/>
      <c r="J130" s="42"/>
      <c r="K130" s="44"/>
      <c r="L130" s="42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6"/>
      <c r="AB130" s="48"/>
      <c r="AC130" s="48"/>
    </row>
    <row r="131" spans="1:29" ht="13.8">
      <c r="A131" s="31" t="s">
        <v>437</v>
      </c>
      <c r="B131" s="108" t="s">
        <v>438</v>
      </c>
      <c r="C131" s="112">
        <v>30</v>
      </c>
      <c r="D131" s="114"/>
      <c r="E131" s="124">
        <v>952357762</v>
      </c>
      <c r="F131" s="75"/>
      <c r="G131" s="44"/>
      <c r="H131" s="44"/>
      <c r="I131" s="44"/>
      <c r="J131" s="42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6"/>
      <c r="AB131" s="48"/>
      <c r="AC131" s="48"/>
    </row>
    <row r="132" spans="1:29" ht="13.8">
      <c r="A132" s="31" t="s">
        <v>441</v>
      </c>
      <c r="B132" s="108" t="s">
        <v>442</v>
      </c>
      <c r="C132" s="112">
        <v>31</v>
      </c>
      <c r="D132" s="114"/>
      <c r="E132" s="124">
        <v>925314422</v>
      </c>
      <c r="F132" s="75"/>
      <c r="G132" s="44"/>
      <c r="H132" s="44"/>
      <c r="I132" s="44"/>
      <c r="J132" s="42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6"/>
      <c r="AB132" s="48"/>
      <c r="AC132" s="48"/>
    </row>
    <row r="133" spans="1:29" ht="13.8">
      <c r="A133" s="31" t="s">
        <v>445</v>
      </c>
      <c r="B133" s="108" t="s">
        <v>446</v>
      </c>
      <c r="C133" s="112">
        <v>24</v>
      </c>
      <c r="D133" s="114"/>
      <c r="E133" s="124">
        <v>905132606</v>
      </c>
      <c r="F133" s="75"/>
      <c r="G133" s="44"/>
      <c r="H133" s="44"/>
      <c r="I133" s="44"/>
      <c r="J133" s="42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6"/>
      <c r="AB133" s="48"/>
      <c r="AC133" s="48"/>
    </row>
    <row r="134" spans="1:29" ht="13.8">
      <c r="A134" s="31" t="s">
        <v>449</v>
      </c>
      <c r="B134" s="108" t="s">
        <v>450</v>
      </c>
      <c r="C134" s="112">
        <v>18</v>
      </c>
      <c r="D134" s="114"/>
      <c r="E134" s="124">
        <v>911402218</v>
      </c>
      <c r="F134" s="75"/>
      <c r="G134" s="44"/>
      <c r="H134" s="44"/>
      <c r="I134" s="44"/>
      <c r="J134" s="42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6"/>
      <c r="AB134" s="48"/>
      <c r="AC134" s="48"/>
    </row>
    <row r="135" spans="1:29" ht="13.8">
      <c r="A135" s="31" t="s">
        <v>453</v>
      </c>
      <c r="B135" s="108" t="s">
        <v>454</v>
      </c>
      <c r="C135" s="112">
        <v>28</v>
      </c>
      <c r="D135" s="114"/>
      <c r="E135" s="124">
        <v>998802030</v>
      </c>
      <c r="F135" s="75"/>
      <c r="G135" s="44"/>
      <c r="H135" s="44"/>
      <c r="I135" s="44"/>
      <c r="J135" s="42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6"/>
      <c r="AB135" s="48"/>
      <c r="AC135" s="48"/>
    </row>
    <row r="136" spans="1:29" ht="13.8">
      <c r="A136" s="31" t="s">
        <v>455</v>
      </c>
      <c r="B136" s="108" t="s">
        <v>456</v>
      </c>
      <c r="C136" s="112">
        <v>24</v>
      </c>
      <c r="D136" s="114"/>
      <c r="E136" s="124">
        <v>933120415</v>
      </c>
      <c r="F136" s="75"/>
      <c r="G136" s="44"/>
      <c r="H136" s="44"/>
      <c r="I136" s="44"/>
      <c r="J136" s="42"/>
      <c r="K136" s="44"/>
      <c r="L136" s="42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6"/>
      <c r="AB136" s="48"/>
      <c r="AC136" s="48"/>
    </row>
    <row r="137" spans="1:29" ht="13.8">
      <c r="A137" s="31" t="s">
        <v>459</v>
      </c>
      <c r="B137" s="108" t="s">
        <v>460</v>
      </c>
      <c r="C137" s="112">
        <v>26</v>
      </c>
      <c r="D137" s="114"/>
      <c r="E137" s="124">
        <v>978780485</v>
      </c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6"/>
      <c r="AB137" s="48"/>
      <c r="AC137" s="48"/>
    </row>
    <row r="138" spans="1:29" ht="13.8">
      <c r="A138" s="31" t="s">
        <v>463</v>
      </c>
      <c r="B138" s="125" t="s">
        <v>464</v>
      </c>
      <c r="C138" s="126">
        <v>22</v>
      </c>
      <c r="D138" s="118"/>
      <c r="E138" s="127">
        <v>976377474</v>
      </c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6"/>
      <c r="AB138" s="48"/>
      <c r="AC138" s="48"/>
    </row>
    <row r="139" spans="1:29" ht="13.8">
      <c r="A139" s="31" t="s">
        <v>467</v>
      </c>
      <c r="B139" s="113" t="s">
        <v>468</v>
      </c>
      <c r="C139" s="58">
        <v>27</v>
      </c>
      <c r="D139" s="128"/>
      <c r="E139" s="77">
        <v>925087703</v>
      </c>
      <c r="F139" s="75"/>
      <c r="G139" s="75"/>
      <c r="H139" s="129" t="s">
        <v>27</v>
      </c>
      <c r="I139" s="129" t="s">
        <v>27</v>
      </c>
      <c r="J139" s="129" t="s">
        <v>27</v>
      </c>
      <c r="K139" s="129" t="s">
        <v>27</v>
      </c>
      <c r="L139" s="129" t="s">
        <v>27</v>
      </c>
      <c r="M139" s="129" t="s">
        <v>27</v>
      </c>
      <c r="N139" s="129" t="s">
        <v>112</v>
      </c>
      <c r="O139" s="129" t="s">
        <v>112</v>
      </c>
      <c r="P139" s="42" t="s">
        <v>27</v>
      </c>
      <c r="Q139" s="42" t="s">
        <v>27</v>
      </c>
      <c r="R139" s="44"/>
      <c r="S139" s="42" t="s">
        <v>27</v>
      </c>
      <c r="T139" s="42" t="s">
        <v>27</v>
      </c>
      <c r="U139" s="44"/>
      <c r="V139" s="44"/>
      <c r="W139" s="44"/>
      <c r="X139" s="44"/>
      <c r="Y139" s="44"/>
      <c r="Z139" s="44"/>
      <c r="AA139" s="46"/>
      <c r="AB139" s="48"/>
      <c r="AC139" s="48"/>
    </row>
    <row r="140" spans="1:29" ht="13.8">
      <c r="A140" s="31" t="s">
        <v>471</v>
      </c>
      <c r="B140" s="113" t="s">
        <v>472</v>
      </c>
      <c r="C140" s="58">
        <v>24</v>
      </c>
      <c r="D140" s="128"/>
      <c r="E140" s="77">
        <v>944290991</v>
      </c>
      <c r="F140" s="75"/>
      <c r="G140" s="75"/>
      <c r="H140" s="129" t="s">
        <v>27</v>
      </c>
      <c r="I140" s="75"/>
      <c r="J140" s="75"/>
      <c r="K140" s="75"/>
      <c r="L140" s="129"/>
      <c r="M140" s="129"/>
      <c r="N140" s="75"/>
      <c r="O140" s="75"/>
      <c r="P140" s="75"/>
      <c r="Q140" s="75"/>
      <c r="R140" s="75"/>
      <c r="S140" s="44"/>
      <c r="T140" s="44"/>
      <c r="U140" s="44"/>
      <c r="V140" s="44"/>
      <c r="W140" s="44"/>
      <c r="X140" s="44"/>
      <c r="Y140" s="44"/>
      <c r="Z140" s="44"/>
      <c r="AA140" s="46"/>
      <c r="AB140" s="48"/>
      <c r="AC140" s="48"/>
    </row>
    <row r="141" spans="1:29" ht="13.8">
      <c r="A141" s="31" t="s">
        <v>473</v>
      </c>
      <c r="B141" s="120" t="s">
        <v>474</v>
      </c>
      <c r="C141" s="121">
        <v>23</v>
      </c>
      <c r="D141" s="130"/>
      <c r="E141" s="123">
        <v>919987147</v>
      </c>
      <c r="F141" s="131"/>
      <c r="G141" s="131"/>
      <c r="H141" s="131"/>
      <c r="I141" s="131"/>
      <c r="J141" s="131"/>
      <c r="K141" s="131"/>
      <c r="L141" s="132"/>
      <c r="M141" s="131"/>
      <c r="N141" s="131"/>
      <c r="O141" s="131"/>
      <c r="P141" s="131"/>
      <c r="Q141" s="131"/>
      <c r="R141" s="131"/>
      <c r="S141" s="107"/>
      <c r="T141" s="107"/>
      <c r="U141" s="107"/>
      <c r="V141" s="107"/>
      <c r="W141" s="107"/>
      <c r="X141" s="107"/>
      <c r="Y141" s="107"/>
      <c r="Z141" s="107"/>
      <c r="AA141" s="133"/>
      <c r="AB141" s="48"/>
      <c r="AC141" s="48"/>
    </row>
    <row r="142" spans="1:29" ht="13.8">
      <c r="A142" s="31" t="s">
        <v>477</v>
      </c>
      <c r="B142" s="108" t="s">
        <v>478</v>
      </c>
      <c r="C142" s="112">
        <v>30</v>
      </c>
      <c r="D142" s="114"/>
      <c r="E142" s="124">
        <v>939662380</v>
      </c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4"/>
      <c r="AB142" s="48"/>
      <c r="AC142" s="48"/>
    </row>
    <row r="143" spans="1:29" ht="13.8">
      <c r="A143" s="31" t="s">
        <v>481</v>
      </c>
      <c r="B143" s="108" t="s">
        <v>482</v>
      </c>
      <c r="C143" s="112">
        <v>25</v>
      </c>
      <c r="D143" s="114"/>
      <c r="E143" s="124">
        <v>965461672</v>
      </c>
      <c r="F143" s="131"/>
      <c r="G143" s="132" t="s">
        <v>27</v>
      </c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2"/>
      <c r="Y143" s="132"/>
      <c r="Z143" s="132"/>
      <c r="AA143" s="134"/>
      <c r="AB143" s="48"/>
      <c r="AC143" s="48"/>
    </row>
    <row r="144" spans="1:29" ht="13.8">
      <c r="A144" s="31" t="s">
        <v>485</v>
      </c>
      <c r="B144" s="108" t="s">
        <v>486</v>
      </c>
      <c r="C144" s="112">
        <v>25</v>
      </c>
      <c r="D144" s="114"/>
      <c r="E144" s="124">
        <v>929298182</v>
      </c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4"/>
      <c r="AB144" s="48"/>
      <c r="AC144" s="48"/>
    </row>
    <row r="145" spans="1:29" ht="13.8">
      <c r="A145" s="31" t="s">
        <v>487</v>
      </c>
      <c r="B145" s="108" t="s">
        <v>488</v>
      </c>
      <c r="C145" s="112">
        <v>16</v>
      </c>
      <c r="D145" s="114"/>
      <c r="E145" s="124">
        <v>919528145</v>
      </c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4"/>
      <c r="AB145" s="48"/>
      <c r="AC145" s="48"/>
    </row>
    <row r="146" spans="1:29" ht="13.8">
      <c r="A146" s="31" t="s">
        <v>491</v>
      </c>
      <c r="B146" s="108" t="s">
        <v>492</v>
      </c>
      <c r="C146" s="112">
        <v>25</v>
      </c>
      <c r="D146" s="114"/>
      <c r="E146" s="124">
        <v>937646799</v>
      </c>
      <c r="F146" s="131"/>
      <c r="G146" s="132" t="s">
        <v>27</v>
      </c>
      <c r="H146" s="132" t="s">
        <v>19</v>
      </c>
      <c r="I146" s="132" t="s">
        <v>27</v>
      </c>
      <c r="J146" s="132" t="s">
        <v>27</v>
      </c>
      <c r="K146" s="131"/>
      <c r="L146" s="131"/>
      <c r="M146" s="132" t="s">
        <v>27</v>
      </c>
      <c r="N146" s="131"/>
      <c r="O146" s="132" t="s">
        <v>27</v>
      </c>
      <c r="P146" s="131"/>
      <c r="Q146" s="131"/>
      <c r="R146" s="132" t="s">
        <v>27</v>
      </c>
      <c r="S146" s="131"/>
      <c r="T146" s="131"/>
      <c r="U146" s="131"/>
      <c r="V146" s="131"/>
      <c r="W146" s="131"/>
      <c r="X146" s="131"/>
      <c r="Y146" s="131"/>
      <c r="Z146" s="131"/>
      <c r="AA146" s="134"/>
      <c r="AB146" s="48"/>
      <c r="AC146" s="48"/>
    </row>
    <row r="147" spans="1:29" ht="13.8">
      <c r="A147" s="31" t="s">
        <v>495</v>
      </c>
      <c r="B147" s="108" t="s">
        <v>496</v>
      </c>
      <c r="C147" s="112">
        <v>28</v>
      </c>
      <c r="D147" s="114"/>
      <c r="E147" s="124">
        <v>923747202</v>
      </c>
      <c r="F147" s="131"/>
      <c r="G147" s="132" t="s">
        <v>27</v>
      </c>
      <c r="H147" s="131"/>
      <c r="I147" s="132" t="s">
        <v>27</v>
      </c>
      <c r="J147" s="132" t="s">
        <v>27</v>
      </c>
      <c r="K147" s="131"/>
      <c r="L147" s="131"/>
      <c r="M147" s="131"/>
      <c r="N147" s="131"/>
      <c r="O147" s="131"/>
      <c r="P147" s="131"/>
      <c r="Q147" s="132" t="s">
        <v>27</v>
      </c>
      <c r="R147" s="131"/>
      <c r="S147" s="132" t="s">
        <v>27</v>
      </c>
      <c r="T147" s="131"/>
      <c r="U147" s="131"/>
      <c r="V147" s="131"/>
      <c r="W147" s="131"/>
      <c r="X147" s="132"/>
      <c r="Y147" s="132"/>
      <c r="Z147" s="132"/>
      <c r="AA147" s="134"/>
      <c r="AB147" s="48"/>
      <c r="AC147" s="48"/>
    </row>
    <row r="148" spans="1:29" ht="13.8">
      <c r="A148" s="31" t="s">
        <v>499</v>
      </c>
      <c r="B148" s="108" t="s">
        <v>500</v>
      </c>
      <c r="C148" s="112">
        <v>18</v>
      </c>
      <c r="D148" s="114"/>
      <c r="E148" s="124">
        <v>932402287</v>
      </c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4"/>
      <c r="AB148" s="48"/>
      <c r="AC148" s="48"/>
    </row>
    <row r="149" spans="1:29" ht="13.8">
      <c r="A149" s="31" t="s">
        <v>501</v>
      </c>
      <c r="B149" s="108" t="s">
        <v>503</v>
      </c>
      <c r="C149" s="112">
        <v>17</v>
      </c>
      <c r="D149" s="114"/>
      <c r="E149" s="124">
        <v>980119230</v>
      </c>
      <c r="F149" s="131"/>
      <c r="G149" s="131"/>
      <c r="H149" s="131"/>
      <c r="I149" s="131"/>
      <c r="J149" s="131"/>
      <c r="K149" s="132" t="s">
        <v>27</v>
      </c>
      <c r="L149" s="131"/>
      <c r="M149" s="132" t="s">
        <v>27</v>
      </c>
      <c r="N149" s="131"/>
      <c r="O149" s="131"/>
      <c r="P149" s="132" t="s">
        <v>27</v>
      </c>
      <c r="Q149" s="132" t="s">
        <v>27</v>
      </c>
      <c r="R149" s="132" t="s">
        <v>27</v>
      </c>
      <c r="S149" s="131"/>
      <c r="T149" s="131"/>
      <c r="U149" s="131"/>
      <c r="V149" s="131"/>
      <c r="W149" s="131"/>
      <c r="X149" s="131"/>
      <c r="Y149" s="131"/>
      <c r="Z149" s="131"/>
      <c r="AA149" s="134"/>
      <c r="AB149" s="48"/>
      <c r="AC149" s="48"/>
    </row>
    <row r="150" spans="1:29" ht="13.8">
      <c r="A150" s="31" t="s">
        <v>505</v>
      </c>
      <c r="B150" s="108" t="s">
        <v>506</v>
      </c>
      <c r="C150" s="112">
        <v>39</v>
      </c>
      <c r="D150" s="114"/>
      <c r="E150" s="124">
        <v>924001322</v>
      </c>
      <c r="F150" s="131"/>
      <c r="G150" s="132" t="s">
        <v>27</v>
      </c>
      <c r="H150" s="131"/>
      <c r="I150" s="132" t="s">
        <v>27</v>
      </c>
      <c r="J150" s="132" t="s">
        <v>27</v>
      </c>
      <c r="K150" s="132" t="s">
        <v>27</v>
      </c>
      <c r="L150" s="131"/>
      <c r="M150" s="132" t="s">
        <v>27</v>
      </c>
      <c r="N150" s="131"/>
      <c r="O150" s="132" t="s">
        <v>27</v>
      </c>
      <c r="P150" s="132" t="s">
        <v>27</v>
      </c>
      <c r="Q150" s="131"/>
      <c r="R150" s="132" t="s">
        <v>27</v>
      </c>
      <c r="S150" s="131"/>
      <c r="T150" s="131"/>
      <c r="U150" s="131"/>
      <c r="V150" s="131"/>
      <c r="W150" s="132" t="s">
        <v>27</v>
      </c>
      <c r="X150" s="132" t="s">
        <v>27</v>
      </c>
      <c r="Y150" s="132" t="s">
        <v>27</v>
      </c>
      <c r="Z150" s="131"/>
      <c r="AA150" s="134"/>
      <c r="AB150" s="48"/>
      <c r="AC150" s="48"/>
    </row>
    <row r="151" spans="1:29" ht="13.8">
      <c r="A151" s="31" t="s">
        <v>509</v>
      </c>
      <c r="B151" s="136" t="s">
        <v>510</v>
      </c>
      <c r="C151" s="112">
        <v>18</v>
      </c>
      <c r="D151" s="114"/>
      <c r="E151" s="124">
        <v>985906681</v>
      </c>
      <c r="F151" s="131"/>
      <c r="G151" s="131"/>
      <c r="H151" s="132" t="s">
        <v>27</v>
      </c>
      <c r="I151" s="132" t="s">
        <v>27</v>
      </c>
      <c r="J151" s="132" t="s">
        <v>27</v>
      </c>
      <c r="K151" s="132" t="s">
        <v>27</v>
      </c>
      <c r="L151" s="131"/>
      <c r="M151" s="132" t="s">
        <v>27</v>
      </c>
      <c r="N151" s="131"/>
      <c r="O151" s="132" t="s">
        <v>27</v>
      </c>
      <c r="P151" s="132" t="s">
        <v>27</v>
      </c>
      <c r="Q151" s="131"/>
      <c r="R151" s="132" t="s">
        <v>27</v>
      </c>
      <c r="S151" s="131"/>
      <c r="T151" s="131"/>
      <c r="U151" s="131"/>
      <c r="V151" s="131"/>
      <c r="W151" s="131"/>
      <c r="X151" s="132"/>
      <c r="Y151" s="132"/>
      <c r="Z151" s="132"/>
      <c r="AA151" s="134"/>
      <c r="AB151" s="48"/>
      <c r="AC151" s="48"/>
    </row>
    <row r="152" spans="1:29" ht="13.8">
      <c r="A152" s="31" t="s">
        <v>511</v>
      </c>
      <c r="B152" s="108" t="s">
        <v>512</v>
      </c>
      <c r="C152" s="112">
        <v>30</v>
      </c>
      <c r="D152" s="114"/>
      <c r="E152" s="124">
        <v>918687551</v>
      </c>
      <c r="F152" s="131"/>
      <c r="G152" s="132" t="s">
        <v>27</v>
      </c>
      <c r="H152" s="132" t="s">
        <v>27</v>
      </c>
      <c r="I152" s="132" t="s">
        <v>27</v>
      </c>
      <c r="J152" s="132" t="s">
        <v>27</v>
      </c>
      <c r="K152" s="132" t="s">
        <v>27</v>
      </c>
      <c r="L152" s="131"/>
      <c r="M152" s="132" t="s">
        <v>27</v>
      </c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4"/>
      <c r="AB152" s="48"/>
      <c r="AC152" s="48"/>
    </row>
    <row r="153" spans="1:29" ht="13.8">
      <c r="A153" s="31" t="s">
        <v>515</v>
      </c>
      <c r="B153" s="125" t="s">
        <v>516</v>
      </c>
      <c r="C153" s="118"/>
      <c r="D153" s="118"/>
      <c r="E153" s="127">
        <v>902926444</v>
      </c>
      <c r="F153" s="131"/>
      <c r="G153" s="131"/>
      <c r="H153" s="131"/>
      <c r="I153" s="323" t="s">
        <v>1</v>
      </c>
      <c r="J153" s="131"/>
      <c r="K153" s="131"/>
      <c r="L153" s="131"/>
      <c r="M153" s="131"/>
      <c r="N153" s="132" t="s">
        <v>27</v>
      </c>
      <c r="O153" s="131"/>
      <c r="P153" s="131"/>
      <c r="Q153" s="131"/>
      <c r="R153" s="132" t="s">
        <v>27</v>
      </c>
      <c r="S153" s="131"/>
      <c r="T153" s="131"/>
      <c r="U153" s="131"/>
      <c r="V153" s="131"/>
      <c r="W153" s="131"/>
      <c r="X153" s="132" t="s">
        <v>27</v>
      </c>
      <c r="Y153" s="132" t="s">
        <v>27</v>
      </c>
      <c r="Z153" s="131"/>
      <c r="AA153" s="134"/>
      <c r="AB153" s="48"/>
      <c r="AC153" s="48"/>
    </row>
    <row r="154" spans="1:29" ht="13.8">
      <c r="A154" s="31" t="s">
        <v>519</v>
      </c>
      <c r="B154" s="113" t="s">
        <v>520</v>
      </c>
      <c r="C154" s="58">
        <v>26</v>
      </c>
      <c r="D154" s="117"/>
      <c r="E154" s="77">
        <v>967248673</v>
      </c>
      <c r="F154" s="131"/>
      <c r="G154" s="131"/>
      <c r="H154" s="131"/>
      <c r="I154" s="314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4"/>
      <c r="AB154" s="48"/>
      <c r="AC154" s="48"/>
    </row>
    <row r="155" spans="1:29" ht="13.8">
      <c r="A155" s="31" t="s">
        <v>523</v>
      </c>
      <c r="B155" s="113" t="s">
        <v>524</v>
      </c>
      <c r="C155" s="58">
        <v>28</v>
      </c>
      <c r="D155" s="117"/>
      <c r="E155" s="77">
        <v>925070841</v>
      </c>
      <c r="F155" s="131"/>
      <c r="G155" s="131"/>
      <c r="H155" s="132" t="s">
        <v>27</v>
      </c>
      <c r="I155" s="132" t="s">
        <v>27</v>
      </c>
      <c r="J155" s="132" t="s">
        <v>27</v>
      </c>
      <c r="K155" s="132" t="s">
        <v>27</v>
      </c>
      <c r="L155" s="132" t="s">
        <v>27</v>
      </c>
      <c r="M155" s="132" t="s">
        <v>27</v>
      </c>
      <c r="N155" s="132" t="s">
        <v>27</v>
      </c>
      <c r="O155" s="132" t="s">
        <v>27</v>
      </c>
      <c r="P155" s="132" t="s">
        <v>27</v>
      </c>
      <c r="Q155" s="132" t="s">
        <v>27</v>
      </c>
      <c r="R155" s="132" t="s">
        <v>27</v>
      </c>
      <c r="S155" s="132" t="s">
        <v>27</v>
      </c>
      <c r="T155" s="132" t="s">
        <v>27</v>
      </c>
      <c r="U155" s="131"/>
      <c r="V155" s="132" t="s">
        <v>27</v>
      </c>
      <c r="W155" s="132" t="s">
        <v>27</v>
      </c>
      <c r="X155" s="132" t="s">
        <v>27</v>
      </c>
      <c r="Y155" s="132" t="s">
        <v>27</v>
      </c>
      <c r="Z155" s="131"/>
      <c r="AA155" s="134"/>
      <c r="AB155" s="48"/>
      <c r="AC155" s="48"/>
    </row>
    <row r="156" spans="1:29" ht="13.8">
      <c r="A156" s="31" t="s">
        <v>525</v>
      </c>
      <c r="B156" s="113" t="s">
        <v>526</v>
      </c>
      <c r="C156" s="58">
        <v>18</v>
      </c>
      <c r="D156" s="117"/>
      <c r="E156" s="77">
        <v>985396524</v>
      </c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2"/>
      <c r="Y156" s="132"/>
      <c r="Z156" s="132"/>
      <c r="AA156" s="134"/>
      <c r="AB156" s="48"/>
      <c r="AC156" s="48"/>
    </row>
    <row r="157" spans="1:29" ht="13.8">
      <c r="A157" s="31" t="s">
        <v>529</v>
      </c>
      <c r="B157" s="113" t="s">
        <v>530</v>
      </c>
      <c r="C157" s="58">
        <v>18</v>
      </c>
      <c r="D157" s="117"/>
      <c r="E157" s="77">
        <v>924185854</v>
      </c>
      <c r="F157" s="131"/>
      <c r="G157" s="131"/>
      <c r="H157" s="131"/>
      <c r="I157" s="132" t="s">
        <v>27</v>
      </c>
      <c r="J157" s="132" t="s">
        <v>27</v>
      </c>
      <c r="K157" s="131"/>
      <c r="L157" s="131"/>
      <c r="M157" s="131"/>
      <c r="N157" s="131"/>
      <c r="O157" s="131"/>
      <c r="P157" s="131"/>
      <c r="Q157" s="132" t="s">
        <v>27</v>
      </c>
      <c r="R157" s="131"/>
      <c r="S157" s="131"/>
      <c r="T157" s="131"/>
      <c r="U157" s="131"/>
      <c r="V157" s="131"/>
      <c r="W157" s="131"/>
      <c r="X157" s="132"/>
      <c r="Y157" s="132"/>
      <c r="Z157" s="132"/>
      <c r="AA157" s="134"/>
      <c r="AB157" s="48"/>
      <c r="AC157" s="48"/>
    </row>
    <row r="158" spans="1:29" ht="13.8">
      <c r="A158" s="31" t="s">
        <v>532</v>
      </c>
      <c r="B158" s="113" t="s">
        <v>534</v>
      </c>
      <c r="C158" s="117"/>
      <c r="D158" s="117"/>
      <c r="E158" s="77">
        <v>995465318</v>
      </c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4"/>
      <c r="AB158" s="48"/>
      <c r="AC158" s="48"/>
    </row>
    <row r="159" spans="1:29" ht="13.8">
      <c r="A159" s="31" t="s">
        <v>535</v>
      </c>
      <c r="B159" s="113" t="s">
        <v>536</v>
      </c>
      <c r="C159" s="58">
        <v>23</v>
      </c>
      <c r="D159" s="117"/>
      <c r="E159" s="77">
        <v>947142671</v>
      </c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4"/>
      <c r="AB159" s="48"/>
      <c r="AC159" s="48"/>
    </row>
    <row r="160" spans="1:29" ht="13.8">
      <c r="A160" s="31" t="s">
        <v>539</v>
      </c>
      <c r="B160" s="113" t="s">
        <v>540</v>
      </c>
      <c r="C160" s="58">
        <v>18</v>
      </c>
      <c r="D160" s="117"/>
      <c r="E160" s="77">
        <v>969387477</v>
      </c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4"/>
      <c r="AB160" s="48"/>
      <c r="AC160" s="48"/>
    </row>
    <row r="161" spans="1:29" ht="13.8">
      <c r="A161" s="31" t="s">
        <v>541</v>
      </c>
      <c r="B161" s="113" t="s">
        <v>542</v>
      </c>
      <c r="C161" s="58">
        <v>30</v>
      </c>
      <c r="D161" s="117"/>
      <c r="E161" s="77">
        <v>946038276</v>
      </c>
      <c r="F161" s="131"/>
      <c r="G161" s="132" t="s">
        <v>27</v>
      </c>
      <c r="H161" s="132" t="s">
        <v>27</v>
      </c>
      <c r="I161" s="131"/>
      <c r="J161" s="132" t="s">
        <v>27</v>
      </c>
      <c r="K161" s="131"/>
      <c r="L161" s="132" t="s">
        <v>27</v>
      </c>
      <c r="M161" s="132" t="s">
        <v>27</v>
      </c>
      <c r="N161" s="132" t="s">
        <v>27</v>
      </c>
      <c r="O161" s="132" t="s">
        <v>27</v>
      </c>
      <c r="P161" s="132" t="s">
        <v>27</v>
      </c>
      <c r="Q161" s="132" t="s">
        <v>27</v>
      </c>
      <c r="R161" s="131"/>
      <c r="S161" s="131"/>
      <c r="T161" s="132" t="s">
        <v>27</v>
      </c>
      <c r="U161" s="131"/>
      <c r="V161" s="131"/>
      <c r="W161" s="131"/>
      <c r="X161" s="132" t="s">
        <v>27</v>
      </c>
      <c r="Y161" s="131"/>
      <c r="Z161" s="131"/>
      <c r="AA161" s="134"/>
      <c r="AB161" s="48"/>
      <c r="AC161" s="48"/>
    </row>
    <row r="162" spans="1:29" ht="13.8">
      <c r="A162" s="31" t="s">
        <v>545</v>
      </c>
      <c r="B162" s="113" t="s">
        <v>546</v>
      </c>
      <c r="C162" s="58">
        <v>23</v>
      </c>
      <c r="D162" s="117"/>
      <c r="E162" s="77">
        <v>953124226</v>
      </c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4"/>
      <c r="AB162" s="48"/>
      <c r="AC162" s="48"/>
    </row>
    <row r="163" spans="1:29" ht="13.8">
      <c r="A163" s="31" t="s">
        <v>549</v>
      </c>
      <c r="B163" s="113" t="s">
        <v>550</v>
      </c>
      <c r="C163" s="58">
        <v>20</v>
      </c>
      <c r="D163" s="117"/>
      <c r="E163" s="77">
        <v>993446515</v>
      </c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4"/>
      <c r="AB163" s="137"/>
      <c r="AC163" s="137"/>
    </row>
    <row r="164" spans="1:29" ht="13.8">
      <c r="A164" s="31" t="s">
        <v>553</v>
      </c>
      <c r="B164" s="113" t="s">
        <v>554</v>
      </c>
      <c r="C164" s="58">
        <v>21</v>
      </c>
      <c r="D164" s="117"/>
      <c r="E164" s="77">
        <v>918707103</v>
      </c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4"/>
      <c r="AB164" s="48"/>
      <c r="AC164" s="48"/>
    </row>
    <row r="165" spans="1:29" ht="13.8">
      <c r="A165" s="31" t="s">
        <v>555</v>
      </c>
      <c r="B165" s="113" t="s">
        <v>556</v>
      </c>
      <c r="C165" s="58">
        <v>23</v>
      </c>
      <c r="D165" s="117"/>
      <c r="E165" s="77">
        <v>997354251</v>
      </c>
      <c r="F165" s="131"/>
      <c r="G165" s="132" t="s">
        <v>27</v>
      </c>
      <c r="H165" s="131"/>
      <c r="I165" s="131"/>
      <c r="J165" s="131"/>
      <c r="K165" s="132" t="s">
        <v>27</v>
      </c>
      <c r="L165" s="131"/>
      <c r="M165" s="132" t="s">
        <v>27</v>
      </c>
      <c r="N165" s="131"/>
      <c r="O165" s="132" t="s">
        <v>27</v>
      </c>
      <c r="P165" s="132" t="s">
        <v>27</v>
      </c>
      <c r="Q165" s="131"/>
      <c r="R165" s="132" t="s">
        <v>27</v>
      </c>
      <c r="S165" s="131"/>
      <c r="T165" s="131"/>
      <c r="U165" s="131"/>
      <c r="V165" s="131"/>
      <c r="W165" s="132" t="s">
        <v>27</v>
      </c>
      <c r="X165" s="131"/>
      <c r="Y165" s="132" t="s">
        <v>27</v>
      </c>
      <c r="Z165" s="131"/>
      <c r="AA165" s="134"/>
      <c r="AB165" s="48"/>
      <c r="AC165" s="48"/>
    </row>
    <row r="166" spans="1:29" ht="13.8">
      <c r="A166" s="31" t="s">
        <v>559</v>
      </c>
      <c r="B166" s="113" t="s">
        <v>560</v>
      </c>
      <c r="C166" s="58">
        <v>39</v>
      </c>
      <c r="D166" s="117"/>
      <c r="E166" s="77">
        <v>913661401</v>
      </c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4"/>
      <c r="AB166" s="48"/>
      <c r="AC166" s="48"/>
    </row>
    <row r="167" spans="1:29" ht="13.8">
      <c r="A167" s="31" t="s">
        <v>562</v>
      </c>
      <c r="B167" s="113" t="s">
        <v>564</v>
      </c>
      <c r="C167" s="58">
        <v>14</v>
      </c>
      <c r="D167" s="117"/>
      <c r="E167" s="77">
        <v>913661401</v>
      </c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4"/>
      <c r="AB167" s="48"/>
      <c r="AC167" s="48"/>
    </row>
    <row r="168" spans="1:29" ht="13.8">
      <c r="A168" s="31" t="s">
        <v>565</v>
      </c>
      <c r="B168" s="113" t="s">
        <v>566</v>
      </c>
      <c r="C168" s="58">
        <v>14</v>
      </c>
      <c r="D168" s="117"/>
      <c r="E168" s="77">
        <v>913661401</v>
      </c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4"/>
      <c r="AB168" s="48"/>
      <c r="AC168" s="48"/>
    </row>
    <row r="169" spans="1:29" ht="13.8">
      <c r="A169" s="31" t="s">
        <v>569</v>
      </c>
      <c r="B169" s="113" t="s">
        <v>570</v>
      </c>
      <c r="C169" s="58">
        <v>40</v>
      </c>
      <c r="D169" s="117"/>
      <c r="E169" s="77">
        <v>951588232</v>
      </c>
      <c r="F169" s="131"/>
      <c r="G169" s="131"/>
      <c r="H169" s="131"/>
      <c r="I169" s="131"/>
      <c r="J169" s="131"/>
      <c r="K169" s="132" t="s">
        <v>27</v>
      </c>
      <c r="L169" s="131"/>
      <c r="M169" s="132" t="s">
        <v>27</v>
      </c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4"/>
      <c r="AB169" s="48"/>
      <c r="AC169" s="48"/>
    </row>
    <row r="170" spans="1:29" ht="13.8">
      <c r="A170" s="31" t="s">
        <v>572</v>
      </c>
      <c r="B170" s="113" t="s">
        <v>573</v>
      </c>
      <c r="C170" s="58">
        <v>25</v>
      </c>
      <c r="D170" s="117"/>
      <c r="E170" s="77">
        <v>940665061</v>
      </c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4"/>
      <c r="AB170" s="48"/>
      <c r="AC170" s="48"/>
    </row>
    <row r="171" spans="1:29" ht="13.8">
      <c r="A171" s="31" t="s">
        <v>576</v>
      </c>
      <c r="B171" s="113" t="s">
        <v>577</v>
      </c>
      <c r="C171" s="58">
        <v>17</v>
      </c>
      <c r="D171" s="117"/>
      <c r="E171" s="77">
        <v>975832487</v>
      </c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4"/>
      <c r="AB171" s="48"/>
      <c r="AC171" s="48"/>
    </row>
    <row r="172" spans="1:29" ht="13.8">
      <c r="A172" s="31" t="s">
        <v>578</v>
      </c>
      <c r="B172" s="113" t="s">
        <v>579</v>
      </c>
      <c r="C172" s="58">
        <v>17</v>
      </c>
      <c r="D172" s="117"/>
      <c r="E172" s="77">
        <v>988908990</v>
      </c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4"/>
      <c r="AB172" s="48"/>
      <c r="AC172" s="48"/>
    </row>
    <row r="173" spans="1:29" ht="13.8">
      <c r="A173" s="31" t="s">
        <v>582</v>
      </c>
      <c r="B173" s="113" t="s">
        <v>583</v>
      </c>
      <c r="C173" s="58">
        <v>20</v>
      </c>
      <c r="D173" s="117"/>
      <c r="E173" s="77">
        <v>948270699</v>
      </c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4"/>
      <c r="AB173" s="48"/>
      <c r="AC173" s="48"/>
    </row>
    <row r="174" spans="1:29" ht="13.8">
      <c r="A174" s="31" t="s">
        <v>584</v>
      </c>
      <c r="B174" s="113" t="s">
        <v>585</v>
      </c>
      <c r="C174" s="58">
        <v>16</v>
      </c>
      <c r="D174" s="117"/>
      <c r="E174" s="77">
        <v>910022442</v>
      </c>
      <c r="F174" s="131"/>
      <c r="G174" s="131"/>
      <c r="H174" s="131"/>
      <c r="I174" s="131"/>
      <c r="J174" s="132" t="s">
        <v>27</v>
      </c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4"/>
      <c r="AB174" s="48"/>
      <c r="AC174" s="48"/>
    </row>
    <row r="175" spans="1:29" ht="13.8">
      <c r="A175" s="31" t="s">
        <v>588</v>
      </c>
      <c r="B175" s="113" t="s">
        <v>589</v>
      </c>
      <c r="C175" s="58">
        <v>16</v>
      </c>
      <c r="D175" s="117"/>
      <c r="E175" s="77">
        <v>912022442</v>
      </c>
      <c r="F175" s="131"/>
      <c r="G175" s="131"/>
      <c r="H175" s="131"/>
      <c r="I175" s="132" t="s">
        <v>27</v>
      </c>
      <c r="J175" s="132" t="s">
        <v>27</v>
      </c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4"/>
      <c r="AB175" s="48"/>
      <c r="AC175" s="48"/>
    </row>
    <row r="176" spans="1:29" ht="13.8">
      <c r="A176" s="31" t="s">
        <v>590</v>
      </c>
      <c r="B176" s="113" t="s">
        <v>591</v>
      </c>
      <c r="C176" s="58">
        <v>20</v>
      </c>
      <c r="D176" s="117"/>
      <c r="E176" s="77">
        <v>903578454</v>
      </c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4"/>
      <c r="AB176" s="48"/>
      <c r="AC176" s="48"/>
    </row>
    <row r="177" spans="1:29" ht="13.8">
      <c r="A177" s="31" t="s">
        <v>594</v>
      </c>
      <c r="B177" s="113" t="s">
        <v>595</v>
      </c>
      <c r="C177" s="58">
        <v>17</v>
      </c>
      <c r="D177" s="117"/>
      <c r="E177" s="77">
        <v>938216049</v>
      </c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4"/>
      <c r="AB177" s="48"/>
      <c r="AC177" s="48"/>
    </row>
    <row r="178" spans="1:29" ht="13.8">
      <c r="A178" s="31" t="s">
        <v>596</v>
      </c>
      <c r="B178" s="113" t="s">
        <v>597</v>
      </c>
      <c r="C178" s="58">
        <v>16</v>
      </c>
      <c r="D178" s="117"/>
      <c r="E178" s="77">
        <v>938216049</v>
      </c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4"/>
      <c r="AB178" s="48"/>
      <c r="AC178" s="48"/>
    </row>
    <row r="179" spans="1:29" ht="13.8">
      <c r="A179" s="31" t="s">
        <v>600</v>
      </c>
      <c r="B179" s="139" t="s">
        <v>601</v>
      </c>
      <c r="C179" s="140">
        <v>20</v>
      </c>
      <c r="D179" s="141"/>
      <c r="E179" s="142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2" t="s">
        <v>27</v>
      </c>
      <c r="Q179" s="132" t="s">
        <v>27</v>
      </c>
      <c r="R179" s="132" t="s">
        <v>27</v>
      </c>
      <c r="S179" s="131"/>
      <c r="T179" s="131"/>
      <c r="U179" s="131"/>
      <c r="V179" s="131"/>
      <c r="W179" s="131"/>
      <c r="X179" s="131"/>
      <c r="Y179" s="131"/>
      <c r="Z179" s="131"/>
      <c r="AA179" s="134"/>
      <c r="AB179" s="48"/>
      <c r="AC179" s="48"/>
    </row>
    <row r="180" spans="1:29" ht="13.8">
      <c r="A180" s="31" t="s">
        <v>604</v>
      </c>
      <c r="B180" s="139" t="s">
        <v>605</v>
      </c>
      <c r="C180" s="140">
        <v>19</v>
      </c>
      <c r="D180" s="141"/>
      <c r="E180" s="77">
        <v>940086163</v>
      </c>
      <c r="F180" s="131"/>
      <c r="G180" s="132" t="s">
        <v>27</v>
      </c>
      <c r="H180" s="131"/>
      <c r="I180" s="131"/>
      <c r="J180" s="131"/>
      <c r="K180" s="131"/>
      <c r="L180" s="131"/>
      <c r="M180" s="132" t="s">
        <v>27</v>
      </c>
      <c r="N180" s="131"/>
      <c r="O180" s="131"/>
      <c r="P180" s="132" t="s">
        <v>27</v>
      </c>
      <c r="Q180" s="132" t="s">
        <v>27</v>
      </c>
      <c r="R180" s="131"/>
      <c r="S180" s="131"/>
      <c r="T180" s="131"/>
      <c r="U180" s="131"/>
      <c r="V180" s="131"/>
      <c r="W180" s="131"/>
      <c r="X180" s="131"/>
      <c r="Y180" s="131"/>
      <c r="Z180" s="131"/>
      <c r="AA180" s="134"/>
      <c r="AB180" s="48"/>
      <c r="AC180" s="48"/>
    </row>
    <row r="181" spans="1:29" ht="13.8">
      <c r="A181" s="31" t="s">
        <v>607</v>
      </c>
      <c r="B181" s="139" t="s">
        <v>608</v>
      </c>
      <c r="C181" s="140">
        <v>16</v>
      </c>
      <c r="D181" s="141"/>
      <c r="E181" s="77">
        <v>911443168</v>
      </c>
      <c r="F181" s="131"/>
      <c r="G181" s="131"/>
      <c r="H181" s="131"/>
      <c r="I181" s="132" t="s">
        <v>19</v>
      </c>
      <c r="J181" s="132" t="s">
        <v>27</v>
      </c>
      <c r="K181" s="132" t="s">
        <v>27</v>
      </c>
      <c r="L181" s="131"/>
      <c r="M181" s="131"/>
      <c r="N181" s="131"/>
      <c r="O181" s="131"/>
      <c r="P181" s="131"/>
      <c r="Q181" s="132" t="s">
        <v>27</v>
      </c>
      <c r="R181" s="131"/>
      <c r="S181" s="131"/>
      <c r="T181" s="131"/>
      <c r="U181" s="131"/>
      <c r="V181" s="131"/>
      <c r="W181" s="131"/>
      <c r="X181" s="131"/>
      <c r="Y181" s="131"/>
      <c r="Z181" s="131"/>
      <c r="AA181" s="134"/>
      <c r="AB181" s="48"/>
      <c r="AC181" s="48"/>
    </row>
    <row r="182" spans="1:29" ht="13.8">
      <c r="A182" s="31" t="s">
        <v>610</v>
      </c>
      <c r="B182" s="139" t="s">
        <v>611</v>
      </c>
      <c r="C182" s="140">
        <v>23</v>
      </c>
      <c r="D182" s="141"/>
      <c r="E182" s="77">
        <v>964385749</v>
      </c>
      <c r="F182" s="131"/>
      <c r="G182" s="132" t="s">
        <v>27</v>
      </c>
      <c r="H182" s="131"/>
      <c r="I182" s="131"/>
      <c r="J182" s="131"/>
      <c r="K182" s="132" t="s">
        <v>27</v>
      </c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2"/>
      <c r="Z182" s="132"/>
      <c r="AA182" s="134"/>
      <c r="AB182" s="48"/>
      <c r="AC182" s="48"/>
    </row>
    <row r="183" spans="1:29" ht="13.8">
      <c r="A183" s="31" t="s">
        <v>613</v>
      </c>
      <c r="B183" s="139" t="s">
        <v>614</v>
      </c>
      <c r="C183" s="140">
        <v>16</v>
      </c>
      <c r="D183" s="141"/>
      <c r="E183" s="77">
        <v>912676079</v>
      </c>
      <c r="F183" s="131"/>
      <c r="G183" s="132" t="s">
        <v>27</v>
      </c>
      <c r="H183" s="131"/>
      <c r="I183" s="131"/>
      <c r="J183" s="132" t="s">
        <v>27</v>
      </c>
      <c r="K183" s="132" t="s">
        <v>27</v>
      </c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4"/>
      <c r="AB183" s="48"/>
      <c r="AC183" s="48"/>
    </row>
    <row r="184" spans="1:29" ht="13.8">
      <c r="A184" s="31" t="s">
        <v>616</v>
      </c>
      <c r="B184" s="139" t="s">
        <v>617</v>
      </c>
      <c r="C184" s="140">
        <v>19</v>
      </c>
      <c r="D184" s="141"/>
      <c r="E184" s="77">
        <v>998086650</v>
      </c>
      <c r="F184" s="131"/>
      <c r="G184" s="132" t="s">
        <v>27</v>
      </c>
      <c r="H184" s="132" t="s">
        <v>27</v>
      </c>
      <c r="I184" s="132" t="s">
        <v>27</v>
      </c>
      <c r="J184" s="131"/>
      <c r="K184" s="132" t="s">
        <v>27</v>
      </c>
      <c r="L184" s="132" t="s">
        <v>27</v>
      </c>
      <c r="M184" s="131"/>
      <c r="N184" s="131"/>
      <c r="O184" s="131"/>
      <c r="P184" s="131"/>
      <c r="Q184" s="131"/>
      <c r="R184" s="132" t="s">
        <v>27</v>
      </c>
      <c r="S184" s="131"/>
      <c r="T184" s="131"/>
      <c r="U184" s="131"/>
      <c r="V184" s="131"/>
      <c r="W184" s="132" t="s">
        <v>27</v>
      </c>
      <c r="X184" s="132" t="s">
        <v>27</v>
      </c>
      <c r="Y184" s="132" t="s">
        <v>27</v>
      </c>
      <c r="Z184" s="131"/>
      <c r="AA184" s="134"/>
      <c r="AB184" s="48"/>
      <c r="AC184" s="48"/>
    </row>
    <row r="185" spans="1:29" ht="13.8">
      <c r="A185" s="31" t="s">
        <v>620</v>
      </c>
      <c r="B185" s="139" t="s">
        <v>621</v>
      </c>
      <c r="C185" s="140">
        <v>21</v>
      </c>
      <c r="D185" s="141"/>
      <c r="E185" s="77">
        <v>902010231</v>
      </c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4"/>
      <c r="AB185" s="48"/>
      <c r="AC185" s="48"/>
    </row>
    <row r="186" spans="1:29" ht="13.8">
      <c r="A186" s="31" t="s">
        <v>622</v>
      </c>
      <c r="B186" s="139" t="s">
        <v>623</v>
      </c>
      <c r="C186" s="140">
        <v>25</v>
      </c>
      <c r="D186" s="141"/>
      <c r="E186" s="77">
        <v>967477133</v>
      </c>
      <c r="F186" s="131"/>
      <c r="G186" s="131"/>
      <c r="H186" s="132" t="s">
        <v>27</v>
      </c>
      <c r="I186" s="132" t="s">
        <v>27</v>
      </c>
      <c r="J186" s="132" t="s">
        <v>27</v>
      </c>
      <c r="K186" s="131"/>
      <c r="L186" s="132" t="s">
        <v>27</v>
      </c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4"/>
      <c r="AB186" s="48"/>
      <c r="AC186" s="48"/>
    </row>
    <row r="187" spans="1:29" ht="13.8">
      <c r="A187" s="31" t="s">
        <v>626</v>
      </c>
      <c r="B187" s="139" t="s">
        <v>627</v>
      </c>
      <c r="C187" s="140">
        <v>16</v>
      </c>
      <c r="D187" s="140" t="s">
        <v>35</v>
      </c>
      <c r="E187" s="77">
        <v>911950608</v>
      </c>
      <c r="F187" s="131"/>
      <c r="G187" s="131"/>
      <c r="H187" s="132" t="s">
        <v>27</v>
      </c>
      <c r="I187" s="131"/>
      <c r="J187" s="131"/>
      <c r="K187" s="131"/>
      <c r="L187" s="132" t="s">
        <v>27</v>
      </c>
      <c r="M187" s="131"/>
      <c r="N187" s="131"/>
      <c r="O187" s="132" t="s">
        <v>27</v>
      </c>
      <c r="P187" s="131"/>
      <c r="Q187" s="131"/>
      <c r="R187" s="131"/>
      <c r="S187" s="132" t="s">
        <v>27</v>
      </c>
      <c r="T187" s="131"/>
      <c r="U187" s="131"/>
      <c r="V187" s="131"/>
      <c r="W187" s="131"/>
      <c r="X187" s="131"/>
      <c r="Y187" s="131"/>
      <c r="Z187" s="131"/>
      <c r="AA187" s="134"/>
      <c r="AB187" s="48"/>
      <c r="AC187" s="48"/>
    </row>
    <row r="188" spans="1:29" ht="13.8">
      <c r="A188" s="31" t="s">
        <v>629</v>
      </c>
      <c r="B188" s="139" t="s">
        <v>630</v>
      </c>
      <c r="C188" s="139">
        <v>24</v>
      </c>
      <c r="D188" s="4"/>
      <c r="E188" s="77">
        <v>956569869</v>
      </c>
      <c r="F188" s="4"/>
      <c r="G188" s="4"/>
      <c r="H188" s="4"/>
      <c r="I188" s="4"/>
      <c r="J188" s="4"/>
      <c r="K188" s="4"/>
      <c r="L188" s="4"/>
      <c r="M188" s="4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4"/>
      <c r="AB188" s="48"/>
      <c r="AC188" s="48"/>
    </row>
    <row r="189" spans="1:29" ht="13.8">
      <c r="A189" s="31" t="s">
        <v>632</v>
      </c>
      <c r="B189" s="139" t="s">
        <v>633</v>
      </c>
      <c r="C189" s="139">
        <v>23</v>
      </c>
      <c r="D189" s="4"/>
      <c r="E189" s="77">
        <v>978282664</v>
      </c>
      <c r="F189" s="4"/>
      <c r="G189" s="4"/>
      <c r="H189" s="4"/>
      <c r="I189" s="4"/>
      <c r="J189" s="4"/>
      <c r="K189" s="4"/>
      <c r="L189" s="4"/>
      <c r="M189" s="4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4"/>
      <c r="AB189" s="48"/>
      <c r="AC189" s="48"/>
    </row>
    <row r="190" spans="1:29" ht="13.8">
      <c r="A190" s="31" t="s">
        <v>634</v>
      </c>
      <c r="B190" s="139" t="s">
        <v>635</v>
      </c>
      <c r="C190" s="139">
        <v>22</v>
      </c>
      <c r="D190" s="4"/>
      <c r="E190" s="77">
        <v>900158352</v>
      </c>
      <c r="F190" s="4"/>
      <c r="G190" s="4"/>
      <c r="H190" s="4"/>
      <c r="I190" s="4"/>
      <c r="J190" s="4"/>
      <c r="K190" s="4"/>
      <c r="L190" s="4"/>
      <c r="M190" s="4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4"/>
      <c r="AB190" s="48"/>
      <c r="AC190" s="48"/>
    </row>
    <row r="191" spans="1:29" ht="13.8">
      <c r="A191" s="31" t="s">
        <v>638</v>
      </c>
      <c r="B191" s="139" t="s">
        <v>639</v>
      </c>
      <c r="C191" s="139">
        <v>24</v>
      </c>
      <c r="D191" s="4"/>
      <c r="E191" s="77">
        <v>902525230</v>
      </c>
      <c r="F191" s="4"/>
      <c r="G191" s="4"/>
      <c r="H191" s="4"/>
      <c r="I191" s="4"/>
      <c r="J191" s="4"/>
      <c r="K191" s="4"/>
      <c r="L191" s="4"/>
      <c r="M191" s="4"/>
      <c r="N191" s="131"/>
      <c r="O191" s="131"/>
      <c r="P191" s="131"/>
      <c r="Q191" s="131"/>
      <c r="R191" s="132" t="s">
        <v>27</v>
      </c>
      <c r="S191" s="131"/>
      <c r="T191" s="131"/>
      <c r="U191" s="131"/>
      <c r="V191" s="131"/>
      <c r="W191" s="131"/>
      <c r="X191" s="131"/>
      <c r="Y191" s="131"/>
      <c r="Z191" s="131"/>
      <c r="AA191" s="134"/>
      <c r="AB191" s="48"/>
      <c r="AC191" s="48"/>
    </row>
    <row r="192" spans="1:29" ht="13.8">
      <c r="A192" s="31" t="s">
        <v>640</v>
      </c>
      <c r="B192" s="139" t="s">
        <v>641</v>
      </c>
      <c r="C192" s="139">
        <v>17</v>
      </c>
      <c r="D192" s="4"/>
      <c r="E192" s="77">
        <v>902525230</v>
      </c>
      <c r="F192" s="4"/>
      <c r="G192" s="4"/>
      <c r="H192" s="4"/>
      <c r="I192" s="4"/>
      <c r="J192" s="4"/>
      <c r="K192" s="4"/>
      <c r="L192" s="4"/>
      <c r="M192" s="4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4"/>
      <c r="AB192" s="48"/>
      <c r="AC192" s="48"/>
    </row>
    <row r="193" spans="1:29" ht="13.8">
      <c r="A193" s="31" t="s">
        <v>644</v>
      </c>
      <c r="B193" s="139" t="s">
        <v>645</v>
      </c>
      <c r="C193" s="139">
        <v>17</v>
      </c>
      <c r="D193" s="4"/>
      <c r="E193" s="77">
        <v>902525230</v>
      </c>
      <c r="F193" s="4"/>
      <c r="G193" s="4"/>
      <c r="H193" s="4"/>
      <c r="I193" s="4"/>
      <c r="J193" s="4"/>
      <c r="K193" s="4"/>
      <c r="L193" s="4"/>
      <c r="M193" s="4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4"/>
      <c r="AB193" s="48"/>
      <c r="AC193" s="48"/>
    </row>
    <row r="194" spans="1:29" ht="13.8">
      <c r="A194" s="31" t="s">
        <v>646</v>
      </c>
      <c r="B194" s="139" t="s">
        <v>647</v>
      </c>
      <c r="C194" s="139">
        <v>23</v>
      </c>
      <c r="D194" s="4"/>
      <c r="E194" s="77">
        <v>936109010</v>
      </c>
      <c r="F194" s="4"/>
      <c r="G194" s="4"/>
      <c r="H194" s="4"/>
      <c r="I194" s="4"/>
      <c r="J194" s="4"/>
      <c r="K194" s="4"/>
      <c r="L194" s="4"/>
      <c r="M194" s="4"/>
      <c r="N194" s="131"/>
      <c r="O194" s="131"/>
      <c r="P194" s="131"/>
      <c r="Q194" s="131"/>
      <c r="R194" s="131"/>
      <c r="S194" s="132" t="s">
        <v>27</v>
      </c>
      <c r="U194" s="131"/>
      <c r="V194" s="131"/>
      <c r="W194" s="131"/>
      <c r="X194" s="131"/>
      <c r="Y194" s="131"/>
      <c r="Z194" s="131"/>
      <c r="AA194" s="134"/>
      <c r="AB194" s="48"/>
      <c r="AC194" s="48"/>
    </row>
    <row r="195" spans="1:29" ht="13.8">
      <c r="A195" s="31" t="s">
        <v>650</v>
      </c>
      <c r="B195" s="139" t="s">
        <v>651</v>
      </c>
      <c r="C195" s="139">
        <v>19</v>
      </c>
      <c r="D195" s="139" t="s">
        <v>26</v>
      </c>
      <c r="E195" s="77">
        <v>907045367</v>
      </c>
      <c r="F195" s="4"/>
      <c r="G195" s="4"/>
      <c r="H195" s="4"/>
      <c r="I195" s="4"/>
      <c r="J195" s="4"/>
      <c r="K195" s="4"/>
      <c r="L195" s="4"/>
      <c r="M195" s="4"/>
      <c r="N195" s="131"/>
      <c r="O195" s="131"/>
      <c r="P195" s="132" t="s">
        <v>27</v>
      </c>
      <c r="Q195" s="132" t="s">
        <v>27</v>
      </c>
      <c r="R195" s="131"/>
      <c r="S195" s="132" t="s">
        <v>27</v>
      </c>
      <c r="T195" s="132" t="s">
        <v>27</v>
      </c>
      <c r="U195" s="131"/>
      <c r="V195" s="132" t="s">
        <v>27</v>
      </c>
      <c r="W195" s="132" t="s">
        <v>27</v>
      </c>
      <c r="X195" s="132" t="s">
        <v>27</v>
      </c>
      <c r="Y195" s="132" t="s">
        <v>27</v>
      </c>
      <c r="Z195" s="131"/>
      <c r="AA195" s="134"/>
      <c r="AB195" s="48"/>
      <c r="AC195" s="48"/>
    </row>
    <row r="196" spans="1:29" ht="13.8">
      <c r="A196" s="31" t="s">
        <v>654</v>
      </c>
      <c r="B196" s="139" t="s">
        <v>655</v>
      </c>
      <c r="C196" s="139">
        <v>26</v>
      </c>
      <c r="D196" s="139" t="s">
        <v>26</v>
      </c>
      <c r="E196" s="77">
        <v>961169412</v>
      </c>
      <c r="F196" s="4"/>
      <c r="G196" s="4"/>
      <c r="H196" s="4"/>
      <c r="I196" s="4"/>
      <c r="J196" s="4"/>
      <c r="K196" s="4"/>
      <c r="L196" s="4"/>
      <c r="M196" s="4"/>
      <c r="N196" s="131"/>
      <c r="O196" s="131"/>
      <c r="P196" s="132" t="s">
        <v>27</v>
      </c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4"/>
      <c r="AB196" s="48"/>
      <c r="AC196" s="48"/>
    </row>
    <row r="197" spans="1:29" ht="13.8">
      <c r="B197" s="148" t="s">
        <v>656</v>
      </c>
      <c r="E197" s="2"/>
    </row>
    <row r="198" spans="1:29" ht="13.8">
      <c r="E198" s="2"/>
    </row>
    <row r="199" spans="1:29" ht="13.8">
      <c r="E199" s="2"/>
    </row>
    <row r="200" spans="1:29" ht="13.8">
      <c r="E200" s="2"/>
    </row>
    <row r="201" spans="1:29" ht="13.8">
      <c r="E201" s="2"/>
    </row>
    <row r="202" spans="1:29" ht="13.8">
      <c r="E202" s="2"/>
    </row>
    <row r="203" spans="1:29" ht="13.8">
      <c r="E203" s="2"/>
    </row>
    <row r="204" spans="1:29" ht="13.8">
      <c r="E204" s="2"/>
    </row>
    <row r="205" spans="1:29" ht="13.8">
      <c r="E205" s="2"/>
    </row>
    <row r="206" spans="1:29" ht="13.8">
      <c r="E206" s="2"/>
    </row>
    <row r="207" spans="1:29" ht="13.8">
      <c r="E207" s="2"/>
    </row>
    <row r="208" spans="1:29" ht="13.8">
      <c r="E208" s="2"/>
    </row>
    <row r="209" spans="5:5" ht="13.8">
      <c r="E209" s="2"/>
    </row>
    <row r="210" spans="5:5" ht="13.8">
      <c r="E210" s="2"/>
    </row>
    <row r="211" spans="5:5" ht="13.8">
      <c r="E211" s="2"/>
    </row>
    <row r="212" spans="5:5" ht="13.8">
      <c r="E212" s="2"/>
    </row>
    <row r="213" spans="5:5" ht="13.8">
      <c r="E213" s="2"/>
    </row>
    <row r="214" spans="5:5" ht="13.8">
      <c r="E214" s="2"/>
    </row>
    <row r="215" spans="5:5" ht="13.8">
      <c r="E215" s="2"/>
    </row>
    <row r="216" spans="5:5" ht="13.8">
      <c r="E216" s="2"/>
    </row>
    <row r="217" spans="5:5" ht="13.8">
      <c r="E217" s="2"/>
    </row>
    <row r="218" spans="5:5" ht="13.8">
      <c r="E218" s="2"/>
    </row>
    <row r="219" spans="5:5" ht="13.8">
      <c r="E219" s="2"/>
    </row>
    <row r="220" spans="5:5" ht="13.8">
      <c r="E220" s="2"/>
    </row>
    <row r="221" spans="5:5" ht="13.8">
      <c r="E221" s="2"/>
    </row>
    <row r="222" spans="5:5" ht="13.8">
      <c r="E222" s="2"/>
    </row>
    <row r="223" spans="5:5" ht="13.8">
      <c r="E223" s="2"/>
    </row>
    <row r="224" spans="5:5" ht="13.8">
      <c r="E224" s="2"/>
    </row>
    <row r="225" spans="5:5" ht="13.8">
      <c r="E225" s="2"/>
    </row>
    <row r="226" spans="5:5" ht="13.8">
      <c r="E226" s="2"/>
    </row>
    <row r="227" spans="5:5" ht="13.8">
      <c r="E227" s="2"/>
    </row>
    <row r="228" spans="5:5" ht="13.8">
      <c r="E228" s="2"/>
    </row>
    <row r="229" spans="5:5" ht="13.8">
      <c r="E229" s="2"/>
    </row>
    <row r="230" spans="5:5" ht="13.8">
      <c r="E230" s="2"/>
    </row>
    <row r="231" spans="5:5" ht="13.8">
      <c r="E231" s="2"/>
    </row>
    <row r="232" spans="5:5" ht="13.8">
      <c r="E232" s="2"/>
    </row>
    <row r="233" spans="5:5" ht="13.8">
      <c r="E233" s="2"/>
    </row>
    <row r="234" spans="5:5" ht="13.8">
      <c r="E234" s="2"/>
    </row>
    <row r="235" spans="5:5" ht="13.8">
      <c r="E235" s="2"/>
    </row>
    <row r="236" spans="5:5" ht="13.8">
      <c r="E236" s="2"/>
    </row>
    <row r="237" spans="5:5" ht="13.8">
      <c r="E237" s="2"/>
    </row>
    <row r="238" spans="5:5" ht="13.8">
      <c r="E238" s="2"/>
    </row>
    <row r="239" spans="5:5" ht="13.8">
      <c r="E239" s="2"/>
    </row>
    <row r="240" spans="5:5" ht="13.8">
      <c r="E240" s="2"/>
    </row>
    <row r="241" spans="5:5" ht="13.8">
      <c r="E241" s="2"/>
    </row>
    <row r="242" spans="5:5" ht="13.8">
      <c r="E242" s="2"/>
    </row>
    <row r="243" spans="5:5" ht="13.8">
      <c r="E243" s="2"/>
    </row>
    <row r="244" spans="5:5" ht="13.8">
      <c r="E244" s="2"/>
    </row>
    <row r="245" spans="5:5" ht="13.8">
      <c r="E245" s="2"/>
    </row>
    <row r="246" spans="5:5" ht="13.8">
      <c r="E246" s="2"/>
    </row>
    <row r="247" spans="5:5" ht="13.8">
      <c r="E247" s="2"/>
    </row>
    <row r="248" spans="5:5" ht="13.8">
      <c r="E248" s="2"/>
    </row>
    <row r="249" spans="5:5" ht="13.8">
      <c r="E249" s="2"/>
    </row>
    <row r="250" spans="5:5" ht="13.8">
      <c r="E250" s="2"/>
    </row>
    <row r="251" spans="5:5" ht="13.8">
      <c r="E251" s="2"/>
    </row>
    <row r="252" spans="5:5" ht="13.8">
      <c r="E252" s="2"/>
    </row>
    <row r="253" spans="5:5" ht="13.8">
      <c r="E253" s="2"/>
    </row>
    <row r="254" spans="5:5" ht="13.8">
      <c r="E254" s="2"/>
    </row>
    <row r="255" spans="5:5" ht="13.8">
      <c r="E255" s="2"/>
    </row>
    <row r="256" spans="5:5" ht="13.8">
      <c r="E256" s="2"/>
    </row>
    <row r="257" spans="5:5" ht="13.8">
      <c r="E257" s="2"/>
    </row>
    <row r="258" spans="5:5" ht="13.8">
      <c r="E258" s="2"/>
    </row>
    <row r="259" spans="5:5" ht="13.8">
      <c r="E259" s="2"/>
    </row>
    <row r="260" spans="5:5" ht="13.8">
      <c r="E260" s="2"/>
    </row>
    <row r="261" spans="5:5" ht="13.8">
      <c r="E261" s="2"/>
    </row>
    <row r="262" spans="5:5" ht="13.8">
      <c r="E262" s="2"/>
    </row>
    <row r="263" spans="5:5" ht="13.8">
      <c r="E263" s="2"/>
    </row>
    <row r="264" spans="5:5" ht="13.8">
      <c r="E264" s="2"/>
    </row>
    <row r="265" spans="5:5" ht="13.8">
      <c r="E265" s="2"/>
    </row>
    <row r="266" spans="5:5" ht="13.8">
      <c r="E266" s="2"/>
    </row>
    <row r="267" spans="5:5" ht="13.8">
      <c r="E267" s="2"/>
    </row>
    <row r="268" spans="5:5" ht="13.8">
      <c r="E268" s="2"/>
    </row>
    <row r="269" spans="5:5" ht="13.8">
      <c r="E269" s="2"/>
    </row>
    <row r="270" spans="5:5" ht="13.8">
      <c r="E270" s="2"/>
    </row>
    <row r="271" spans="5:5" ht="13.8">
      <c r="E271" s="2"/>
    </row>
    <row r="272" spans="5:5" ht="13.8">
      <c r="E272" s="2"/>
    </row>
    <row r="273" spans="5:5" ht="13.8">
      <c r="E273" s="2"/>
    </row>
    <row r="274" spans="5:5" ht="13.8">
      <c r="E274" s="2"/>
    </row>
    <row r="275" spans="5:5" ht="13.8">
      <c r="E275" s="2"/>
    </row>
    <row r="276" spans="5:5" ht="13.8">
      <c r="E276" s="2"/>
    </row>
    <row r="277" spans="5:5" ht="13.8">
      <c r="E277" s="2"/>
    </row>
    <row r="278" spans="5:5" ht="13.8">
      <c r="E278" s="2"/>
    </row>
    <row r="279" spans="5:5" ht="13.8">
      <c r="E279" s="2"/>
    </row>
    <row r="280" spans="5:5" ht="13.8">
      <c r="E280" s="2"/>
    </row>
    <row r="281" spans="5:5" ht="13.8">
      <c r="E281" s="2"/>
    </row>
    <row r="282" spans="5:5" ht="13.8">
      <c r="E282" s="2"/>
    </row>
    <row r="283" spans="5:5" ht="13.8">
      <c r="E283" s="2"/>
    </row>
    <row r="284" spans="5:5" ht="13.8">
      <c r="E284" s="2"/>
    </row>
    <row r="285" spans="5:5" ht="13.8">
      <c r="E285" s="2"/>
    </row>
    <row r="286" spans="5:5" ht="13.8">
      <c r="E286" s="2"/>
    </row>
    <row r="287" spans="5:5" ht="13.8">
      <c r="E287" s="2"/>
    </row>
    <row r="288" spans="5:5" ht="13.8">
      <c r="E288" s="2"/>
    </row>
    <row r="289" spans="5:5" ht="13.8">
      <c r="E289" s="2"/>
    </row>
    <row r="290" spans="5:5" ht="13.8">
      <c r="E290" s="2"/>
    </row>
    <row r="291" spans="5:5" ht="13.8">
      <c r="E291" s="2"/>
    </row>
    <row r="292" spans="5:5" ht="13.8">
      <c r="E292" s="2"/>
    </row>
    <row r="293" spans="5:5" ht="13.8">
      <c r="E293" s="2"/>
    </row>
    <row r="294" spans="5:5" ht="13.8">
      <c r="E294" s="2"/>
    </row>
    <row r="295" spans="5:5" ht="13.8">
      <c r="E295" s="2"/>
    </row>
    <row r="296" spans="5:5" ht="13.8">
      <c r="E296" s="2"/>
    </row>
    <row r="297" spans="5:5" ht="13.8">
      <c r="E297" s="2"/>
    </row>
    <row r="298" spans="5:5" ht="13.8">
      <c r="E298" s="2"/>
    </row>
    <row r="299" spans="5:5" ht="13.8">
      <c r="E299" s="2"/>
    </row>
    <row r="300" spans="5:5" ht="13.8">
      <c r="E300" s="2"/>
    </row>
    <row r="301" spans="5:5" ht="13.8">
      <c r="E301" s="2"/>
    </row>
    <row r="302" spans="5:5" ht="13.8">
      <c r="E302" s="2"/>
    </row>
    <row r="303" spans="5:5" ht="13.8">
      <c r="E303" s="2"/>
    </row>
    <row r="304" spans="5:5" ht="13.8">
      <c r="E304" s="2"/>
    </row>
    <row r="305" spans="5:5" ht="13.8">
      <c r="E305" s="2"/>
    </row>
    <row r="306" spans="5:5" ht="13.8">
      <c r="E306" s="2"/>
    </row>
    <row r="307" spans="5:5" ht="13.8">
      <c r="E307" s="2"/>
    </row>
    <row r="308" spans="5:5" ht="13.8">
      <c r="E308" s="2"/>
    </row>
    <row r="309" spans="5:5" ht="13.8">
      <c r="E309" s="2"/>
    </row>
    <row r="310" spans="5:5" ht="13.8">
      <c r="E310" s="2"/>
    </row>
    <row r="311" spans="5:5" ht="13.8">
      <c r="E311" s="2"/>
    </row>
    <row r="312" spans="5:5" ht="13.8">
      <c r="E312" s="2"/>
    </row>
    <row r="313" spans="5:5" ht="13.8">
      <c r="E313" s="2"/>
    </row>
    <row r="314" spans="5:5" ht="13.8">
      <c r="E314" s="2"/>
    </row>
    <row r="315" spans="5:5" ht="13.8">
      <c r="E315" s="2"/>
    </row>
    <row r="316" spans="5:5" ht="13.8">
      <c r="E316" s="2"/>
    </row>
    <row r="317" spans="5:5" ht="13.8">
      <c r="E317" s="2"/>
    </row>
    <row r="318" spans="5:5" ht="13.8">
      <c r="E318" s="2"/>
    </row>
    <row r="319" spans="5:5" ht="13.8">
      <c r="E319" s="2"/>
    </row>
    <row r="320" spans="5:5" ht="13.8">
      <c r="E320" s="2"/>
    </row>
    <row r="321" spans="5:5" ht="13.8">
      <c r="E321" s="2"/>
    </row>
    <row r="322" spans="5:5" ht="13.8">
      <c r="E322" s="2"/>
    </row>
    <row r="323" spans="5:5" ht="13.8">
      <c r="E323" s="2"/>
    </row>
    <row r="324" spans="5:5" ht="13.8">
      <c r="E324" s="2"/>
    </row>
    <row r="325" spans="5:5" ht="13.8">
      <c r="E325" s="2"/>
    </row>
    <row r="326" spans="5:5" ht="13.8">
      <c r="E326" s="2"/>
    </row>
    <row r="327" spans="5:5" ht="13.8">
      <c r="E327" s="2"/>
    </row>
    <row r="328" spans="5:5" ht="13.8">
      <c r="E328" s="2"/>
    </row>
    <row r="329" spans="5:5" ht="13.8">
      <c r="E329" s="2"/>
    </row>
    <row r="330" spans="5:5" ht="13.8">
      <c r="E330" s="2"/>
    </row>
    <row r="331" spans="5:5" ht="13.8">
      <c r="E331" s="2"/>
    </row>
    <row r="332" spans="5:5" ht="13.8">
      <c r="E332" s="2"/>
    </row>
    <row r="333" spans="5:5" ht="13.8">
      <c r="E333" s="2"/>
    </row>
    <row r="334" spans="5:5" ht="13.8">
      <c r="E334" s="2"/>
    </row>
    <row r="335" spans="5:5" ht="13.8">
      <c r="E335" s="2"/>
    </row>
    <row r="336" spans="5:5" ht="13.8">
      <c r="E336" s="2"/>
    </row>
    <row r="337" spans="5:5" ht="13.8">
      <c r="E337" s="2"/>
    </row>
    <row r="338" spans="5:5" ht="13.8">
      <c r="E338" s="2"/>
    </row>
    <row r="339" spans="5:5" ht="13.8">
      <c r="E339" s="2"/>
    </row>
    <row r="340" spans="5:5" ht="13.8">
      <c r="E340" s="2"/>
    </row>
    <row r="341" spans="5:5" ht="13.8">
      <c r="E341" s="2"/>
    </row>
    <row r="342" spans="5:5" ht="13.8">
      <c r="E342" s="2"/>
    </row>
    <row r="343" spans="5:5" ht="13.8">
      <c r="E343" s="2"/>
    </row>
    <row r="344" spans="5:5" ht="13.8">
      <c r="E344" s="2"/>
    </row>
    <row r="345" spans="5:5" ht="13.8">
      <c r="E345" s="2"/>
    </row>
    <row r="346" spans="5:5" ht="13.8">
      <c r="E346" s="2"/>
    </row>
    <row r="347" spans="5:5" ht="13.8">
      <c r="E347" s="2"/>
    </row>
    <row r="348" spans="5:5" ht="13.8">
      <c r="E348" s="2"/>
    </row>
    <row r="349" spans="5:5" ht="13.8">
      <c r="E349" s="2"/>
    </row>
    <row r="350" spans="5:5" ht="13.8">
      <c r="E350" s="2"/>
    </row>
    <row r="351" spans="5:5" ht="13.8">
      <c r="E351" s="2"/>
    </row>
    <row r="352" spans="5:5" ht="13.8">
      <c r="E352" s="2"/>
    </row>
    <row r="353" spans="5:5" ht="13.8">
      <c r="E353" s="2"/>
    </row>
    <row r="354" spans="5:5" ht="13.8">
      <c r="E354" s="2"/>
    </row>
    <row r="355" spans="5:5" ht="13.8">
      <c r="E355" s="2"/>
    </row>
    <row r="356" spans="5:5" ht="13.8">
      <c r="E356" s="2"/>
    </row>
    <row r="357" spans="5:5" ht="13.8">
      <c r="E357" s="2"/>
    </row>
    <row r="358" spans="5:5" ht="13.8">
      <c r="E358" s="2"/>
    </row>
    <row r="359" spans="5:5" ht="13.8">
      <c r="E359" s="2"/>
    </row>
    <row r="360" spans="5:5" ht="13.8">
      <c r="E360" s="2"/>
    </row>
    <row r="361" spans="5:5" ht="13.8">
      <c r="E361" s="2"/>
    </row>
    <row r="362" spans="5:5" ht="13.8">
      <c r="E362" s="2"/>
    </row>
    <row r="363" spans="5:5" ht="13.8">
      <c r="E363" s="2"/>
    </row>
    <row r="364" spans="5:5" ht="13.8">
      <c r="E364" s="2"/>
    </row>
    <row r="365" spans="5:5" ht="13.8">
      <c r="E365" s="2"/>
    </row>
    <row r="366" spans="5:5" ht="13.8">
      <c r="E366" s="2"/>
    </row>
    <row r="367" spans="5:5" ht="13.8">
      <c r="E367" s="2"/>
    </row>
    <row r="368" spans="5:5" ht="13.8">
      <c r="E368" s="2"/>
    </row>
    <row r="369" spans="5:5" ht="13.8">
      <c r="E369" s="2"/>
    </row>
    <row r="370" spans="5:5" ht="13.8">
      <c r="E370" s="2"/>
    </row>
    <row r="371" spans="5:5" ht="13.8">
      <c r="E371" s="2"/>
    </row>
    <row r="372" spans="5:5" ht="13.8">
      <c r="E372" s="2"/>
    </row>
    <row r="373" spans="5:5" ht="13.8">
      <c r="E373" s="2"/>
    </row>
    <row r="374" spans="5:5" ht="13.8">
      <c r="E374" s="2"/>
    </row>
    <row r="375" spans="5:5" ht="13.8">
      <c r="E375" s="2"/>
    </row>
    <row r="376" spans="5:5" ht="13.8">
      <c r="E376" s="2"/>
    </row>
    <row r="377" spans="5:5" ht="13.8">
      <c r="E377" s="2"/>
    </row>
    <row r="378" spans="5:5" ht="13.8">
      <c r="E378" s="2"/>
    </row>
    <row r="379" spans="5:5" ht="13.8">
      <c r="E379" s="2"/>
    </row>
    <row r="380" spans="5:5" ht="13.8">
      <c r="E380" s="2"/>
    </row>
    <row r="381" spans="5:5" ht="13.8">
      <c r="E381" s="2"/>
    </row>
    <row r="382" spans="5:5" ht="13.8">
      <c r="E382" s="2"/>
    </row>
    <row r="383" spans="5:5" ht="13.8">
      <c r="E383" s="2"/>
    </row>
    <row r="384" spans="5:5" ht="13.8">
      <c r="E384" s="2"/>
    </row>
    <row r="385" spans="5:5" ht="13.8">
      <c r="E385" s="2"/>
    </row>
    <row r="386" spans="5:5" ht="13.8">
      <c r="E386" s="2"/>
    </row>
    <row r="387" spans="5:5" ht="13.8">
      <c r="E387" s="2"/>
    </row>
    <row r="388" spans="5:5" ht="13.8">
      <c r="E388" s="2"/>
    </row>
    <row r="389" spans="5:5" ht="13.8">
      <c r="E389" s="2"/>
    </row>
    <row r="390" spans="5:5" ht="13.8">
      <c r="E390" s="2"/>
    </row>
    <row r="391" spans="5:5" ht="13.8">
      <c r="E391" s="2"/>
    </row>
    <row r="392" spans="5:5" ht="13.8">
      <c r="E392" s="2"/>
    </row>
    <row r="393" spans="5:5" ht="13.8">
      <c r="E393" s="2"/>
    </row>
    <row r="394" spans="5:5" ht="13.8">
      <c r="E394" s="2"/>
    </row>
    <row r="395" spans="5:5" ht="13.8">
      <c r="E395" s="2"/>
    </row>
    <row r="396" spans="5:5" ht="13.8">
      <c r="E396" s="2"/>
    </row>
    <row r="397" spans="5:5" ht="13.8">
      <c r="E397" s="2"/>
    </row>
    <row r="398" spans="5:5" ht="13.8">
      <c r="E398" s="2"/>
    </row>
    <row r="399" spans="5:5" ht="13.8">
      <c r="E399" s="2"/>
    </row>
    <row r="400" spans="5:5" ht="13.8">
      <c r="E400" s="2"/>
    </row>
    <row r="401" spans="5:5" ht="13.8">
      <c r="E401" s="2"/>
    </row>
    <row r="402" spans="5:5" ht="13.8">
      <c r="E402" s="2"/>
    </row>
    <row r="403" spans="5:5" ht="13.8">
      <c r="E403" s="2"/>
    </row>
    <row r="404" spans="5:5" ht="13.8">
      <c r="E404" s="2"/>
    </row>
    <row r="405" spans="5:5" ht="13.8">
      <c r="E405" s="2"/>
    </row>
    <row r="406" spans="5:5" ht="13.8">
      <c r="E406" s="2"/>
    </row>
    <row r="407" spans="5:5" ht="13.8">
      <c r="E407" s="2"/>
    </row>
    <row r="408" spans="5:5" ht="13.8">
      <c r="E408" s="2"/>
    </row>
    <row r="409" spans="5:5" ht="13.8">
      <c r="E409" s="2"/>
    </row>
    <row r="410" spans="5:5" ht="13.8">
      <c r="E410" s="2"/>
    </row>
    <row r="411" spans="5:5" ht="13.8">
      <c r="E411" s="2"/>
    </row>
    <row r="412" spans="5:5" ht="13.8">
      <c r="E412" s="2"/>
    </row>
    <row r="413" spans="5:5" ht="13.8">
      <c r="E413" s="2"/>
    </row>
    <row r="414" spans="5:5" ht="13.8">
      <c r="E414" s="2"/>
    </row>
    <row r="415" spans="5:5" ht="13.8">
      <c r="E415" s="2"/>
    </row>
    <row r="416" spans="5:5" ht="13.8">
      <c r="E416" s="2"/>
    </row>
    <row r="417" spans="5:5" ht="13.8">
      <c r="E417" s="2"/>
    </row>
    <row r="418" spans="5:5" ht="13.8">
      <c r="E418" s="2"/>
    </row>
    <row r="419" spans="5:5" ht="13.8">
      <c r="E419" s="2"/>
    </row>
    <row r="420" spans="5:5" ht="13.8">
      <c r="E420" s="2"/>
    </row>
    <row r="421" spans="5:5" ht="13.8">
      <c r="E421" s="2"/>
    </row>
    <row r="422" spans="5:5" ht="13.8">
      <c r="E422" s="2"/>
    </row>
    <row r="423" spans="5:5" ht="13.8">
      <c r="E423" s="2"/>
    </row>
    <row r="424" spans="5:5" ht="13.8">
      <c r="E424" s="2"/>
    </row>
    <row r="425" spans="5:5" ht="13.8">
      <c r="E425" s="2"/>
    </row>
    <row r="426" spans="5:5" ht="13.8">
      <c r="E426" s="2"/>
    </row>
    <row r="427" spans="5:5" ht="13.8">
      <c r="E427" s="2"/>
    </row>
    <row r="428" spans="5:5" ht="13.8">
      <c r="E428" s="2"/>
    </row>
    <row r="429" spans="5:5" ht="13.8">
      <c r="E429" s="2"/>
    </row>
    <row r="430" spans="5:5" ht="13.8">
      <c r="E430" s="2"/>
    </row>
    <row r="431" spans="5:5" ht="13.8">
      <c r="E431" s="2"/>
    </row>
    <row r="432" spans="5:5" ht="13.8">
      <c r="E432" s="2"/>
    </row>
    <row r="433" spans="5:5" ht="13.8">
      <c r="E433" s="2"/>
    </row>
    <row r="434" spans="5:5" ht="13.8">
      <c r="E434" s="2"/>
    </row>
    <row r="435" spans="5:5" ht="13.8">
      <c r="E435" s="2"/>
    </row>
    <row r="436" spans="5:5" ht="13.8">
      <c r="E436" s="2"/>
    </row>
    <row r="437" spans="5:5" ht="13.8">
      <c r="E437" s="2"/>
    </row>
    <row r="438" spans="5:5" ht="13.8">
      <c r="E438" s="2"/>
    </row>
    <row r="439" spans="5:5" ht="13.8">
      <c r="E439" s="2"/>
    </row>
    <row r="440" spans="5:5" ht="13.8">
      <c r="E440" s="2"/>
    </row>
    <row r="441" spans="5:5" ht="13.8">
      <c r="E441" s="2"/>
    </row>
    <row r="442" spans="5:5" ht="13.8">
      <c r="E442" s="2"/>
    </row>
    <row r="443" spans="5:5" ht="13.8">
      <c r="E443" s="2"/>
    </row>
    <row r="444" spans="5:5" ht="13.8">
      <c r="E444" s="2"/>
    </row>
    <row r="445" spans="5:5" ht="13.8">
      <c r="E445" s="2"/>
    </row>
    <row r="446" spans="5:5" ht="13.8">
      <c r="E446" s="2"/>
    </row>
    <row r="447" spans="5:5" ht="13.8">
      <c r="E447" s="2"/>
    </row>
    <row r="448" spans="5:5" ht="13.8">
      <c r="E448" s="2"/>
    </row>
    <row r="449" spans="5:5" ht="13.8">
      <c r="E449" s="2"/>
    </row>
    <row r="450" spans="5:5" ht="13.8">
      <c r="E450" s="2"/>
    </row>
    <row r="451" spans="5:5" ht="13.8">
      <c r="E451" s="2"/>
    </row>
    <row r="452" spans="5:5" ht="13.8">
      <c r="E452" s="2"/>
    </row>
    <row r="453" spans="5:5" ht="13.8">
      <c r="E453" s="2"/>
    </row>
    <row r="454" spans="5:5" ht="13.8">
      <c r="E454" s="2"/>
    </row>
    <row r="455" spans="5:5" ht="13.8">
      <c r="E455" s="2"/>
    </row>
    <row r="456" spans="5:5" ht="13.8">
      <c r="E456" s="2"/>
    </row>
    <row r="457" spans="5:5" ht="13.8">
      <c r="E457" s="2"/>
    </row>
    <row r="458" spans="5:5" ht="13.8">
      <c r="E458" s="2"/>
    </row>
    <row r="459" spans="5:5" ht="13.8">
      <c r="E459" s="2"/>
    </row>
    <row r="460" spans="5:5" ht="13.8">
      <c r="E460" s="2"/>
    </row>
    <row r="461" spans="5:5" ht="13.8">
      <c r="E461" s="2"/>
    </row>
    <row r="462" spans="5:5" ht="13.8">
      <c r="E462" s="2"/>
    </row>
    <row r="463" spans="5:5" ht="13.8">
      <c r="E463" s="2"/>
    </row>
    <row r="464" spans="5:5" ht="13.8">
      <c r="E464" s="2"/>
    </row>
    <row r="465" spans="5:5" ht="13.8">
      <c r="E465" s="2"/>
    </row>
    <row r="466" spans="5:5" ht="13.8">
      <c r="E466" s="2"/>
    </row>
    <row r="467" spans="5:5" ht="13.8">
      <c r="E467" s="2"/>
    </row>
    <row r="468" spans="5:5" ht="13.8">
      <c r="E468" s="2"/>
    </row>
    <row r="469" spans="5:5" ht="13.8">
      <c r="E469" s="2"/>
    </row>
    <row r="470" spans="5:5" ht="13.8">
      <c r="E470" s="2"/>
    </row>
    <row r="471" spans="5:5" ht="13.8">
      <c r="E471" s="2"/>
    </row>
    <row r="472" spans="5:5" ht="13.8">
      <c r="E472" s="2"/>
    </row>
    <row r="473" spans="5:5" ht="13.8">
      <c r="E473" s="2"/>
    </row>
    <row r="474" spans="5:5" ht="13.8">
      <c r="E474" s="2"/>
    </row>
    <row r="475" spans="5:5" ht="13.8">
      <c r="E475" s="2"/>
    </row>
    <row r="476" spans="5:5" ht="13.8">
      <c r="E476" s="2"/>
    </row>
    <row r="477" spans="5:5" ht="13.8">
      <c r="E477" s="2"/>
    </row>
    <row r="478" spans="5:5" ht="13.8">
      <c r="E478" s="2"/>
    </row>
    <row r="479" spans="5:5" ht="13.8">
      <c r="E479" s="2"/>
    </row>
    <row r="480" spans="5:5" ht="13.8">
      <c r="E480" s="2"/>
    </row>
    <row r="481" spans="5:5" ht="13.8">
      <c r="E481" s="2"/>
    </row>
    <row r="482" spans="5:5" ht="13.8">
      <c r="E482" s="2"/>
    </row>
    <row r="483" spans="5:5" ht="13.8">
      <c r="E483" s="2"/>
    </row>
    <row r="484" spans="5:5" ht="13.8">
      <c r="E484" s="2"/>
    </row>
    <row r="485" spans="5:5" ht="13.8">
      <c r="E485" s="2"/>
    </row>
    <row r="486" spans="5:5" ht="13.8">
      <c r="E486" s="2"/>
    </row>
    <row r="487" spans="5:5" ht="13.8">
      <c r="E487" s="2"/>
    </row>
    <row r="488" spans="5:5" ht="13.8">
      <c r="E488" s="2"/>
    </row>
    <row r="489" spans="5:5" ht="13.8">
      <c r="E489" s="2"/>
    </row>
    <row r="490" spans="5:5" ht="13.8">
      <c r="E490" s="2"/>
    </row>
    <row r="491" spans="5:5" ht="13.8">
      <c r="E491" s="2"/>
    </row>
    <row r="492" spans="5:5" ht="13.8">
      <c r="E492" s="2"/>
    </row>
    <row r="493" spans="5:5" ht="13.8">
      <c r="E493" s="2"/>
    </row>
    <row r="494" spans="5:5" ht="13.8">
      <c r="E494" s="2"/>
    </row>
    <row r="495" spans="5:5" ht="13.8">
      <c r="E495" s="2"/>
    </row>
    <row r="496" spans="5:5" ht="13.8">
      <c r="E496" s="2"/>
    </row>
    <row r="497" spans="5:5" ht="13.8">
      <c r="E497" s="2"/>
    </row>
    <row r="498" spans="5:5" ht="13.8">
      <c r="E498" s="2"/>
    </row>
    <row r="499" spans="5:5" ht="13.8">
      <c r="E499" s="2"/>
    </row>
    <row r="500" spans="5:5" ht="13.8">
      <c r="E500" s="2"/>
    </row>
    <row r="501" spans="5:5" ht="13.8">
      <c r="E501" s="2"/>
    </row>
    <row r="502" spans="5:5" ht="13.8">
      <c r="E502" s="2"/>
    </row>
    <row r="503" spans="5:5" ht="13.8">
      <c r="E503" s="2"/>
    </row>
    <row r="504" spans="5:5" ht="13.8">
      <c r="E504" s="2"/>
    </row>
    <row r="505" spans="5:5" ht="13.8">
      <c r="E505" s="2"/>
    </row>
    <row r="506" spans="5:5" ht="13.8">
      <c r="E506" s="2"/>
    </row>
    <row r="507" spans="5:5" ht="13.8">
      <c r="E507" s="2"/>
    </row>
    <row r="508" spans="5:5" ht="13.8">
      <c r="E508" s="2"/>
    </row>
    <row r="509" spans="5:5" ht="13.8">
      <c r="E509" s="2"/>
    </row>
    <row r="510" spans="5:5" ht="13.8">
      <c r="E510" s="2"/>
    </row>
    <row r="511" spans="5:5" ht="13.8">
      <c r="E511" s="2"/>
    </row>
    <row r="512" spans="5:5" ht="13.8">
      <c r="E512" s="2"/>
    </row>
    <row r="513" spans="5:5" ht="13.8">
      <c r="E513" s="2"/>
    </row>
    <row r="514" spans="5:5" ht="13.8">
      <c r="E514" s="2"/>
    </row>
    <row r="515" spans="5:5" ht="13.8">
      <c r="E515" s="2"/>
    </row>
    <row r="516" spans="5:5" ht="13.8">
      <c r="E516" s="2"/>
    </row>
    <row r="517" spans="5:5" ht="13.8">
      <c r="E517" s="2"/>
    </row>
    <row r="518" spans="5:5" ht="13.8">
      <c r="E518" s="2"/>
    </row>
    <row r="519" spans="5:5" ht="13.8">
      <c r="E519" s="2"/>
    </row>
    <row r="520" spans="5:5" ht="13.8">
      <c r="E520" s="2"/>
    </row>
    <row r="521" spans="5:5" ht="13.8">
      <c r="E521" s="2"/>
    </row>
    <row r="522" spans="5:5" ht="13.8">
      <c r="E522" s="2"/>
    </row>
    <row r="523" spans="5:5" ht="13.8">
      <c r="E523" s="2"/>
    </row>
    <row r="524" spans="5:5" ht="13.8">
      <c r="E524" s="2"/>
    </row>
    <row r="525" spans="5:5" ht="13.8">
      <c r="E525" s="2"/>
    </row>
    <row r="526" spans="5:5" ht="13.8">
      <c r="E526" s="2"/>
    </row>
    <row r="527" spans="5:5" ht="13.8">
      <c r="E527" s="2"/>
    </row>
    <row r="528" spans="5:5" ht="13.8">
      <c r="E528" s="2"/>
    </row>
    <row r="529" spans="5:5" ht="13.8">
      <c r="E529" s="2"/>
    </row>
    <row r="530" spans="5:5" ht="13.8">
      <c r="E530" s="2"/>
    </row>
    <row r="531" spans="5:5" ht="13.8">
      <c r="E531" s="2"/>
    </row>
    <row r="532" spans="5:5" ht="13.8">
      <c r="E532" s="2"/>
    </row>
    <row r="533" spans="5:5" ht="13.8">
      <c r="E533" s="2"/>
    </row>
    <row r="534" spans="5:5" ht="13.8">
      <c r="E534" s="2"/>
    </row>
    <row r="535" spans="5:5" ht="13.8">
      <c r="E535" s="2"/>
    </row>
    <row r="536" spans="5:5" ht="13.8">
      <c r="E536" s="2"/>
    </row>
    <row r="537" spans="5:5" ht="13.8">
      <c r="E537" s="2"/>
    </row>
    <row r="538" spans="5:5" ht="13.8">
      <c r="E538" s="2"/>
    </row>
    <row r="539" spans="5:5" ht="13.8">
      <c r="E539" s="2"/>
    </row>
    <row r="540" spans="5:5" ht="13.8">
      <c r="E540" s="2"/>
    </row>
    <row r="541" spans="5:5" ht="13.8">
      <c r="E541" s="2"/>
    </row>
    <row r="542" spans="5:5" ht="13.8">
      <c r="E542" s="2"/>
    </row>
    <row r="543" spans="5:5" ht="13.8">
      <c r="E543" s="2"/>
    </row>
    <row r="544" spans="5:5" ht="13.8">
      <c r="E544" s="2"/>
    </row>
    <row r="545" spans="5:5" ht="13.8">
      <c r="E545" s="2"/>
    </row>
    <row r="546" spans="5:5" ht="13.8">
      <c r="E546" s="2"/>
    </row>
    <row r="547" spans="5:5" ht="13.8">
      <c r="E547" s="2"/>
    </row>
    <row r="548" spans="5:5" ht="13.8">
      <c r="E548" s="2"/>
    </row>
    <row r="549" spans="5:5" ht="13.8">
      <c r="E549" s="2"/>
    </row>
    <row r="550" spans="5:5" ht="13.8">
      <c r="E550" s="2"/>
    </row>
    <row r="551" spans="5:5" ht="13.8">
      <c r="E551" s="2"/>
    </row>
    <row r="552" spans="5:5" ht="13.8">
      <c r="E552" s="2"/>
    </row>
    <row r="553" spans="5:5" ht="13.8">
      <c r="E553" s="2"/>
    </row>
    <row r="554" spans="5:5" ht="13.8">
      <c r="E554" s="2"/>
    </row>
    <row r="555" spans="5:5" ht="13.8">
      <c r="E555" s="2"/>
    </row>
    <row r="556" spans="5:5" ht="13.8">
      <c r="E556" s="2"/>
    </row>
    <row r="557" spans="5:5" ht="13.8">
      <c r="E557" s="2"/>
    </row>
    <row r="558" spans="5:5" ht="13.8">
      <c r="E558" s="2"/>
    </row>
    <row r="559" spans="5:5" ht="13.8">
      <c r="E559" s="2"/>
    </row>
    <row r="560" spans="5:5" ht="13.8">
      <c r="E560" s="2"/>
    </row>
    <row r="561" spans="5:5" ht="13.8">
      <c r="E561" s="2"/>
    </row>
    <row r="562" spans="5:5" ht="13.8">
      <c r="E562" s="2"/>
    </row>
    <row r="563" spans="5:5" ht="13.8">
      <c r="E563" s="2"/>
    </row>
    <row r="564" spans="5:5" ht="13.8">
      <c r="E564" s="2"/>
    </row>
    <row r="565" spans="5:5" ht="13.8">
      <c r="E565" s="2"/>
    </row>
    <row r="566" spans="5:5" ht="13.8">
      <c r="E566" s="2"/>
    </row>
    <row r="567" spans="5:5" ht="13.8">
      <c r="E567" s="2"/>
    </row>
    <row r="568" spans="5:5" ht="13.8">
      <c r="E568" s="2"/>
    </row>
    <row r="569" spans="5:5" ht="13.8">
      <c r="E569" s="2"/>
    </row>
    <row r="570" spans="5:5" ht="13.8">
      <c r="E570" s="2"/>
    </row>
    <row r="571" spans="5:5" ht="13.8">
      <c r="E571" s="2"/>
    </row>
    <row r="572" spans="5:5" ht="13.8">
      <c r="E572" s="2"/>
    </row>
    <row r="573" spans="5:5" ht="13.8">
      <c r="E573" s="2"/>
    </row>
    <row r="574" spans="5:5" ht="13.8">
      <c r="E574" s="2"/>
    </row>
    <row r="575" spans="5:5" ht="13.8">
      <c r="E575" s="2"/>
    </row>
    <row r="576" spans="5:5" ht="13.8">
      <c r="E576" s="2"/>
    </row>
    <row r="577" spans="5:5" ht="13.8">
      <c r="E577" s="2"/>
    </row>
    <row r="578" spans="5:5" ht="13.8">
      <c r="E578" s="2"/>
    </row>
    <row r="579" spans="5:5" ht="13.8">
      <c r="E579" s="2"/>
    </row>
    <row r="580" spans="5:5" ht="13.8">
      <c r="E580" s="2"/>
    </row>
    <row r="581" spans="5:5" ht="13.8">
      <c r="E581" s="2"/>
    </row>
    <row r="582" spans="5:5" ht="13.8">
      <c r="E582" s="2"/>
    </row>
    <row r="583" spans="5:5" ht="13.8">
      <c r="E583" s="2"/>
    </row>
    <row r="584" spans="5:5" ht="13.8">
      <c r="E584" s="2"/>
    </row>
    <row r="585" spans="5:5" ht="13.8">
      <c r="E585" s="2"/>
    </row>
    <row r="586" spans="5:5" ht="13.8">
      <c r="E586" s="2"/>
    </row>
    <row r="587" spans="5:5" ht="13.8">
      <c r="E587" s="2"/>
    </row>
    <row r="588" spans="5:5" ht="13.8">
      <c r="E588" s="2"/>
    </row>
    <row r="589" spans="5:5" ht="13.8">
      <c r="E589" s="2"/>
    </row>
    <row r="590" spans="5:5" ht="13.8">
      <c r="E590" s="2"/>
    </row>
    <row r="591" spans="5:5" ht="13.8">
      <c r="E591" s="2"/>
    </row>
    <row r="592" spans="5:5" ht="13.8">
      <c r="E592" s="2"/>
    </row>
    <row r="593" spans="5:5" ht="13.8">
      <c r="E593" s="2"/>
    </row>
    <row r="594" spans="5:5" ht="13.8">
      <c r="E594" s="2"/>
    </row>
    <row r="595" spans="5:5" ht="13.8">
      <c r="E595" s="2"/>
    </row>
    <row r="596" spans="5:5" ht="13.8">
      <c r="E596" s="2"/>
    </row>
    <row r="597" spans="5:5" ht="13.8">
      <c r="E597" s="2"/>
    </row>
    <row r="598" spans="5:5" ht="13.8">
      <c r="E598" s="2"/>
    </row>
    <row r="599" spans="5:5" ht="13.8">
      <c r="E599" s="2"/>
    </row>
    <row r="600" spans="5:5" ht="13.8">
      <c r="E600" s="2"/>
    </row>
    <row r="601" spans="5:5" ht="13.8">
      <c r="E601" s="2"/>
    </row>
    <row r="602" spans="5:5" ht="13.8">
      <c r="E602" s="2"/>
    </row>
    <row r="603" spans="5:5" ht="13.8">
      <c r="E603" s="2"/>
    </row>
    <row r="604" spans="5:5" ht="13.8">
      <c r="E604" s="2"/>
    </row>
    <row r="605" spans="5:5" ht="13.8">
      <c r="E605" s="2"/>
    </row>
    <row r="606" spans="5:5" ht="13.8">
      <c r="E606" s="2"/>
    </row>
    <row r="607" spans="5:5" ht="13.8">
      <c r="E607" s="2"/>
    </row>
    <row r="608" spans="5:5" ht="13.8">
      <c r="E608" s="2"/>
    </row>
    <row r="609" spans="5:5" ht="13.8">
      <c r="E609" s="2"/>
    </row>
    <row r="610" spans="5:5" ht="13.8">
      <c r="E610" s="2"/>
    </row>
    <row r="611" spans="5:5" ht="13.8">
      <c r="E611" s="2"/>
    </row>
    <row r="612" spans="5:5" ht="13.8">
      <c r="E612" s="2"/>
    </row>
    <row r="613" spans="5:5" ht="13.8">
      <c r="E613" s="2"/>
    </row>
    <row r="614" spans="5:5" ht="13.8">
      <c r="E614" s="2"/>
    </row>
    <row r="615" spans="5:5" ht="13.8">
      <c r="E615" s="2"/>
    </row>
    <row r="616" spans="5:5" ht="13.8">
      <c r="E616" s="2"/>
    </row>
    <row r="617" spans="5:5" ht="13.8">
      <c r="E617" s="2"/>
    </row>
    <row r="618" spans="5:5" ht="13.8">
      <c r="E618" s="2"/>
    </row>
    <row r="619" spans="5:5" ht="13.8">
      <c r="E619" s="2"/>
    </row>
    <row r="620" spans="5:5" ht="13.8">
      <c r="E620" s="2"/>
    </row>
    <row r="621" spans="5:5" ht="13.8">
      <c r="E621" s="2"/>
    </row>
    <row r="622" spans="5:5" ht="13.8">
      <c r="E622" s="2"/>
    </row>
    <row r="623" spans="5:5" ht="13.8">
      <c r="E623" s="2"/>
    </row>
    <row r="624" spans="5:5" ht="13.8">
      <c r="E624" s="2"/>
    </row>
    <row r="625" spans="5:5" ht="13.8">
      <c r="E625" s="2"/>
    </row>
    <row r="626" spans="5:5" ht="13.8">
      <c r="E626" s="2"/>
    </row>
    <row r="627" spans="5:5" ht="13.8">
      <c r="E627" s="2"/>
    </row>
    <row r="628" spans="5:5" ht="13.8">
      <c r="E628" s="2"/>
    </row>
    <row r="629" spans="5:5" ht="13.8">
      <c r="E629" s="2"/>
    </row>
    <row r="630" spans="5:5" ht="13.8">
      <c r="E630" s="2"/>
    </row>
    <row r="631" spans="5:5" ht="13.8">
      <c r="E631" s="2"/>
    </row>
    <row r="632" spans="5:5" ht="13.8">
      <c r="E632" s="2"/>
    </row>
    <row r="633" spans="5:5" ht="13.8">
      <c r="E633" s="2"/>
    </row>
    <row r="634" spans="5:5" ht="13.8">
      <c r="E634" s="2"/>
    </row>
    <row r="635" spans="5:5" ht="13.8">
      <c r="E635" s="2"/>
    </row>
    <row r="636" spans="5:5" ht="13.8">
      <c r="E636" s="2"/>
    </row>
    <row r="637" spans="5:5" ht="13.8">
      <c r="E637" s="2"/>
    </row>
    <row r="638" spans="5:5" ht="13.8">
      <c r="E638" s="2"/>
    </row>
    <row r="639" spans="5:5" ht="13.8">
      <c r="E639" s="2"/>
    </row>
    <row r="640" spans="5:5" ht="13.8">
      <c r="E640" s="2"/>
    </row>
    <row r="641" spans="5:5" ht="13.8">
      <c r="E641" s="2"/>
    </row>
    <row r="642" spans="5:5" ht="13.8">
      <c r="E642" s="2"/>
    </row>
    <row r="643" spans="5:5" ht="13.8">
      <c r="E643" s="2"/>
    </row>
    <row r="644" spans="5:5" ht="13.8">
      <c r="E644" s="2"/>
    </row>
    <row r="645" spans="5:5" ht="13.8">
      <c r="E645" s="2"/>
    </row>
    <row r="646" spans="5:5" ht="13.8">
      <c r="E646" s="2"/>
    </row>
    <row r="647" spans="5:5" ht="13.8">
      <c r="E647" s="2"/>
    </row>
    <row r="648" spans="5:5" ht="13.8">
      <c r="E648" s="2"/>
    </row>
    <row r="649" spans="5:5" ht="13.8">
      <c r="E649" s="2"/>
    </row>
    <row r="650" spans="5:5" ht="13.8">
      <c r="E650" s="2"/>
    </row>
    <row r="651" spans="5:5" ht="13.8">
      <c r="E651" s="2"/>
    </row>
    <row r="652" spans="5:5" ht="13.8">
      <c r="E652" s="2"/>
    </row>
    <row r="653" spans="5:5" ht="13.8">
      <c r="E653" s="2"/>
    </row>
    <row r="654" spans="5:5" ht="13.8">
      <c r="E654" s="2"/>
    </row>
    <row r="655" spans="5:5" ht="13.8">
      <c r="E655" s="2"/>
    </row>
    <row r="656" spans="5:5" ht="13.8">
      <c r="E656" s="2"/>
    </row>
    <row r="657" spans="5:5" ht="13.8">
      <c r="E657" s="2"/>
    </row>
    <row r="658" spans="5:5" ht="13.8">
      <c r="E658" s="2"/>
    </row>
    <row r="659" spans="5:5" ht="13.8">
      <c r="E659" s="2"/>
    </row>
    <row r="660" spans="5:5" ht="13.8">
      <c r="E660" s="2"/>
    </row>
    <row r="661" spans="5:5" ht="13.8">
      <c r="E661" s="2"/>
    </row>
    <row r="662" spans="5:5" ht="13.8">
      <c r="E662" s="2"/>
    </row>
    <row r="663" spans="5:5" ht="13.8">
      <c r="E663" s="2"/>
    </row>
    <row r="664" spans="5:5" ht="13.8">
      <c r="E664" s="2"/>
    </row>
    <row r="665" spans="5:5" ht="13.8">
      <c r="E665" s="2"/>
    </row>
    <row r="666" spans="5:5" ht="13.8">
      <c r="E666" s="2"/>
    </row>
    <row r="667" spans="5:5" ht="13.8">
      <c r="E667" s="2"/>
    </row>
    <row r="668" spans="5:5" ht="13.8">
      <c r="E668" s="2"/>
    </row>
    <row r="669" spans="5:5" ht="13.8">
      <c r="E669" s="2"/>
    </row>
    <row r="670" spans="5:5" ht="13.8">
      <c r="E670" s="2"/>
    </row>
    <row r="671" spans="5:5" ht="13.8">
      <c r="E671" s="2"/>
    </row>
    <row r="672" spans="5:5" ht="13.8">
      <c r="E672" s="2"/>
    </row>
    <row r="673" spans="5:5" ht="13.8">
      <c r="E673" s="2"/>
    </row>
    <row r="674" spans="5:5" ht="13.8">
      <c r="E674" s="2"/>
    </row>
    <row r="675" spans="5:5" ht="13.8">
      <c r="E675" s="2"/>
    </row>
    <row r="676" spans="5:5" ht="13.8">
      <c r="E676" s="2"/>
    </row>
    <row r="677" spans="5:5" ht="13.8">
      <c r="E677" s="2"/>
    </row>
    <row r="678" spans="5:5" ht="13.8">
      <c r="E678" s="2"/>
    </row>
    <row r="679" spans="5:5" ht="13.8">
      <c r="E679" s="2"/>
    </row>
    <row r="680" spans="5:5" ht="13.8">
      <c r="E680" s="2"/>
    </row>
    <row r="681" spans="5:5" ht="13.8">
      <c r="E681" s="2"/>
    </row>
    <row r="682" spans="5:5" ht="13.8">
      <c r="E682" s="2"/>
    </row>
    <row r="683" spans="5:5" ht="13.8">
      <c r="E683" s="2"/>
    </row>
    <row r="684" spans="5:5" ht="13.8">
      <c r="E684" s="2"/>
    </row>
    <row r="685" spans="5:5" ht="13.8">
      <c r="E685" s="2"/>
    </row>
    <row r="686" spans="5:5" ht="13.8">
      <c r="E686" s="2"/>
    </row>
    <row r="687" spans="5:5" ht="13.8">
      <c r="E687" s="2"/>
    </row>
    <row r="688" spans="5:5" ht="13.8">
      <c r="E688" s="2"/>
    </row>
    <row r="689" spans="5:5" ht="13.8">
      <c r="E689" s="2"/>
    </row>
    <row r="690" spans="5:5" ht="13.8">
      <c r="E690" s="2"/>
    </row>
    <row r="691" spans="5:5" ht="13.8">
      <c r="E691" s="2"/>
    </row>
    <row r="692" spans="5:5" ht="13.8">
      <c r="E692" s="2"/>
    </row>
    <row r="693" spans="5:5" ht="13.8">
      <c r="E693" s="2"/>
    </row>
    <row r="694" spans="5:5" ht="13.8">
      <c r="E694" s="2"/>
    </row>
    <row r="695" spans="5:5" ht="13.8">
      <c r="E695" s="2"/>
    </row>
    <row r="696" spans="5:5" ht="13.8">
      <c r="E696" s="2"/>
    </row>
    <row r="697" spans="5:5" ht="13.8">
      <c r="E697" s="2"/>
    </row>
    <row r="698" spans="5:5" ht="13.8">
      <c r="E698" s="2"/>
    </row>
    <row r="699" spans="5:5" ht="13.8">
      <c r="E699" s="2"/>
    </row>
    <row r="700" spans="5:5" ht="13.8">
      <c r="E700" s="2"/>
    </row>
    <row r="701" spans="5:5" ht="13.8">
      <c r="E701" s="2"/>
    </row>
    <row r="702" spans="5:5" ht="13.8">
      <c r="E702" s="2"/>
    </row>
    <row r="703" spans="5:5" ht="13.8">
      <c r="E703" s="2"/>
    </row>
    <row r="704" spans="5:5" ht="13.8">
      <c r="E704" s="2"/>
    </row>
    <row r="705" spans="5:5" ht="13.8">
      <c r="E705" s="2"/>
    </row>
    <row r="706" spans="5:5" ht="13.8">
      <c r="E706" s="2"/>
    </row>
    <row r="707" spans="5:5" ht="13.8">
      <c r="E707" s="2"/>
    </row>
    <row r="708" spans="5:5" ht="13.8">
      <c r="E708" s="2"/>
    </row>
    <row r="709" spans="5:5" ht="13.8">
      <c r="E709" s="2"/>
    </row>
    <row r="710" spans="5:5" ht="13.8">
      <c r="E710" s="2"/>
    </row>
    <row r="711" spans="5:5" ht="13.8">
      <c r="E711" s="2"/>
    </row>
    <row r="712" spans="5:5" ht="13.8">
      <c r="E712" s="2"/>
    </row>
    <row r="713" spans="5:5" ht="13.8">
      <c r="E713" s="2"/>
    </row>
    <row r="714" spans="5:5" ht="13.8">
      <c r="E714" s="2"/>
    </row>
    <row r="715" spans="5:5" ht="13.8">
      <c r="E715" s="2"/>
    </row>
    <row r="716" spans="5:5" ht="13.8">
      <c r="E716" s="2"/>
    </row>
    <row r="717" spans="5:5" ht="13.8">
      <c r="E717" s="2"/>
    </row>
    <row r="718" spans="5:5" ht="13.8">
      <c r="E718" s="2"/>
    </row>
    <row r="719" spans="5:5" ht="13.8">
      <c r="E719" s="2"/>
    </row>
    <row r="720" spans="5:5" ht="13.8">
      <c r="E720" s="2"/>
    </row>
    <row r="721" spans="5:5" ht="13.8">
      <c r="E721" s="2"/>
    </row>
    <row r="722" spans="5:5" ht="13.8">
      <c r="E722" s="2"/>
    </row>
    <row r="723" spans="5:5" ht="13.8">
      <c r="E723" s="2"/>
    </row>
    <row r="724" spans="5:5" ht="13.8">
      <c r="E724" s="2"/>
    </row>
    <row r="725" spans="5:5" ht="13.8">
      <c r="E725" s="2"/>
    </row>
    <row r="726" spans="5:5" ht="13.8">
      <c r="E726" s="2"/>
    </row>
    <row r="727" spans="5:5" ht="13.8">
      <c r="E727" s="2"/>
    </row>
    <row r="728" spans="5:5" ht="13.8">
      <c r="E728" s="2"/>
    </row>
    <row r="729" spans="5:5" ht="13.8">
      <c r="E729" s="2"/>
    </row>
    <row r="730" spans="5:5" ht="13.8">
      <c r="E730" s="2"/>
    </row>
    <row r="731" spans="5:5" ht="13.8">
      <c r="E731" s="2"/>
    </row>
    <row r="732" spans="5:5" ht="13.8">
      <c r="E732" s="2"/>
    </row>
    <row r="733" spans="5:5" ht="13.8">
      <c r="E733" s="2"/>
    </row>
    <row r="734" spans="5:5" ht="13.8">
      <c r="E734" s="2"/>
    </row>
    <row r="735" spans="5:5" ht="13.8">
      <c r="E735" s="2"/>
    </row>
    <row r="736" spans="5:5" ht="13.8">
      <c r="E736" s="2"/>
    </row>
    <row r="737" spans="5:5" ht="13.8">
      <c r="E737" s="2"/>
    </row>
    <row r="738" spans="5:5" ht="13.8">
      <c r="E738" s="2"/>
    </row>
    <row r="739" spans="5:5" ht="13.8">
      <c r="E739" s="2"/>
    </row>
    <row r="740" spans="5:5" ht="13.8">
      <c r="E740" s="2"/>
    </row>
    <row r="741" spans="5:5" ht="13.8">
      <c r="E741" s="2"/>
    </row>
    <row r="742" spans="5:5" ht="13.8">
      <c r="E742" s="2"/>
    </row>
    <row r="743" spans="5:5" ht="13.8">
      <c r="E743" s="2"/>
    </row>
    <row r="744" spans="5:5" ht="13.8">
      <c r="E744" s="2"/>
    </row>
    <row r="745" spans="5:5" ht="13.8">
      <c r="E745" s="2"/>
    </row>
    <row r="746" spans="5:5" ht="13.8">
      <c r="E746" s="2"/>
    </row>
    <row r="747" spans="5:5" ht="13.8">
      <c r="E747" s="2"/>
    </row>
    <row r="748" spans="5:5" ht="13.8">
      <c r="E748" s="2"/>
    </row>
    <row r="749" spans="5:5" ht="13.8">
      <c r="E749" s="2"/>
    </row>
    <row r="750" spans="5:5" ht="13.8">
      <c r="E750" s="2"/>
    </row>
    <row r="751" spans="5:5" ht="13.8">
      <c r="E751" s="2"/>
    </row>
    <row r="752" spans="5:5" ht="13.8">
      <c r="E752" s="2"/>
    </row>
    <row r="753" spans="5:5" ht="13.8">
      <c r="E753" s="2"/>
    </row>
    <row r="754" spans="5:5" ht="13.8">
      <c r="E754" s="2"/>
    </row>
    <row r="755" spans="5:5" ht="13.8">
      <c r="E755" s="2"/>
    </row>
    <row r="756" spans="5:5" ht="13.8">
      <c r="E756" s="2"/>
    </row>
    <row r="757" spans="5:5" ht="13.8">
      <c r="E757" s="2"/>
    </row>
    <row r="758" spans="5:5" ht="13.8">
      <c r="E758" s="2"/>
    </row>
    <row r="759" spans="5:5" ht="13.8">
      <c r="E759" s="2"/>
    </row>
    <row r="760" spans="5:5" ht="13.8">
      <c r="E760" s="2"/>
    </row>
    <row r="761" spans="5:5" ht="13.8">
      <c r="E761" s="2"/>
    </row>
    <row r="762" spans="5:5" ht="13.8">
      <c r="E762" s="2"/>
    </row>
    <row r="763" spans="5:5" ht="13.8">
      <c r="E763" s="2"/>
    </row>
    <row r="764" spans="5:5" ht="13.8">
      <c r="E764" s="2"/>
    </row>
    <row r="765" spans="5:5" ht="13.8">
      <c r="E765" s="2"/>
    </row>
    <row r="766" spans="5:5" ht="13.8">
      <c r="E766" s="2"/>
    </row>
    <row r="767" spans="5:5" ht="13.8">
      <c r="E767" s="2"/>
    </row>
    <row r="768" spans="5:5" ht="13.8">
      <c r="E768" s="2"/>
    </row>
    <row r="769" spans="5:5" ht="13.8">
      <c r="E769" s="2"/>
    </row>
    <row r="770" spans="5:5" ht="13.8">
      <c r="E770" s="2"/>
    </row>
    <row r="771" spans="5:5" ht="13.8">
      <c r="E771" s="2"/>
    </row>
    <row r="772" spans="5:5" ht="13.8">
      <c r="E772" s="2"/>
    </row>
    <row r="773" spans="5:5" ht="13.8">
      <c r="E773" s="2"/>
    </row>
    <row r="774" spans="5:5" ht="13.8">
      <c r="E774" s="2"/>
    </row>
    <row r="775" spans="5:5" ht="13.8">
      <c r="E775" s="2"/>
    </row>
    <row r="776" spans="5:5" ht="13.8">
      <c r="E776" s="2"/>
    </row>
    <row r="777" spans="5:5" ht="13.8">
      <c r="E777" s="2"/>
    </row>
    <row r="778" spans="5:5" ht="13.8">
      <c r="E778" s="2"/>
    </row>
    <row r="779" spans="5:5" ht="13.8">
      <c r="E779" s="2"/>
    </row>
    <row r="780" spans="5:5" ht="13.8">
      <c r="E780" s="2"/>
    </row>
    <row r="781" spans="5:5" ht="13.8">
      <c r="E781" s="2"/>
    </row>
    <row r="782" spans="5:5" ht="13.8">
      <c r="E782" s="2"/>
    </row>
    <row r="783" spans="5:5" ht="13.8">
      <c r="E783" s="2"/>
    </row>
    <row r="784" spans="5:5" ht="13.8">
      <c r="E784" s="2"/>
    </row>
    <row r="785" spans="5:5" ht="13.8">
      <c r="E785" s="2"/>
    </row>
    <row r="786" spans="5:5" ht="13.8">
      <c r="E786" s="2"/>
    </row>
    <row r="787" spans="5:5" ht="13.8">
      <c r="E787" s="2"/>
    </row>
    <row r="788" spans="5:5" ht="13.8">
      <c r="E788" s="2"/>
    </row>
    <row r="789" spans="5:5" ht="13.8">
      <c r="E789" s="2"/>
    </row>
    <row r="790" spans="5:5" ht="13.8">
      <c r="E790" s="2"/>
    </row>
    <row r="791" spans="5:5" ht="13.8">
      <c r="E791" s="2"/>
    </row>
    <row r="792" spans="5:5" ht="13.8">
      <c r="E792" s="2"/>
    </row>
    <row r="793" spans="5:5" ht="13.8">
      <c r="E793" s="2"/>
    </row>
    <row r="794" spans="5:5" ht="13.8">
      <c r="E794" s="2"/>
    </row>
    <row r="795" spans="5:5" ht="13.8">
      <c r="E795" s="2"/>
    </row>
    <row r="796" spans="5:5" ht="13.8">
      <c r="E796" s="2"/>
    </row>
    <row r="797" spans="5:5" ht="13.8">
      <c r="E797" s="2"/>
    </row>
    <row r="798" spans="5:5" ht="13.8">
      <c r="E798" s="2"/>
    </row>
    <row r="799" spans="5:5" ht="13.8">
      <c r="E799" s="2"/>
    </row>
    <row r="800" spans="5:5" ht="13.8">
      <c r="E800" s="2"/>
    </row>
    <row r="801" spans="5:5" ht="13.8">
      <c r="E801" s="2"/>
    </row>
    <row r="802" spans="5:5" ht="13.8">
      <c r="E802" s="2"/>
    </row>
    <row r="803" spans="5:5" ht="13.8">
      <c r="E803" s="2"/>
    </row>
    <row r="804" spans="5:5" ht="13.8">
      <c r="E804" s="2"/>
    </row>
    <row r="805" spans="5:5" ht="13.8">
      <c r="E805" s="2"/>
    </row>
    <row r="806" spans="5:5" ht="13.8">
      <c r="E806" s="2"/>
    </row>
    <row r="807" spans="5:5" ht="13.8">
      <c r="E807" s="2"/>
    </row>
    <row r="808" spans="5:5" ht="13.8">
      <c r="E808" s="2"/>
    </row>
    <row r="809" spans="5:5" ht="13.8">
      <c r="E809" s="2"/>
    </row>
    <row r="810" spans="5:5" ht="13.8">
      <c r="E810" s="2"/>
    </row>
    <row r="811" spans="5:5" ht="13.8">
      <c r="E811" s="2"/>
    </row>
    <row r="812" spans="5:5" ht="13.8">
      <c r="E812" s="2"/>
    </row>
    <row r="813" spans="5:5" ht="13.8">
      <c r="E813" s="2"/>
    </row>
    <row r="814" spans="5:5" ht="13.8">
      <c r="E814" s="2"/>
    </row>
    <row r="815" spans="5:5" ht="13.8">
      <c r="E815" s="2"/>
    </row>
    <row r="816" spans="5:5" ht="13.8">
      <c r="E816" s="2"/>
    </row>
    <row r="817" spans="5:5" ht="13.8">
      <c r="E817" s="2"/>
    </row>
    <row r="818" spans="5:5" ht="13.8">
      <c r="E818" s="2"/>
    </row>
    <row r="819" spans="5:5" ht="13.8">
      <c r="E819" s="2"/>
    </row>
    <row r="820" spans="5:5" ht="13.8">
      <c r="E820" s="2"/>
    </row>
    <row r="821" spans="5:5" ht="13.8">
      <c r="E821" s="2"/>
    </row>
    <row r="822" spans="5:5" ht="13.8">
      <c r="E822" s="2"/>
    </row>
    <row r="823" spans="5:5" ht="13.8">
      <c r="E823" s="2"/>
    </row>
    <row r="824" spans="5:5" ht="13.8">
      <c r="E824" s="2"/>
    </row>
    <row r="825" spans="5:5" ht="13.8">
      <c r="E825" s="2"/>
    </row>
    <row r="826" spans="5:5" ht="13.8">
      <c r="E826" s="2"/>
    </row>
    <row r="827" spans="5:5" ht="13.8">
      <c r="E827" s="2"/>
    </row>
    <row r="828" spans="5:5" ht="13.8">
      <c r="E828" s="2"/>
    </row>
    <row r="829" spans="5:5" ht="13.8">
      <c r="E829" s="2"/>
    </row>
    <row r="830" spans="5:5" ht="13.8">
      <c r="E830" s="2"/>
    </row>
    <row r="831" spans="5:5" ht="13.8">
      <c r="E831" s="2"/>
    </row>
    <row r="832" spans="5:5" ht="13.8">
      <c r="E832" s="2"/>
    </row>
    <row r="833" spans="5:5" ht="13.8">
      <c r="E833" s="2"/>
    </row>
    <row r="834" spans="5:5" ht="13.8">
      <c r="E834" s="2"/>
    </row>
    <row r="835" spans="5:5" ht="13.8">
      <c r="E835" s="2"/>
    </row>
    <row r="836" spans="5:5" ht="13.8">
      <c r="E836" s="2"/>
    </row>
    <row r="837" spans="5:5" ht="13.8">
      <c r="E837" s="2"/>
    </row>
    <row r="838" spans="5:5" ht="13.8">
      <c r="E838" s="2"/>
    </row>
    <row r="839" spans="5:5" ht="13.8">
      <c r="E839" s="2"/>
    </row>
    <row r="840" spans="5:5" ht="13.8">
      <c r="E840" s="2"/>
    </row>
    <row r="841" spans="5:5" ht="13.8">
      <c r="E841" s="2"/>
    </row>
    <row r="842" spans="5:5" ht="13.8">
      <c r="E842" s="2"/>
    </row>
    <row r="843" spans="5:5" ht="13.8">
      <c r="E843" s="2"/>
    </row>
    <row r="844" spans="5:5" ht="13.8">
      <c r="E844" s="2"/>
    </row>
    <row r="845" spans="5:5" ht="13.8">
      <c r="E845" s="2"/>
    </row>
    <row r="846" spans="5:5" ht="13.8">
      <c r="E846" s="2"/>
    </row>
    <row r="847" spans="5:5" ht="13.8">
      <c r="E847" s="2"/>
    </row>
    <row r="848" spans="5:5" ht="13.8">
      <c r="E848" s="2"/>
    </row>
    <row r="849" spans="5:5" ht="13.8">
      <c r="E849" s="2"/>
    </row>
    <row r="850" spans="5:5" ht="13.8">
      <c r="E850" s="2"/>
    </row>
    <row r="851" spans="5:5" ht="13.8">
      <c r="E851" s="2"/>
    </row>
    <row r="852" spans="5:5" ht="13.8">
      <c r="E852" s="2"/>
    </row>
    <row r="853" spans="5:5" ht="13.8">
      <c r="E853" s="2"/>
    </row>
    <row r="854" spans="5:5" ht="13.8">
      <c r="E854" s="2"/>
    </row>
    <row r="855" spans="5:5" ht="13.8">
      <c r="E855" s="2"/>
    </row>
    <row r="856" spans="5:5" ht="13.8">
      <c r="E856" s="2"/>
    </row>
    <row r="857" spans="5:5" ht="13.8">
      <c r="E857" s="2"/>
    </row>
    <row r="858" spans="5:5" ht="13.8">
      <c r="E858" s="2"/>
    </row>
    <row r="859" spans="5:5" ht="13.8">
      <c r="E859" s="2"/>
    </row>
    <row r="860" spans="5:5" ht="13.8">
      <c r="E860" s="2"/>
    </row>
    <row r="861" spans="5:5" ht="13.8">
      <c r="E861" s="2"/>
    </row>
    <row r="862" spans="5:5" ht="13.8">
      <c r="E862" s="2"/>
    </row>
    <row r="863" spans="5:5" ht="13.8">
      <c r="E863" s="2"/>
    </row>
    <row r="864" spans="5:5" ht="13.8">
      <c r="E864" s="2"/>
    </row>
    <row r="865" spans="5:5" ht="13.8">
      <c r="E865" s="2"/>
    </row>
    <row r="866" spans="5:5" ht="13.8">
      <c r="E866" s="2"/>
    </row>
    <row r="867" spans="5:5" ht="13.8">
      <c r="E867" s="2"/>
    </row>
    <row r="868" spans="5:5" ht="13.8">
      <c r="E868" s="2"/>
    </row>
    <row r="869" spans="5:5" ht="13.8">
      <c r="E869" s="2"/>
    </row>
    <row r="870" spans="5:5" ht="13.8">
      <c r="E870" s="2"/>
    </row>
    <row r="871" spans="5:5" ht="13.8">
      <c r="E871" s="2"/>
    </row>
    <row r="872" spans="5:5" ht="13.8">
      <c r="E872" s="2"/>
    </row>
    <row r="873" spans="5:5" ht="13.8">
      <c r="E873" s="2"/>
    </row>
    <row r="874" spans="5:5" ht="13.8">
      <c r="E874" s="2"/>
    </row>
    <row r="875" spans="5:5" ht="13.8">
      <c r="E875" s="2"/>
    </row>
    <row r="876" spans="5:5" ht="13.8">
      <c r="E876" s="2"/>
    </row>
    <row r="877" spans="5:5" ht="13.8">
      <c r="E877" s="2"/>
    </row>
    <row r="878" spans="5:5" ht="13.8">
      <c r="E878" s="2"/>
    </row>
    <row r="879" spans="5:5" ht="13.8">
      <c r="E879" s="2"/>
    </row>
    <row r="880" spans="5:5" ht="13.8">
      <c r="E880" s="2"/>
    </row>
    <row r="881" spans="5:5" ht="13.8">
      <c r="E881" s="2"/>
    </row>
    <row r="882" spans="5:5" ht="13.8">
      <c r="E882" s="2"/>
    </row>
    <row r="883" spans="5:5" ht="13.8">
      <c r="E883" s="2"/>
    </row>
    <row r="884" spans="5:5" ht="13.8">
      <c r="E884" s="2"/>
    </row>
    <row r="885" spans="5:5" ht="13.8">
      <c r="E885" s="2"/>
    </row>
    <row r="886" spans="5:5" ht="13.8">
      <c r="E886" s="2"/>
    </row>
    <row r="887" spans="5:5" ht="13.8">
      <c r="E887" s="2"/>
    </row>
    <row r="888" spans="5:5" ht="13.8">
      <c r="E888" s="2"/>
    </row>
    <row r="889" spans="5:5" ht="13.8">
      <c r="E889" s="2"/>
    </row>
    <row r="890" spans="5:5" ht="13.8">
      <c r="E890" s="2"/>
    </row>
    <row r="891" spans="5:5" ht="13.8">
      <c r="E891" s="2"/>
    </row>
    <row r="892" spans="5:5" ht="13.8">
      <c r="E892" s="2"/>
    </row>
    <row r="893" spans="5:5" ht="13.8">
      <c r="E893" s="2"/>
    </row>
    <row r="894" spans="5:5" ht="13.8">
      <c r="E894" s="2"/>
    </row>
    <row r="895" spans="5:5" ht="13.8">
      <c r="E895" s="2"/>
    </row>
    <row r="896" spans="5:5" ht="13.8">
      <c r="E896" s="2"/>
    </row>
    <row r="897" spans="5:5" ht="13.8">
      <c r="E897" s="2"/>
    </row>
    <row r="898" spans="5:5" ht="13.8">
      <c r="E898" s="2"/>
    </row>
    <row r="899" spans="5:5" ht="13.8">
      <c r="E899" s="2"/>
    </row>
    <row r="900" spans="5:5" ht="13.8">
      <c r="E900" s="2"/>
    </row>
    <row r="901" spans="5:5" ht="13.8">
      <c r="E901" s="2"/>
    </row>
    <row r="902" spans="5:5" ht="13.8">
      <c r="E902" s="2"/>
    </row>
    <row r="903" spans="5:5" ht="13.8">
      <c r="E903" s="2"/>
    </row>
    <row r="904" spans="5:5" ht="13.8">
      <c r="E904" s="2"/>
    </row>
    <row r="905" spans="5:5" ht="13.8">
      <c r="E905" s="2"/>
    </row>
    <row r="906" spans="5:5" ht="13.8">
      <c r="E906" s="2"/>
    </row>
    <row r="907" spans="5:5" ht="13.8">
      <c r="E907" s="2"/>
    </row>
    <row r="908" spans="5:5" ht="13.8">
      <c r="E908" s="2"/>
    </row>
    <row r="909" spans="5:5" ht="13.8">
      <c r="E909" s="2"/>
    </row>
    <row r="910" spans="5:5" ht="13.8">
      <c r="E910" s="2"/>
    </row>
    <row r="911" spans="5:5" ht="13.8">
      <c r="E911" s="2"/>
    </row>
    <row r="912" spans="5:5" ht="13.8">
      <c r="E912" s="2"/>
    </row>
    <row r="913" spans="5:5" ht="13.8">
      <c r="E913" s="2"/>
    </row>
    <row r="914" spans="5:5" ht="13.8">
      <c r="E914" s="2"/>
    </row>
    <row r="915" spans="5:5" ht="13.8">
      <c r="E915" s="2"/>
    </row>
    <row r="916" spans="5:5" ht="13.8">
      <c r="E916" s="2"/>
    </row>
    <row r="917" spans="5:5" ht="13.8">
      <c r="E917" s="2"/>
    </row>
    <row r="918" spans="5:5" ht="13.8">
      <c r="E918" s="2"/>
    </row>
    <row r="919" spans="5:5" ht="13.8">
      <c r="E919" s="2"/>
    </row>
    <row r="920" spans="5:5" ht="13.8">
      <c r="E920" s="2"/>
    </row>
    <row r="921" spans="5:5" ht="13.8">
      <c r="E921" s="2"/>
    </row>
    <row r="922" spans="5:5" ht="13.8">
      <c r="E922" s="2"/>
    </row>
    <row r="923" spans="5:5" ht="13.8">
      <c r="E923" s="2"/>
    </row>
    <row r="924" spans="5:5" ht="13.8">
      <c r="E924" s="2"/>
    </row>
    <row r="925" spans="5:5" ht="13.8">
      <c r="E925" s="2"/>
    </row>
    <row r="926" spans="5:5" ht="13.8">
      <c r="E926" s="2"/>
    </row>
    <row r="927" spans="5:5" ht="13.8">
      <c r="E927" s="2"/>
    </row>
    <row r="928" spans="5:5" ht="13.8">
      <c r="E928" s="2"/>
    </row>
    <row r="929" spans="5:5" ht="13.8">
      <c r="E929" s="2"/>
    </row>
    <row r="930" spans="5:5" ht="13.8">
      <c r="E930" s="2"/>
    </row>
    <row r="931" spans="5:5" ht="13.8">
      <c r="E931" s="2"/>
    </row>
    <row r="932" spans="5:5" ht="13.8">
      <c r="E932" s="2"/>
    </row>
    <row r="933" spans="5:5" ht="13.8">
      <c r="E933" s="2"/>
    </row>
    <row r="934" spans="5:5" ht="13.8">
      <c r="E934" s="2"/>
    </row>
    <row r="935" spans="5:5" ht="13.8">
      <c r="E935" s="2"/>
    </row>
    <row r="936" spans="5:5" ht="13.8">
      <c r="E936" s="2"/>
    </row>
    <row r="937" spans="5:5" ht="13.8">
      <c r="E937" s="2"/>
    </row>
    <row r="938" spans="5:5" ht="13.8">
      <c r="E938" s="2"/>
    </row>
    <row r="939" spans="5:5" ht="13.8">
      <c r="E939" s="2"/>
    </row>
    <row r="940" spans="5:5" ht="13.8">
      <c r="E940" s="2"/>
    </row>
    <row r="941" spans="5:5" ht="13.8">
      <c r="E941" s="2"/>
    </row>
    <row r="942" spans="5:5" ht="13.8">
      <c r="E942" s="2"/>
    </row>
    <row r="943" spans="5:5" ht="13.8">
      <c r="E943" s="2"/>
    </row>
    <row r="944" spans="5:5" ht="13.8">
      <c r="E944" s="2"/>
    </row>
    <row r="945" spans="5:5" ht="13.8">
      <c r="E945" s="2"/>
    </row>
    <row r="946" spans="5:5" ht="13.8">
      <c r="E946" s="2"/>
    </row>
    <row r="947" spans="5:5" ht="13.8">
      <c r="E947" s="2"/>
    </row>
    <row r="948" spans="5:5" ht="13.8">
      <c r="E948" s="2"/>
    </row>
    <row r="949" spans="5:5" ht="13.8">
      <c r="E949" s="2"/>
    </row>
    <row r="950" spans="5:5" ht="13.8">
      <c r="E950" s="2"/>
    </row>
    <row r="951" spans="5:5" ht="13.8">
      <c r="E951" s="2"/>
    </row>
    <row r="952" spans="5:5" ht="13.8">
      <c r="E952" s="2"/>
    </row>
    <row r="953" spans="5:5" ht="13.8">
      <c r="E953" s="2"/>
    </row>
    <row r="954" spans="5:5" ht="13.8">
      <c r="E954" s="2"/>
    </row>
    <row r="955" spans="5:5" ht="13.8">
      <c r="E955" s="2"/>
    </row>
    <row r="956" spans="5:5" ht="13.8">
      <c r="E956" s="2"/>
    </row>
    <row r="957" spans="5:5" ht="13.8">
      <c r="E957" s="2"/>
    </row>
    <row r="958" spans="5:5" ht="13.8">
      <c r="E958" s="2"/>
    </row>
    <row r="959" spans="5:5" ht="13.8">
      <c r="E959" s="2"/>
    </row>
    <row r="960" spans="5:5" ht="13.8">
      <c r="E960" s="2"/>
    </row>
    <row r="961" spans="5:5" ht="13.8">
      <c r="E961" s="2"/>
    </row>
    <row r="962" spans="5:5" ht="13.8">
      <c r="E962" s="2"/>
    </row>
    <row r="963" spans="5:5" ht="13.8">
      <c r="E963" s="2"/>
    </row>
    <row r="964" spans="5:5" ht="13.8">
      <c r="E964" s="2"/>
    </row>
    <row r="965" spans="5:5" ht="13.8">
      <c r="E965" s="2"/>
    </row>
    <row r="966" spans="5:5" ht="13.8">
      <c r="E966" s="2"/>
    </row>
    <row r="967" spans="5:5" ht="13.8">
      <c r="E967" s="2"/>
    </row>
    <row r="968" spans="5:5" ht="13.8">
      <c r="E968" s="2"/>
    </row>
    <row r="969" spans="5:5" ht="13.8">
      <c r="E969" s="2"/>
    </row>
    <row r="970" spans="5:5" ht="13.8">
      <c r="E970" s="2"/>
    </row>
    <row r="971" spans="5:5" ht="13.8">
      <c r="E971" s="2"/>
    </row>
    <row r="972" spans="5:5" ht="13.8">
      <c r="E972" s="2"/>
    </row>
    <row r="973" spans="5:5" ht="13.8">
      <c r="E973" s="2"/>
    </row>
    <row r="974" spans="5:5" ht="13.8">
      <c r="E974" s="2"/>
    </row>
    <row r="975" spans="5:5" ht="13.8">
      <c r="E975" s="2"/>
    </row>
    <row r="976" spans="5:5" ht="13.8">
      <c r="E976" s="2"/>
    </row>
    <row r="977" spans="5:5" ht="13.8">
      <c r="E977" s="2"/>
    </row>
    <row r="978" spans="5:5" ht="13.8">
      <c r="E978" s="2"/>
    </row>
    <row r="979" spans="5:5" ht="13.8">
      <c r="E979" s="2"/>
    </row>
    <row r="980" spans="5:5" ht="13.8">
      <c r="E980" s="2"/>
    </row>
    <row r="981" spans="5:5" ht="13.8">
      <c r="E981" s="2"/>
    </row>
    <row r="982" spans="5:5" ht="13.8">
      <c r="E982" s="2"/>
    </row>
    <row r="983" spans="5:5" ht="13.8">
      <c r="E983" s="2"/>
    </row>
    <row r="984" spans="5:5" ht="13.8">
      <c r="E984" s="2"/>
    </row>
    <row r="985" spans="5:5" ht="13.8">
      <c r="E985" s="2"/>
    </row>
    <row r="986" spans="5:5" ht="13.8">
      <c r="E986" s="2"/>
    </row>
    <row r="987" spans="5:5" ht="13.8">
      <c r="E987" s="2"/>
    </row>
    <row r="988" spans="5:5" ht="13.8">
      <c r="E988" s="2"/>
    </row>
    <row r="989" spans="5:5" ht="13.8">
      <c r="E989" s="2"/>
    </row>
    <row r="990" spans="5:5" ht="13.8">
      <c r="E990" s="2"/>
    </row>
    <row r="991" spans="5:5" ht="13.8">
      <c r="E991" s="2"/>
    </row>
    <row r="992" spans="5:5" ht="13.8">
      <c r="E992" s="2"/>
    </row>
    <row r="993" spans="5:5" ht="13.8">
      <c r="E993" s="2"/>
    </row>
    <row r="994" spans="5:5" ht="13.8">
      <c r="E994" s="2"/>
    </row>
    <row r="995" spans="5:5" ht="13.8">
      <c r="E995" s="2"/>
    </row>
    <row r="996" spans="5:5" ht="13.8">
      <c r="E996" s="2"/>
    </row>
    <row r="997" spans="5:5" ht="13.8">
      <c r="E997" s="2"/>
    </row>
    <row r="998" spans="5:5" ht="13.8">
      <c r="E998" s="2"/>
    </row>
  </sheetData>
  <mergeCells count="9">
    <mergeCell ref="S2:V2"/>
    <mergeCell ref="W2:Z2"/>
    <mergeCell ref="AB2:AB3"/>
    <mergeCell ref="AC2:AC3"/>
    <mergeCell ref="F2:I2"/>
    <mergeCell ref="I153:I154"/>
    <mergeCell ref="A2:A3"/>
    <mergeCell ref="J2:N2"/>
    <mergeCell ref="O2:R2"/>
  </mergeCells>
  <dataValidations count="1">
    <dataValidation type="list" allowBlank="1" showErrorMessage="1" sqref="F4:AA152 F153:H154 J153:AA154 F155:AA187 N188:AA193 N194:S194 U194:AA194 N195:AA196" xr:uid="{00000000-0002-0000-0100-000000000000}">
      <formula1>"አለ/ች,ቀሪ,ፍቃድ"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J935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defaultColWidth="12.6640625" defaultRowHeight="15.75" customHeight="1"/>
  <cols>
    <col min="1" max="1" width="8.33203125" customWidth="1"/>
    <col min="2" max="2" width="23.6640625" customWidth="1"/>
    <col min="3" max="4" width="7.88671875" customWidth="1"/>
    <col min="6" max="6" width="7.6640625" customWidth="1"/>
    <col min="7" max="21" width="6.33203125" customWidth="1"/>
    <col min="22" max="22" width="2.33203125" customWidth="1"/>
    <col min="23" max="23" width="5.77734375" customWidth="1"/>
    <col min="24" max="36" width="6.33203125" customWidth="1"/>
  </cols>
  <sheetData>
    <row r="1" spans="1:36" ht="15.75" customHeight="1">
      <c r="A1" s="326" t="s">
        <v>0</v>
      </c>
      <c r="B1" s="326" t="s">
        <v>1</v>
      </c>
      <c r="C1" s="327" t="s">
        <v>5</v>
      </c>
      <c r="D1" s="327" t="s">
        <v>7</v>
      </c>
      <c r="E1" s="327" t="s">
        <v>8</v>
      </c>
      <c r="F1" s="12" t="s">
        <v>3</v>
      </c>
      <c r="G1" s="319" t="s">
        <v>4</v>
      </c>
      <c r="H1" s="320"/>
      <c r="I1" s="320"/>
      <c r="J1" s="320"/>
      <c r="K1" s="321"/>
      <c r="L1" s="319" t="s">
        <v>9</v>
      </c>
      <c r="M1" s="320"/>
      <c r="N1" s="320"/>
      <c r="O1" s="321"/>
      <c r="P1" s="319" t="s">
        <v>11</v>
      </c>
      <c r="Q1" s="320"/>
      <c r="R1" s="320"/>
      <c r="S1" s="321"/>
      <c r="T1" s="319" t="s">
        <v>13</v>
      </c>
      <c r="U1" s="320"/>
      <c r="V1" s="320"/>
      <c r="W1" s="321"/>
      <c r="X1" s="310" t="s">
        <v>14</v>
      </c>
      <c r="Y1" s="311"/>
      <c r="Z1" s="311"/>
      <c r="AA1" s="311"/>
      <c r="AB1" s="312"/>
      <c r="AC1" s="310" t="s">
        <v>16</v>
      </c>
      <c r="AD1" s="311"/>
      <c r="AE1" s="311"/>
      <c r="AF1" s="312"/>
      <c r="AG1" s="313" t="s">
        <v>18</v>
      </c>
      <c r="AH1" s="313" t="s">
        <v>19</v>
      </c>
      <c r="AI1" s="313" t="s">
        <v>20</v>
      </c>
      <c r="AJ1" s="23"/>
    </row>
    <row r="2" spans="1:36" ht="15.75" customHeight="1">
      <c r="A2" s="314"/>
      <c r="B2" s="314"/>
      <c r="C2" s="328"/>
      <c r="D2" s="328"/>
      <c r="E2" s="328"/>
      <c r="F2" s="13">
        <v>25</v>
      </c>
      <c r="G2" s="13">
        <v>2</v>
      </c>
      <c r="H2" s="13">
        <v>9</v>
      </c>
      <c r="I2" s="13">
        <v>16</v>
      </c>
      <c r="J2" s="13">
        <v>23</v>
      </c>
      <c r="K2" s="13">
        <v>30</v>
      </c>
      <c r="L2" s="13">
        <v>7</v>
      </c>
      <c r="M2" s="13">
        <v>14</v>
      </c>
      <c r="N2" s="13">
        <v>21</v>
      </c>
      <c r="O2" s="13">
        <v>28</v>
      </c>
      <c r="P2" s="13">
        <v>5</v>
      </c>
      <c r="Q2" s="13">
        <v>12</v>
      </c>
      <c r="R2" s="13">
        <v>19</v>
      </c>
      <c r="S2" s="13">
        <v>26</v>
      </c>
      <c r="T2" s="13">
        <v>3</v>
      </c>
      <c r="U2" s="33">
        <v>10</v>
      </c>
      <c r="V2" s="33">
        <v>17</v>
      </c>
      <c r="W2" s="13">
        <v>24</v>
      </c>
      <c r="X2" s="13">
        <v>1</v>
      </c>
      <c r="Y2" s="13">
        <v>8</v>
      </c>
      <c r="Z2" s="37">
        <v>15</v>
      </c>
      <c r="AA2" s="39">
        <v>22</v>
      </c>
      <c r="AB2" s="39">
        <v>29</v>
      </c>
      <c r="AC2" s="23">
        <v>6</v>
      </c>
      <c r="AD2" s="23">
        <v>13</v>
      </c>
      <c r="AE2" s="23">
        <v>20</v>
      </c>
      <c r="AF2" s="23">
        <v>27</v>
      </c>
      <c r="AG2" s="314"/>
      <c r="AH2" s="314"/>
      <c r="AI2" s="314"/>
      <c r="AJ2" s="23"/>
    </row>
    <row r="3" spans="1:36">
      <c r="A3" s="41" t="s">
        <v>24</v>
      </c>
      <c r="B3" s="43" t="s">
        <v>25</v>
      </c>
      <c r="C3" s="41">
        <v>21</v>
      </c>
      <c r="D3" s="41" t="s">
        <v>26</v>
      </c>
      <c r="E3" s="41">
        <v>956440433</v>
      </c>
      <c r="F3" s="42" t="s">
        <v>19</v>
      </c>
      <c r="G3" s="42" t="s">
        <v>27</v>
      </c>
      <c r="H3" s="42" t="s">
        <v>27</v>
      </c>
      <c r="I3" s="42" t="s">
        <v>27</v>
      </c>
      <c r="J3" s="42" t="s">
        <v>27</v>
      </c>
      <c r="K3" s="42" t="s">
        <v>19</v>
      </c>
      <c r="L3" s="44"/>
      <c r="M3" s="44"/>
      <c r="N3" s="42" t="s">
        <v>27</v>
      </c>
      <c r="O3" s="42" t="s">
        <v>27</v>
      </c>
      <c r="P3" s="42" t="s">
        <v>27</v>
      </c>
      <c r="Q3" s="44"/>
      <c r="R3" s="44"/>
      <c r="S3" s="42" t="s">
        <v>27</v>
      </c>
      <c r="T3" s="42" t="s">
        <v>27</v>
      </c>
      <c r="U3" s="44"/>
      <c r="V3" s="44"/>
      <c r="W3" s="44"/>
      <c r="X3" s="44"/>
      <c r="Y3" s="44"/>
      <c r="Z3" s="44"/>
      <c r="AA3" s="44"/>
      <c r="AB3" s="44"/>
      <c r="AC3" s="44"/>
      <c r="AD3" s="42" t="s">
        <v>27</v>
      </c>
      <c r="AE3" s="44"/>
      <c r="AF3" s="44"/>
      <c r="AG3" s="44">
        <f t="shared" ref="AG3:AG121" si="0">COUNTIF(F3:AF3,"አለ/ች")</f>
        <v>10</v>
      </c>
      <c r="AH3" s="44">
        <f t="shared" ref="AH3:AH121" si="1">COUNTIF(F3:AF3,"ቀሪ")</f>
        <v>2</v>
      </c>
      <c r="AI3" s="44">
        <f t="shared" ref="AI3:AI121" si="2">AG3/6*100</f>
        <v>166.66666666666669</v>
      </c>
      <c r="AJ3" s="44"/>
    </row>
    <row r="4" spans="1:36">
      <c r="A4" s="41" t="s">
        <v>31</v>
      </c>
      <c r="B4" s="53" t="s">
        <v>33</v>
      </c>
      <c r="C4" s="41">
        <v>19</v>
      </c>
      <c r="D4" s="41" t="s">
        <v>35</v>
      </c>
      <c r="E4" s="41">
        <v>903206441</v>
      </c>
      <c r="F4" s="42" t="s">
        <v>19</v>
      </c>
      <c r="G4" s="42" t="s">
        <v>19</v>
      </c>
      <c r="H4" s="42" t="s">
        <v>19</v>
      </c>
      <c r="I4" s="42" t="s">
        <v>19</v>
      </c>
      <c r="J4" s="42" t="s">
        <v>19</v>
      </c>
      <c r="K4" s="42" t="s">
        <v>19</v>
      </c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>
        <f t="shared" si="0"/>
        <v>0</v>
      </c>
      <c r="AH4" s="44">
        <f t="shared" si="1"/>
        <v>6</v>
      </c>
      <c r="AI4" s="44">
        <f t="shared" si="2"/>
        <v>0</v>
      </c>
      <c r="AJ4" s="44"/>
    </row>
    <row r="5" spans="1:36">
      <c r="A5" s="41" t="s">
        <v>38</v>
      </c>
      <c r="B5" s="53" t="s">
        <v>39</v>
      </c>
      <c r="C5" s="41">
        <v>19</v>
      </c>
      <c r="D5" s="41" t="s">
        <v>35</v>
      </c>
      <c r="E5" s="41">
        <v>910806845</v>
      </c>
      <c r="F5" s="42" t="s">
        <v>27</v>
      </c>
      <c r="G5" s="42" t="s">
        <v>27</v>
      </c>
      <c r="H5" s="42" t="s">
        <v>27</v>
      </c>
      <c r="I5" s="42" t="s">
        <v>27</v>
      </c>
      <c r="J5" s="42" t="s">
        <v>27</v>
      </c>
      <c r="K5" s="42" t="s">
        <v>27</v>
      </c>
      <c r="L5" s="44"/>
      <c r="M5" s="44"/>
      <c r="N5" s="42" t="s">
        <v>27</v>
      </c>
      <c r="O5" s="44"/>
      <c r="P5" s="44"/>
      <c r="Q5" s="44"/>
      <c r="R5" s="44"/>
      <c r="S5" s="44"/>
      <c r="T5" s="44"/>
      <c r="U5" s="44"/>
      <c r="V5" s="44"/>
      <c r="W5" s="44"/>
      <c r="X5" s="44"/>
      <c r="Y5" s="42" t="s">
        <v>27</v>
      </c>
      <c r="Z5" s="44"/>
      <c r="AA5" s="44"/>
      <c r="AB5" s="44"/>
      <c r="AC5" s="44"/>
      <c r="AD5" s="42" t="s">
        <v>27</v>
      </c>
      <c r="AE5" s="44"/>
      <c r="AF5" s="42" t="s">
        <v>27</v>
      </c>
      <c r="AG5" s="44">
        <f t="shared" si="0"/>
        <v>10</v>
      </c>
      <c r="AH5" s="44">
        <f t="shared" si="1"/>
        <v>0</v>
      </c>
      <c r="AI5" s="44">
        <f t="shared" si="2"/>
        <v>166.66666666666669</v>
      </c>
      <c r="AJ5" s="44"/>
    </row>
    <row r="6" spans="1:36">
      <c r="A6" s="41" t="s">
        <v>42</v>
      </c>
      <c r="B6" s="53" t="s">
        <v>43</v>
      </c>
      <c r="C6" s="56"/>
      <c r="D6" s="41" t="s">
        <v>35</v>
      </c>
      <c r="E6" s="56"/>
      <c r="F6" s="42" t="s">
        <v>27</v>
      </c>
      <c r="G6" s="42" t="s">
        <v>19</v>
      </c>
      <c r="H6" s="42" t="s">
        <v>19</v>
      </c>
      <c r="I6" s="42" t="s">
        <v>19</v>
      </c>
      <c r="J6" s="42" t="s">
        <v>19</v>
      </c>
      <c r="K6" s="42" t="s">
        <v>19</v>
      </c>
      <c r="L6" s="44"/>
      <c r="M6" s="44"/>
      <c r="N6" s="44"/>
      <c r="O6" s="44"/>
      <c r="P6" s="44"/>
      <c r="Q6" s="44"/>
      <c r="R6" s="42" t="s">
        <v>27</v>
      </c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>
        <f t="shared" si="0"/>
        <v>2</v>
      </c>
      <c r="AH6" s="44">
        <f t="shared" si="1"/>
        <v>5</v>
      </c>
      <c r="AI6" s="44">
        <f t="shared" si="2"/>
        <v>33.333333333333329</v>
      </c>
      <c r="AJ6" s="44"/>
    </row>
    <row r="7" spans="1:36">
      <c r="A7" s="41" t="s">
        <v>46</v>
      </c>
      <c r="B7" s="53" t="s">
        <v>47</v>
      </c>
      <c r="C7" s="56"/>
      <c r="D7" s="41" t="s">
        <v>35</v>
      </c>
      <c r="E7" s="56"/>
      <c r="F7" s="42" t="s">
        <v>19</v>
      </c>
      <c r="G7" s="42" t="s">
        <v>19</v>
      </c>
      <c r="H7" s="42" t="s">
        <v>19</v>
      </c>
      <c r="I7" s="42" t="s">
        <v>27</v>
      </c>
      <c r="J7" s="42" t="s">
        <v>27</v>
      </c>
      <c r="K7" s="42" t="s">
        <v>19</v>
      </c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2"/>
      <c r="AE7" s="44"/>
      <c r="AF7" s="44"/>
      <c r="AG7" s="44">
        <f t="shared" si="0"/>
        <v>2</v>
      </c>
      <c r="AH7" s="44">
        <f t="shared" si="1"/>
        <v>4</v>
      </c>
      <c r="AI7" s="44">
        <f t="shared" si="2"/>
        <v>33.333333333333329</v>
      </c>
      <c r="AJ7" s="44"/>
    </row>
    <row r="8" spans="1:36">
      <c r="A8" s="41" t="s">
        <v>52</v>
      </c>
      <c r="B8" s="53" t="s">
        <v>53</v>
      </c>
      <c r="C8" s="56"/>
      <c r="D8" s="41" t="s">
        <v>35</v>
      </c>
      <c r="E8" s="56"/>
      <c r="F8" s="42" t="s">
        <v>19</v>
      </c>
      <c r="G8" s="42" t="s">
        <v>19</v>
      </c>
      <c r="H8" s="42" t="s">
        <v>19</v>
      </c>
      <c r="I8" s="42" t="s">
        <v>19</v>
      </c>
      <c r="J8" s="42" t="s">
        <v>27</v>
      </c>
      <c r="K8" s="42" t="s">
        <v>27</v>
      </c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>
        <f t="shared" si="0"/>
        <v>2</v>
      </c>
      <c r="AH8" s="44">
        <f t="shared" si="1"/>
        <v>4</v>
      </c>
      <c r="AI8" s="44">
        <f t="shared" si="2"/>
        <v>33.333333333333329</v>
      </c>
      <c r="AJ8" s="44"/>
    </row>
    <row r="9" spans="1:36">
      <c r="A9" s="41" t="s">
        <v>58</v>
      </c>
      <c r="B9" s="53" t="s">
        <v>59</v>
      </c>
      <c r="C9" s="56"/>
      <c r="D9" s="56"/>
      <c r="E9" s="56"/>
      <c r="F9" s="42" t="s">
        <v>19</v>
      </c>
      <c r="G9" s="42" t="s">
        <v>19</v>
      </c>
      <c r="H9" s="42" t="s">
        <v>27</v>
      </c>
      <c r="I9" s="42" t="s">
        <v>19</v>
      </c>
      <c r="J9" s="42" t="s">
        <v>19</v>
      </c>
      <c r="K9" s="42" t="s">
        <v>19</v>
      </c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>
        <f t="shared" si="0"/>
        <v>1</v>
      </c>
      <c r="AH9" s="44">
        <f t="shared" si="1"/>
        <v>5</v>
      </c>
      <c r="AI9" s="44">
        <f t="shared" si="2"/>
        <v>16.666666666666664</v>
      </c>
      <c r="AJ9" s="44"/>
    </row>
    <row r="10" spans="1:36">
      <c r="A10" s="41" t="s">
        <v>64</v>
      </c>
      <c r="B10" s="53" t="s">
        <v>65</v>
      </c>
      <c r="C10" s="41">
        <v>23</v>
      </c>
      <c r="D10" s="41" t="s">
        <v>35</v>
      </c>
      <c r="E10" s="41">
        <v>938848647</v>
      </c>
      <c r="F10" s="42" t="s">
        <v>27</v>
      </c>
      <c r="G10" s="42" t="s">
        <v>27</v>
      </c>
      <c r="H10" s="42" t="s">
        <v>27</v>
      </c>
      <c r="I10" s="42" t="s">
        <v>27</v>
      </c>
      <c r="J10" s="42" t="s">
        <v>27</v>
      </c>
      <c r="K10" s="42" t="s">
        <v>19</v>
      </c>
      <c r="L10" s="42" t="s">
        <v>27</v>
      </c>
      <c r="M10" s="42" t="s">
        <v>27</v>
      </c>
      <c r="N10" s="42" t="s">
        <v>27</v>
      </c>
      <c r="O10" s="42" t="s">
        <v>27</v>
      </c>
      <c r="P10" s="44"/>
      <c r="Q10" s="42" t="s">
        <v>27</v>
      </c>
      <c r="R10" s="42" t="s">
        <v>27</v>
      </c>
      <c r="S10" s="42" t="s">
        <v>27</v>
      </c>
      <c r="T10" s="42" t="s">
        <v>27</v>
      </c>
      <c r="U10" s="44"/>
      <c r="V10" s="44"/>
      <c r="W10" s="42" t="s">
        <v>27</v>
      </c>
      <c r="X10" s="42" t="s">
        <v>27</v>
      </c>
      <c r="Y10" s="44"/>
      <c r="Z10" s="42" t="s">
        <v>27</v>
      </c>
      <c r="AA10" s="44"/>
      <c r="AB10" s="44"/>
      <c r="AC10" s="42" t="s">
        <v>27</v>
      </c>
      <c r="AD10" s="44"/>
      <c r="AE10" s="44"/>
      <c r="AF10" s="44"/>
      <c r="AG10" s="44">
        <f t="shared" si="0"/>
        <v>17</v>
      </c>
      <c r="AH10" s="44">
        <f t="shared" si="1"/>
        <v>1</v>
      </c>
      <c r="AI10" s="44">
        <f t="shared" si="2"/>
        <v>283.33333333333337</v>
      </c>
      <c r="AJ10" s="44"/>
    </row>
    <row r="11" spans="1:36">
      <c r="A11" s="41" t="s">
        <v>68</v>
      </c>
      <c r="B11" s="53" t="s">
        <v>69</v>
      </c>
      <c r="C11" s="56"/>
      <c r="D11" s="41" t="s">
        <v>35</v>
      </c>
      <c r="E11" s="56"/>
      <c r="F11" s="42" t="s">
        <v>19</v>
      </c>
      <c r="G11" s="42" t="s">
        <v>19</v>
      </c>
      <c r="H11" s="42" t="s">
        <v>19</v>
      </c>
      <c r="I11" s="42" t="s">
        <v>19</v>
      </c>
      <c r="J11" s="42" t="s">
        <v>19</v>
      </c>
      <c r="K11" s="42" t="s">
        <v>19</v>
      </c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>
        <f t="shared" si="0"/>
        <v>0</v>
      </c>
      <c r="AH11" s="44">
        <f t="shared" si="1"/>
        <v>6</v>
      </c>
      <c r="AI11" s="44">
        <f t="shared" si="2"/>
        <v>0</v>
      </c>
      <c r="AJ11" s="44"/>
    </row>
    <row r="12" spans="1:36">
      <c r="A12" s="41" t="s">
        <v>74</v>
      </c>
      <c r="B12" s="53" t="s">
        <v>75</v>
      </c>
      <c r="C12" s="41">
        <v>27</v>
      </c>
      <c r="D12" s="41" t="s">
        <v>35</v>
      </c>
      <c r="E12" s="41">
        <v>932690379</v>
      </c>
      <c r="F12" s="42" t="s">
        <v>27</v>
      </c>
      <c r="G12" s="42" t="s">
        <v>27</v>
      </c>
      <c r="H12" s="42" t="s">
        <v>27</v>
      </c>
      <c r="I12" s="42" t="s">
        <v>19</v>
      </c>
      <c r="J12" s="42" t="s">
        <v>27</v>
      </c>
      <c r="K12" s="42" t="s">
        <v>19</v>
      </c>
      <c r="L12" s="42" t="s">
        <v>27</v>
      </c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>
        <f t="shared" si="0"/>
        <v>5</v>
      </c>
      <c r="AH12" s="44">
        <f t="shared" si="1"/>
        <v>2</v>
      </c>
      <c r="AI12" s="44">
        <f t="shared" si="2"/>
        <v>83.333333333333343</v>
      </c>
      <c r="AJ12" s="44"/>
    </row>
    <row r="13" spans="1:36">
      <c r="A13" s="41" t="s">
        <v>80</v>
      </c>
      <c r="B13" s="53" t="s">
        <v>81</v>
      </c>
      <c r="C13" s="56"/>
      <c r="D13" s="41" t="s">
        <v>35</v>
      </c>
      <c r="E13" s="56"/>
      <c r="F13" s="42" t="s">
        <v>19</v>
      </c>
      <c r="G13" s="42" t="s">
        <v>19</v>
      </c>
      <c r="H13" s="42" t="s">
        <v>19</v>
      </c>
      <c r="I13" s="42" t="s">
        <v>19</v>
      </c>
      <c r="J13" s="42" t="s">
        <v>19</v>
      </c>
      <c r="K13" s="42" t="s">
        <v>19</v>
      </c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>
        <f t="shared" si="0"/>
        <v>0</v>
      </c>
      <c r="AH13" s="44">
        <f t="shared" si="1"/>
        <v>6</v>
      </c>
      <c r="AI13" s="44">
        <f t="shared" si="2"/>
        <v>0</v>
      </c>
      <c r="AJ13" s="44"/>
    </row>
    <row r="14" spans="1:36">
      <c r="A14" s="41" t="s">
        <v>84</v>
      </c>
      <c r="B14" s="53" t="s">
        <v>86</v>
      </c>
      <c r="C14" s="56"/>
      <c r="D14" s="41" t="s">
        <v>35</v>
      </c>
      <c r="E14" s="56"/>
      <c r="F14" s="42" t="s">
        <v>19</v>
      </c>
      <c r="G14" s="42" t="s">
        <v>19</v>
      </c>
      <c r="H14" s="42" t="s">
        <v>19</v>
      </c>
      <c r="I14" s="42" t="s">
        <v>19</v>
      </c>
      <c r="J14" s="42" t="s">
        <v>19</v>
      </c>
      <c r="K14" s="42" t="s">
        <v>19</v>
      </c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>
        <f t="shared" si="0"/>
        <v>0</v>
      </c>
      <c r="AH14" s="44">
        <f t="shared" si="1"/>
        <v>6</v>
      </c>
      <c r="AI14" s="44">
        <f t="shared" si="2"/>
        <v>0</v>
      </c>
      <c r="AJ14" s="44"/>
    </row>
    <row r="15" spans="1:36">
      <c r="A15" s="41" t="s">
        <v>90</v>
      </c>
      <c r="B15" s="53" t="s">
        <v>91</v>
      </c>
      <c r="C15" s="56"/>
      <c r="D15" s="41" t="s">
        <v>26</v>
      </c>
      <c r="E15" s="56"/>
      <c r="F15" s="42" t="s">
        <v>19</v>
      </c>
      <c r="G15" s="42" t="s">
        <v>19</v>
      </c>
      <c r="H15" s="42" t="s">
        <v>19</v>
      </c>
      <c r="I15" s="42" t="s">
        <v>27</v>
      </c>
      <c r="J15" s="42" t="s">
        <v>27</v>
      </c>
      <c r="K15" s="42" t="s">
        <v>27</v>
      </c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2" t="s">
        <v>27</v>
      </c>
      <c r="Y15" s="42" t="s">
        <v>27</v>
      </c>
      <c r="Z15" s="42" t="s">
        <v>27</v>
      </c>
      <c r="AA15" s="44"/>
      <c r="AB15" s="44"/>
      <c r="AC15" s="44"/>
      <c r="AD15" s="44"/>
      <c r="AE15" s="44"/>
      <c r="AF15" s="44"/>
      <c r="AG15" s="44">
        <f t="shared" si="0"/>
        <v>6</v>
      </c>
      <c r="AH15" s="44">
        <f t="shared" si="1"/>
        <v>3</v>
      </c>
      <c r="AI15" s="44">
        <f t="shared" si="2"/>
        <v>100</v>
      </c>
      <c r="AJ15" s="44"/>
    </row>
    <row r="16" spans="1:36">
      <c r="A16" s="41" t="s">
        <v>98</v>
      </c>
      <c r="B16" s="53" t="s">
        <v>99</v>
      </c>
      <c r="C16" s="41">
        <v>24</v>
      </c>
      <c r="D16" s="41" t="s">
        <v>26</v>
      </c>
      <c r="E16" s="41">
        <v>909539851</v>
      </c>
      <c r="F16" s="42" t="s">
        <v>112</v>
      </c>
      <c r="G16" s="42" t="s">
        <v>27</v>
      </c>
      <c r="H16" s="42" t="s">
        <v>27</v>
      </c>
      <c r="I16" s="42" t="s">
        <v>27</v>
      </c>
      <c r="J16" s="42" t="s">
        <v>27</v>
      </c>
      <c r="K16" s="42" t="s">
        <v>19</v>
      </c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2" t="s">
        <v>27</v>
      </c>
      <c r="AA16" s="44"/>
      <c r="AB16" s="44"/>
      <c r="AC16" s="44"/>
      <c r="AD16" s="44"/>
      <c r="AE16" s="44"/>
      <c r="AF16" s="44"/>
      <c r="AG16" s="44">
        <f t="shared" si="0"/>
        <v>5</v>
      </c>
      <c r="AH16" s="44">
        <f t="shared" si="1"/>
        <v>1</v>
      </c>
      <c r="AI16" s="44">
        <f t="shared" si="2"/>
        <v>83.333333333333343</v>
      </c>
      <c r="AJ16" s="44"/>
    </row>
    <row r="17" spans="1:36">
      <c r="A17" s="41" t="s">
        <v>104</v>
      </c>
      <c r="B17" s="53" t="s">
        <v>105</v>
      </c>
      <c r="C17" s="56"/>
      <c r="D17" s="41" t="s">
        <v>35</v>
      </c>
      <c r="E17" s="41">
        <v>911446913</v>
      </c>
      <c r="F17" s="42" t="s">
        <v>19</v>
      </c>
      <c r="G17" s="42" t="s">
        <v>27</v>
      </c>
      <c r="H17" s="42" t="s">
        <v>19</v>
      </c>
      <c r="I17" s="42" t="s">
        <v>27</v>
      </c>
      <c r="J17" s="42" t="s">
        <v>27</v>
      </c>
      <c r="K17" s="42" t="s">
        <v>19</v>
      </c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>
        <f t="shared" si="0"/>
        <v>3</v>
      </c>
      <c r="AH17" s="44">
        <f t="shared" si="1"/>
        <v>3</v>
      </c>
      <c r="AI17" s="44">
        <f t="shared" si="2"/>
        <v>50</v>
      </c>
      <c r="AJ17" s="44"/>
    </row>
    <row r="18" spans="1:36">
      <c r="A18" s="41" t="s">
        <v>108</v>
      </c>
      <c r="B18" s="53" t="s">
        <v>109</v>
      </c>
      <c r="C18" s="56"/>
      <c r="D18" s="41" t="s">
        <v>35</v>
      </c>
      <c r="E18" s="41">
        <v>997169556</v>
      </c>
      <c r="F18" s="42" t="s">
        <v>27</v>
      </c>
      <c r="G18" s="42" t="s">
        <v>27</v>
      </c>
      <c r="H18" s="42" t="s">
        <v>27</v>
      </c>
      <c r="I18" s="42" t="s">
        <v>19</v>
      </c>
      <c r="J18" s="42" t="s">
        <v>19</v>
      </c>
      <c r="K18" s="42" t="s">
        <v>19</v>
      </c>
      <c r="L18" s="44"/>
      <c r="M18" s="42" t="s">
        <v>27</v>
      </c>
      <c r="N18" s="42" t="s">
        <v>27</v>
      </c>
      <c r="O18" s="42" t="s">
        <v>27</v>
      </c>
      <c r="P18" s="44"/>
      <c r="Q18" s="42" t="s">
        <v>27</v>
      </c>
      <c r="R18" s="42" t="s">
        <v>27</v>
      </c>
      <c r="S18" s="44"/>
      <c r="T18" s="42" t="s">
        <v>27</v>
      </c>
      <c r="U18" s="42" t="s">
        <v>27</v>
      </c>
      <c r="V18" s="44"/>
      <c r="W18" s="42" t="s">
        <v>27</v>
      </c>
      <c r="X18" s="42" t="s">
        <v>27</v>
      </c>
      <c r="Y18" s="44"/>
      <c r="Z18" s="44"/>
      <c r="AA18" s="44"/>
      <c r="AB18" s="44"/>
      <c r="AC18" s="44"/>
      <c r="AD18" s="42" t="s">
        <v>27</v>
      </c>
      <c r="AE18" s="44"/>
      <c r="AF18" s="44"/>
      <c r="AG18" s="44">
        <f t="shared" si="0"/>
        <v>13</v>
      </c>
      <c r="AH18" s="44">
        <f t="shared" si="1"/>
        <v>3</v>
      </c>
      <c r="AI18" s="44">
        <f t="shared" si="2"/>
        <v>216.66666666666666</v>
      </c>
      <c r="AJ18" s="44"/>
    </row>
    <row r="19" spans="1:36">
      <c r="A19" s="41" t="s">
        <v>113</v>
      </c>
      <c r="B19" s="53" t="s">
        <v>114</v>
      </c>
      <c r="C19" s="56"/>
      <c r="D19" s="41" t="s">
        <v>35</v>
      </c>
      <c r="E19" s="56"/>
      <c r="F19" s="42" t="s">
        <v>27</v>
      </c>
      <c r="G19" s="42" t="s">
        <v>27</v>
      </c>
      <c r="H19" s="42" t="s">
        <v>27</v>
      </c>
      <c r="I19" s="42" t="s">
        <v>19</v>
      </c>
      <c r="J19" s="42" t="s">
        <v>19</v>
      </c>
      <c r="K19" s="42" t="s">
        <v>19</v>
      </c>
      <c r="L19" s="44"/>
      <c r="M19" s="44"/>
      <c r="N19" s="44"/>
      <c r="O19" s="44"/>
      <c r="P19" s="44"/>
      <c r="Q19" s="44"/>
      <c r="R19" s="42" t="s">
        <v>27</v>
      </c>
      <c r="S19" s="44"/>
      <c r="T19" s="42" t="s">
        <v>27</v>
      </c>
      <c r="U19" s="44"/>
      <c r="V19" s="44"/>
      <c r="W19" s="42" t="s">
        <v>27</v>
      </c>
      <c r="X19" s="42" t="s">
        <v>112</v>
      </c>
      <c r="Y19" s="42" t="s">
        <v>27</v>
      </c>
      <c r="Z19" s="42" t="s">
        <v>27</v>
      </c>
      <c r="AA19" s="44"/>
      <c r="AB19" s="44"/>
      <c r="AC19" s="44"/>
      <c r="AD19" s="44"/>
      <c r="AE19" s="44"/>
      <c r="AF19" s="44"/>
      <c r="AG19" s="44">
        <f t="shared" si="0"/>
        <v>8</v>
      </c>
      <c r="AH19" s="44">
        <f t="shared" si="1"/>
        <v>3</v>
      </c>
      <c r="AI19" s="44">
        <f t="shared" si="2"/>
        <v>133.33333333333331</v>
      </c>
      <c r="AJ19" s="44"/>
    </row>
    <row r="20" spans="1:36">
      <c r="A20" s="41" t="s">
        <v>119</v>
      </c>
      <c r="B20" s="53" t="s">
        <v>120</v>
      </c>
      <c r="C20" s="56"/>
      <c r="D20" s="41" t="s">
        <v>35</v>
      </c>
      <c r="E20" s="56"/>
      <c r="F20" s="42" t="s">
        <v>27</v>
      </c>
      <c r="G20" s="42" t="s">
        <v>27</v>
      </c>
      <c r="H20" s="42" t="s">
        <v>27</v>
      </c>
      <c r="I20" s="42" t="s">
        <v>19</v>
      </c>
      <c r="J20" s="42" t="s">
        <v>112</v>
      </c>
      <c r="K20" s="42" t="s">
        <v>19</v>
      </c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2" t="s">
        <v>27</v>
      </c>
      <c r="AE20" s="44"/>
      <c r="AF20" s="44"/>
      <c r="AG20" s="44">
        <f t="shared" si="0"/>
        <v>4</v>
      </c>
      <c r="AH20" s="44">
        <f t="shared" si="1"/>
        <v>2</v>
      </c>
      <c r="AI20" s="44">
        <f t="shared" si="2"/>
        <v>66.666666666666657</v>
      </c>
      <c r="AJ20" s="44"/>
    </row>
    <row r="21" spans="1:36">
      <c r="A21" s="41" t="s">
        <v>125</v>
      </c>
      <c r="B21" s="53" t="s">
        <v>126</v>
      </c>
      <c r="C21" s="41">
        <v>25</v>
      </c>
      <c r="D21" s="41" t="s">
        <v>35</v>
      </c>
      <c r="E21" s="41">
        <v>942371124</v>
      </c>
      <c r="F21" s="42" t="s">
        <v>19</v>
      </c>
      <c r="G21" s="42" t="s">
        <v>27</v>
      </c>
      <c r="H21" s="42" t="s">
        <v>27</v>
      </c>
      <c r="I21" s="42" t="s">
        <v>27</v>
      </c>
      <c r="J21" s="42" t="s">
        <v>27</v>
      </c>
      <c r="K21" s="42" t="s">
        <v>27</v>
      </c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>
        <f t="shared" si="0"/>
        <v>5</v>
      </c>
      <c r="AH21" s="44">
        <f t="shared" si="1"/>
        <v>1</v>
      </c>
      <c r="AI21" s="44">
        <f t="shared" si="2"/>
        <v>83.333333333333343</v>
      </c>
      <c r="AJ21" s="44"/>
    </row>
    <row r="22" spans="1:36">
      <c r="A22" s="41" t="s">
        <v>129</v>
      </c>
      <c r="B22" s="53" t="s">
        <v>130</v>
      </c>
      <c r="C22" s="56"/>
      <c r="D22" s="41" t="s">
        <v>26</v>
      </c>
      <c r="E22" s="56"/>
      <c r="F22" s="42" t="s">
        <v>27</v>
      </c>
      <c r="G22" s="42" t="s">
        <v>27</v>
      </c>
      <c r="H22" s="42" t="s">
        <v>27</v>
      </c>
      <c r="I22" s="42" t="s">
        <v>27</v>
      </c>
      <c r="J22" s="42" t="s">
        <v>27</v>
      </c>
      <c r="K22" s="42" t="s">
        <v>27</v>
      </c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2" t="s">
        <v>27</v>
      </c>
      <c r="AG22" s="44">
        <f t="shared" si="0"/>
        <v>7</v>
      </c>
      <c r="AH22" s="44">
        <f t="shared" si="1"/>
        <v>0</v>
      </c>
      <c r="AI22" s="44">
        <f t="shared" si="2"/>
        <v>116.66666666666667</v>
      </c>
      <c r="AJ22" s="44"/>
    </row>
    <row r="23" spans="1:36">
      <c r="A23" s="41" t="s">
        <v>135</v>
      </c>
      <c r="B23" s="53" t="s">
        <v>136</v>
      </c>
      <c r="C23" s="56"/>
      <c r="D23" s="41" t="s">
        <v>26</v>
      </c>
      <c r="E23" s="56"/>
      <c r="F23" s="42" t="s">
        <v>27</v>
      </c>
      <c r="G23" s="42" t="s">
        <v>19</v>
      </c>
      <c r="H23" s="42" t="s">
        <v>27</v>
      </c>
      <c r="I23" s="42" t="s">
        <v>27</v>
      </c>
      <c r="J23" s="42" t="s">
        <v>27</v>
      </c>
      <c r="K23" s="42" t="s">
        <v>27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>
        <f t="shared" si="0"/>
        <v>5</v>
      </c>
      <c r="AH23" s="44">
        <f t="shared" si="1"/>
        <v>1</v>
      </c>
      <c r="AI23" s="44">
        <f t="shared" si="2"/>
        <v>83.333333333333343</v>
      </c>
      <c r="AJ23" s="44"/>
    </row>
    <row r="24" spans="1:36">
      <c r="A24" s="41" t="s">
        <v>139</v>
      </c>
      <c r="B24" s="53" t="s">
        <v>140</v>
      </c>
      <c r="C24" s="56"/>
      <c r="D24" s="41" t="s">
        <v>35</v>
      </c>
      <c r="E24" s="56"/>
      <c r="F24" s="42" t="s">
        <v>19</v>
      </c>
      <c r="G24" s="42" t="s">
        <v>19</v>
      </c>
      <c r="H24" s="42" t="s">
        <v>19</v>
      </c>
      <c r="I24" s="42" t="s">
        <v>19</v>
      </c>
      <c r="J24" s="42" t="s">
        <v>19</v>
      </c>
      <c r="K24" s="42" t="s">
        <v>19</v>
      </c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>
        <f t="shared" si="0"/>
        <v>0</v>
      </c>
      <c r="AH24" s="44">
        <f t="shared" si="1"/>
        <v>6</v>
      </c>
      <c r="AI24" s="44">
        <f t="shared" si="2"/>
        <v>0</v>
      </c>
      <c r="AJ24" s="44"/>
    </row>
    <row r="25" spans="1:36">
      <c r="A25" s="41" t="s">
        <v>143</v>
      </c>
      <c r="B25" s="53" t="s">
        <v>144</v>
      </c>
      <c r="C25" s="56"/>
      <c r="D25" s="41" t="s">
        <v>35</v>
      </c>
      <c r="E25" s="56"/>
      <c r="F25" s="42" t="s">
        <v>19</v>
      </c>
      <c r="G25" s="42" t="s">
        <v>19</v>
      </c>
      <c r="H25" s="42" t="s">
        <v>19</v>
      </c>
      <c r="I25" s="42" t="s">
        <v>19</v>
      </c>
      <c r="J25" s="42" t="s">
        <v>19</v>
      </c>
      <c r="K25" s="42" t="s">
        <v>19</v>
      </c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>
        <f t="shared" si="0"/>
        <v>0</v>
      </c>
      <c r="AH25" s="44">
        <f t="shared" si="1"/>
        <v>6</v>
      </c>
      <c r="AI25" s="44">
        <f t="shared" si="2"/>
        <v>0</v>
      </c>
      <c r="AJ25" s="44"/>
    </row>
    <row r="26" spans="1:36">
      <c r="A26" s="41" t="s">
        <v>149</v>
      </c>
      <c r="B26" s="53" t="s">
        <v>150</v>
      </c>
      <c r="C26" s="41">
        <v>24</v>
      </c>
      <c r="D26" s="41" t="s">
        <v>35</v>
      </c>
      <c r="E26" s="41">
        <v>954161350</v>
      </c>
      <c r="F26" s="42" t="s">
        <v>27</v>
      </c>
      <c r="G26" s="42" t="s">
        <v>27</v>
      </c>
      <c r="H26" s="42" t="s">
        <v>27</v>
      </c>
      <c r="I26" s="42" t="s">
        <v>27</v>
      </c>
      <c r="J26" s="42" t="s">
        <v>27</v>
      </c>
      <c r="K26" s="42" t="s">
        <v>19</v>
      </c>
      <c r="L26" s="44"/>
      <c r="M26" s="44"/>
      <c r="N26" s="42" t="s">
        <v>27</v>
      </c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>
        <f t="shared" si="0"/>
        <v>6</v>
      </c>
      <c r="AH26" s="44">
        <f t="shared" si="1"/>
        <v>1</v>
      </c>
      <c r="AI26" s="44">
        <f t="shared" si="2"/>
        <v>100</v>
      </c>
      <c r="AJ26" s="44"/>
    </row>
    <row r="27" spans="1:36">
      <c r="A27" s="41" t="s">
        <v>153</v>
      </c>
      <c r="B27" s="53" t="s">
        <v>154</v>
      </c>
      <c r="C27" s="56"/>
      <c r="D27" s="41" t="s">
        <v>35</v>
      </c>
      <c r="E27" s="56"/>
      <c r="F27" s="42" t="s">
        <v>27</v>
      </c>
      <c r="G27" s="42" t="s">
        <v>27</v>
      </c>
      <c r="H27" s="42" t="s">
        <v>27</v>
      </c>
      <c r="I27" s="42" t="s">
        <v>19</v>
      </c>
      <c r="J27" s="42" t="s">
        <v>27</v>
      </c>
      <c r="K27" s="42" t="s">
        <v>27</v>
      </c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2" t="s">
        <v>27</v>
      </c>
      <c r="AD27" s="44"/>
      <c r="AE27" s="44"/>
      <c r="AF27" s="44"/>
      <c r="AG27" s="44">
        <f t="shared" si="0"/>
        <v>6</v>
      </c>
      <c r="AH27" s="44">
        <f t="shared" si="1"/>
        <v>1</v>
      </c>
      <c r="AI27" s="44">
        <f t="shared" si="2"/>
        <v>100</v>
      </c>
      <c r="AJ27" s="44"/>
    </row>
    <row r="28" spans="1:36">
      <c r="A28" s="41" t="s">
        <v>159</v>
      </c>
      <c r="B28" s="53" t="s">
        <v>160</v>
      </c>
      <c r="C28" s="56"/>
      <c r="D28" s="41" t="s">
        <v>26</v>
      </c>
      <c r="E28" s="56"/>
      <c r="F28" s="42" t="s">
        <v>19</v>
      </c>
      <c r="G28" s="42" t="s">
        <v>19</v>
      </c>
      <c r="H28" s="42" t="s">
        <v>19</v>
      </c>
      <c r="I28" s="42" t="s">
        <v>27</v>
      </c>
      <c r="J28" s="42" t="s">
        <v>27</v>
      </c>
      <c r="K28" s="42" t="s">
        <v>112</v>
      </c>
      <c r="L28" s="44"/>
      <c r="M28" s="44"/>
      <c r="N28" s="44"/>
      <c r="O28" s="44"/>
      <c r="P28" s="44"/>
      <c r="Q28" s="42" t="s">
        <v>27</v>
      </c>
      <c r="R28" s="44"/>
      <c r="S28" s="44"/>
      <c r="T28" s="44"/>
      <c r="U28" s="44"/>
      <c r="V28" s="44"/>
      <c r="W28" s="44"/>
      <c r="X28" s="42" t="s">
        <v>27</v>
      </c>
      <c r="Y28" s="42" t="s">
        <v>27</v>
      </c>
      <c r="Z28" s="42" t="s">
        <v>27</v>
      </c>
      <c r="AA28" s="44"/>
      <c r="AB28" s="44"/>
      <c r="AC28" s="44"/>
      <c r="AD28" s="44"/>
      <c r="AE28" s="44"/>
      <c r="AF28" s="44"/>
      <c r="AG28" s="44">
        <f t="shared" si="0"/>
        <v>6</v>
      </c>
      <c r="AH28" s="44">
        <f t="shared" si="1"/>
        <v>3</v>
      </c>
      <c r="AI28" s="44">
        <f t="shared" si="2"/>
        <v>100</v>
      </c>
      <c r="AJ28" s="44"/>
    </row>
    <row r="29" spans="1:36">
      <c r="A29" s="41" t="s">
        <v>165</v>
      </c>
      <c r="B29" s="53" t="s">
        <v>166</v>
      </c>
      <c r="C29" s="56"/>
      <c r="D29" s="41" t="s">
        <v>26</v>
      </c>
      <c r="E29" s="56"/>
      <c r="F29" s="42" t="s">
        <v>19</v>
      </c>
      <c r="G29" s="42" t="s">
        <v>19</v>
      </c>
      <c r="H29" s="42" t="s">
        <v>112</v>
      </c>
      <c r="I29" s="42" t="s">
        <v>19</v>
      </c>
      <c r="J29" s="42" t="s">
        <v>19</v>
      </c>
      <c r="K29" s="42" t="s">
        <v>19</v>
      </c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>
        <f t="shared" si="0"/>
        <v>0</v>
      </c>
      <c r="AH29" s="44">
        <f t="shared" si="1"/>
        <v>5</v>
      </c>
      <c r="AI29" s="44">
        <f t="shared" si="2"/>
        <v>0</v>
      </c>
      <c r="AJ29" s="44"/>
    </row>
    <row r="30" spans="1:36">
      <c r="A30" s="41" t="s">
        <v>171</v>
      </c>
      <c r="B30" s="53" t="s">
        <v>172</v>
      </c>
      <c r="C30" s="41">
        <v>25</v>
      </c>
      <c r="D30" s="41" t="s">
        <v>26</v>
      </c>
      <c r="E30" s="41">
        <v>941558553</v>
      </c>
      <c r="F30" s="42" t="s">
        <v>19</v>
      </c>
      <c r="G30" s="42" t="s">
        <v>27</v>
      </c>
      <c r="H30" s="42" t="s">
        <v>19</v>
      </c>
      <c r="I30" s="42" t="s">
        <v>19</v>
      </c>
      <c r="J30" s="42" t="s">
        <v>19</v>
      </c>
      <c r="K30" s="42" t="s">
        <v>27</v>
      </c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2" t="s">
        <v>27</v>
      </c>
      <c r="Z30" s="44"/>
      <c r="AA30" s="44"/>
      <c r="AB30" s="44"/>
      <c r="AC30" s="44"/>
      <c r="AD30" s="42" t="s">
        <v>27</v>
      </c>
      <c r="AE30" s="44"/>
      <c r="AF30" s="44"/>
      <c r="AG30" s="44">
        <f t="shared" si="0"/>
        <v>4</v>
      </c>
      <c r="AH30" s="44">
        <f t="shared" si="1"/>
        <v>4</v>
      </c>
      <c r="AI30" s="44">
        <f t="shared" si="2"/>
        <v>66.666666666666657</v>
      </c>
      <c r="AJ30" s="44"/>
    </row>
    <row r="31" spans="1:36">
      <c r="A31" s="41" t="s">
        <v>177</v>
      </c>
      <c r="B31" s="53" t="s">
        <v>178</v>
      </c>
      <c r="C31" s="41">
        <v>24</v>
      </c>
      <c r="D31" s="41" t="s">
        <v>35</v>
      </c>
      <c r="E31" s="41">
        <v>962187064</v>
      </c>
      <c r="F31" s="42" t="s">
        <v>27</v>
      </c>
      <c r="G31" s="42" t="s">
        <v>27</v>
      </c>
      <c r="H31" s="42" t="s">
        <v>112</v>
      </c>
      <c r="I31" s="42" t="s">
        <v>27</v>
      </c>
      <c r="J31" s="42" t="s">
        <v>27</v>
      </c>
      <c r="K31" s="42" t="s">
        <v>27</v>
      </c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2" t="s">
        <v>27</v>
      </c>
      <c r="Z31" s="42" t="s">
        <v>27</v>
      </c>
      <c r="AA31" s="44"/>
      <c r="AB31" s="44"/>
      <c r="AC31" s="44"/>
      <c r="AD31" s="44"/>
      <c r="AE31" s="44"/>
      <c r="AF31" s="44"/>
      <c r="AG31" s="44">
        <f t="shared" si="0"/>
        <v>7</v>
      </c>
      <c r="AH31" s="44">
        <f t="shared" si="1"/>
        <v>0</v>
      </c>
      <c r="AI31" s="44">
        <f t="shared" si="2"/>
        <v>116.66666666666667</v>
      </c>
      <c r="AJ31" s="44"/>
    </row>
    <row r="32" spans="1:36">
      <c r="A32" s="41" t="s">
        <v>183</v>
      </c>
      <c r="B32" s="53" t="s">
        <v>184</v>
      </c>
      <c r="C32" s="56"/>
      <c r="D32" s="41" t="s">
        <v>35</v>
      </c>
      <c r="E32" s="56"/>
      <c r="F32" s="42" t="s">
        <v>19</v>
      </c>
      <c r="G32" s="42" t="s">
        <v>19</v>
      </c>
      <c r="H32" s="42" t="s">
        <v>27</v>
      </c>
      <c r="I32" s="42" t="s">
        <v>27</v>
      </c>
      <c r="J32" s="42" t="s">
        <v>19</v>
      </c>
      <c r="K32" s="42" t="s">
        <v>27</v>
      </c>
      <c r="L32" s="44"/>
      <c r="M32" s="44"/>
      <c r="N32" s="42" t="s">
        <v>27</v>
      </c>
      <c r="O32" s="44"/>
      <c r="P32" s="44"/>
      <c r="Q32" s="44"/>
      <c r="R32" s="42" t="s">
        <v>27</v>
      </c>
      <c r="S32" s="44"/>
      <c r="T32" s="44"/>
      <c r="U32" s="44"/>
      <c r="V32" s="44"/>
      <c r="W32" s="44"/>
      <c r="X32" s="42" t="s">
        <v>27</v>
      </c>
      <c r="Y32" s="42" t="s">
        <v>27</v>
      </c>
      <c r="Z32" s="42" t="s">
        <v>27</v>
      </c>
      <c r="AA32" s="44"/>
      <c r="AB32" s="44"/>
      <c r="AC32" s="44"/>
      <c r="AD32" s="42" t="s">
        <v>27</v>
      </c>
      <c r="AE32" s="44"/>
      <c r="AF32" s="44"/>
      <c r="AG32" s="44">
        <f t="shared" si="0"/>
        <v>9</v>
      </c>
      <c r="AH32" s="44">
        <f t="shared" si="1"/>
        <v>3</v>
      </c>
      <c r="AI32" s="44">
        <f t="shared" si="2"/>
        <v>150</v>
      </c>
      <c r="AJ32" s="44"/>
    </row>
    <row r="33" spans="1:36" ht="13.8">
      <c r="A33" s="41" t="s">
        <v>189</v>
      </c>
      <c r="B33" s="53" t="s">
        <v>190</v>
      </c>
      <c r="C33" s="56"/>
      <c r="D33" s="41" t="s">
        <v>35</v>
      </c>
      <c r="E33" s="56"/>
      <c r="F33" s="42" t="s">
        <v>19</v>
      </c>
      <c r="G33" s="42" t="s">
        <v>19</v>
      </c>
      <c r="H33" s="42" t="s">
        <v>19</v>
      </c>
      <c r="I33" s="42" t="s">
        <v>19</v>
      </c>
      <c r="J33" s="42" t="s">
        <v>19</v>
      </c>
      <c r="K33" s="42" t="s">
        <v>19</v>
      </c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>
        <f t="shared" si="0"/>
        <v>0</v>
      </c>
      <c r="AH33" s="44">
        <f t="shared" si="1"/>
        <v>6</v>
      </c>
      <c r="AI33" s="44">
        <f t="shared" si="2"/>
        <v>0</v>
      </c>
      <c r="AJ33" s="44"/>
    </row>
    <row r="34" spans="1:36" ht="13.8">
      <c r="A34" s="41" t="s">
        <v>195</v>
      </c>
      <c r="B34" s="53" t="s">
        <v>198</v>
      </c>
      <c r="C34" s="56"/>
      <c r="D34" s="41" t="s">
        <v>26</v>
      </c>
      <c r="E34" s="56"/>
      <c r="F34" s="42" t="s">
        <v>27</v>
      </c>
      <c r="G34" s="42" t="s">
        <v>19</v>
      </c>
      <c r="H34" s="42" t="s">
        <v>19</v>
      </c>
      <c r="I34" s="42" t="s">
        <v>19</v>
      </c>
      <c r="J34" s="42" t="s">
        <v>19</v>
      </c>
      <c r="K34" s="42" t="s">
        <v>19</v>
      </c>
      <c r="L34" s="44"/>
      <c r="M34" s="44"/>
      <c r="N34" s="44"/>
      <c r="O34" s="44"/>
      <c r="P34" s="44"/>
      <c r="Q34" s="44"/>
      <c r="R34" s="42" t="s">
        <v>27</v>
      </c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>
        <f t="shared" si="0"/>
        <v>2</v>
      </c>
      <c r="AH34" s="44">
        <f t="shared" si="1"/>
        <v>5</v>
      </c>
      <c r="AI34" s="44">
        <f t="shared" si="2"/>
        <v>33.333333333333329</v>
      </c>
      <c r="AJ34" s="44"/>
    </row>
    <row r="35" spans="1:36" ht="13.8">
      <c r="A35" s="41" t="s">
        <v>203</v>
      </c>
      <c r="B35" s="53" t="s">
        <v>204</v>
      </c>
      <c r="C35" s="56"/>
      <c r="D35" s="41" t="s">
        <v>26</v>
      </c>
      <c r="E35" s="56"/>
      <c r="F35" s="42" t="s">
        <v>19</v>
      </c>
      <c r="G35" s="42" t="s">
        <v>19</v>
      </c>
      <c r="H35" s="42" t="s">
        <v>19</v>
      </c>
      <c r="I35" s="42" t="s">
        <v>19</v>
      </c>
      <c r="J35" s="42" t="s">
        <v>19</v>
      </c>
      <c r="K35" s="42" t="s">
        <v>19</v>
      </c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2" t="s">
        <v>27</v>
      </c>
      <c r="Y35" s="42" t="s">
        <v>27</v>
      </c>
      <c r="Z35" s="42" t="s">
        <v>27</v>
      </c>
      <c r="AA35" s="44"/>
      <c r="AB35" s="44"/>
      <c r="AC35" s="44"/>
      <c r="AD35" s="44"/>
      <c r="AE35" s="44"/>
      <c r="AF35" s="44"/>
      <c r="AG35" s="44">
        <f t="shared" si="0"/>
        <v>3</v>
      </c>
      <c r="AH35" s="44">
        <f t="shared" si="1"/>
        <v>6</v>
      </c>
      <c r="AI35" s="44">
        <f t="shared" si="2"/>
        <v>50</v>
      </c>
      <c r="AJ35" s="44"/>
    </row>
    <row r="36" spans="1:36" ht="13.8">
      <c r="A36" s="41" t="s">
        <v>209</v>
      </c>
      <c r="B36" s="53" t="s">
        <v>210</v>
      </c>
      <c r="C36" s="41">
        <v>19</v>
      </c>
      <c r="D36" s="41" t="s">
        <v>35</v>
      </c>
      <c r="E36" s="41">
        <v>990051191</v>
      </c>
      <c r="F36" s="42" t="s">
        <v>27</v>
      </c>
      <c r="G36" s="42" t="s">
        <v>27</v>
      </c>
      <c r="H36" s="42" t="s">
        <v>19</v>
      </c>
      <c r="I36" s="42" t="s">
        <v>19</v>
      </c>
      <c r="J36" s="42" t="s">
        <v>27</v>
      </c>
      <c r="K36" s="42" t="s">
        <v>19</v>
      </c>
      <c r="L36" s="44"/>
      <c r="M36" s="44"/>
      <c r="N36" s="42" t="s">
        <v>27</v>
      </c>
      <c r="O36" s="42" t="s">
        <v>27</v>
      </c>
      <c r="P36" s="44"/>
      <c r="Q36" s="44"/>
      <c r="R36" s="44"/>
      <c r="S36" s="44"/>
      <c r="T36" s="44"/>
      <c r="U36" s="44"/>
      <c r="V36" s="44"/>
      <c r="W36" s="44"/>
      <c r="X36" s="44"/>
      <c r="Y36" s="42" t="s">
        <v>27</v>
      </c>
      <c r="Z36" s="42" t="s">
        <v>27</v>
      </c>
      <c r="AA36" s="44"/>
      <c r="AB36" s="44"/>
      <c r="AC36" s="44"/>
      <c r="AD36" s="44"/>
      <c r="AE36" s="44"/>
      <c r="AF36" s="44"/>
      <c r="AG36" s="44">
        <f t="shared" si="0"/>
        <v>7</v>
      </c>
      <c r="AH36" s="44">
        <f t="shared" si="1"/>
        <v>3</v>
      </c>
      <c r="AI36" s="44">
        <f t="shared" si="2"/>
        <v>116.66666666666667</v>
      </c>
      <c r="AJ36" s="44"/>
    </row>
    <row r="37" spans="1:36" ht="13.8">
      <c r="A37" s="41" t="s">
        <v>213</v>
      </c>
      <c r="B37" s="53" t="s">
        <v>214</v>
      </c>
      <c r="C37" s="56"/>
      <c r="D37" s="41" t="s">
        <v>26</v>
      </c>
      <c r="E37" s="56"/>
      <c r="F37" s="42" t="s">
        <v>27</v>
      </c>
      <c r="G37" s="42" t="s">
        <v>19</v>
      </c>
      <c r="H37" s="42" t="s">
        <v>19</v>
      </c>
      <c r="I37" s="42" t="s">
        <v>27</v>
      </c>
      <c r="J37" s="42" t="s">
        <v>27</v>
      </c>
      <c r="K37" s="42" t="s">
        <v>27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2" t="s">
        <v>27</v>
      </c>
      <c r="Z37" s="42" t="s">
        <v>27</v>
      </c>
      <c r="AA37" s="44"/>
      <c r="AB37" s="44"/>
      <c r="AC37" s="44"/>
      <c r="AD37" s="44"/>
      <c r="AE37" s="44"/>
      <c r="AF37" s="44"/>
      <c r="AG37" s="44">
        <f t="shared" si="0"/>
        <v>6</v>
      </c>
      <c r="AH37" s="44">
        <f t="shared" si="1"/>
        <v>2</v>
      </c>
      <c r="AI37" s="44">
        <f t="shared" si="2"/>
        <v>100</v>
      </c>
      <c r="AJ37" s="81"/>
    </row>
    <row r="38" spans="1:36" ht="13.8">
      <c r="A38" s="41" t="s">
        <v>219</v>
      </c>
      <c r="B38" s="53" t="s">
        <v>220</v>
      </c>
      <c r="C38" s="56"/>
      <c r="D38" s="41" t="s">
        <v>26</v>
      </c>
      <c r="E38" s="41">
        <v>930013140</v>
      </c>
      <c r="F38" s="42" t="s">
        <v>19</v>
      </c>
      <c r="G38" s="42" t="s">
        <v>19</v>
      </c>
      <c r="H38" s="42" t="s">
        <v>27</v>
      </c>
      <c r="I38" s="42" t="s">
        <v>112</v>
      </c>
      <c r="J38" s="42" t="s">
        <v>27</v>
      </c>
      <c r="K38" s="42" t="s">
        <v>19</v>
      </c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2" t="s">
        <v>27</v>
      </c>
      <c r="AA38" s="44"/>
      <c r="AB38" s="44"/>
      <c r="AC38" s="44"/>
      <c r="AD38" s="44"/>
      <c r="AE38" s="44"/>
      <c r="AF38" s="44"/>
      <c r="AG38" s="44">
        <f t="shared" si="0"/>
        <v>3</v>
      </c>
      <c r="AH38" s="44">
        <f t="shared" si="1"/>
        <v>3</v>
      </c>
      <c r="AI38" s="44">
        <f t="shared" si="2"/>
        <v>50</v>
      </c>
      <c r="AJ38" s="44"/>
    </row>
    <row r="39" spans="1:36" ht="13.8">
      <c r="A39" s="41" t="s">
        <v>225</v>
      </c>
      <c r="B39" s="53" t="s">
        <v>226</v>
      </c>
      <c r="C39" s="56"/>
      <c r="D39" s="56"/>
      <c r="E39" s="56"/>
      <c r="F39" s="42" t="s">
        <v>19</v>
      </c>
      <c r="G39" s="42" t="s">
        <v>19</v>
      </c>
      <c r="H39" s="42" t="s">
        <v>19</v>
      </c>
      <c r="I39" s="42" t="s">
        <v>19</v>
      </c>
      <c r="J39" s="42" t="s">
        <v>19</v>
      </c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>
        <f t="shared" si="0"/>
        <v>0</v>
      </c>
      <c r="AH39" s="44">
        <f t="shared" si="1"/>
        <v>5</v>
      </c>
      <c r="AI39" s="44">
        <f t="shared" si="2"/>
        <v>0</v>
      </c>
      <c r="AJ39" s="44"/>
    </row>
    <row r="40" spans="1:36" ht="13.8">
      <c r="A40" s="41" t="s">
        <v>233</v>
      </c>
      <c r="B40" s="53" t="s">
        <v>234</v>
      </c>
      <c r="C40" s="41">
        <v>22</v>
      </c>
      <c r="D40" s="41" t="s">
        <v>35</v>
      </c>
      <c r="E40" s="41">
        <v>904014197</v>
      </c>
      <c r="F40" s="42" t="s">
        <v>19</v>
      </c>
      <c r="G40" s="42" t="s">
        <v>27</v>
      </c>
      <c r="H40" s="42" t="s">
        <v>19</v>
      </c>
      <c r="I40" s="42" t="s">
        <v>19</v>
      </c>
      <c r="J40" s="42" t="s">
        <v>19</v>
      </c>
      <c r="K40" s="42" t="s">
        <v>27</v>
      </c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2" t="s">
        <v>27</v>
      </c>
      <c r="W40" s="42" t="s">
        <v>27</v>
      </c>
      <c r="X40" s="42" t="s">
        <v>19</v>
      </c>
      <c r="Y40" s="42" t="s">
        <v>27</v>
      </c>
      <c r="Z40" s="42" t="s">
        <v>27</v>
      </c>
      <c r="AA40" s="44"/>
      <c r="AB40" s="44"/>
      <c r="AC40" s="42" t="s">
        <v>27</v>
      </c>
      <c r="AD40" s="42" t="s">
        <v>27</v>
      </c>
      <c r="AE40" s="44"/>
      <c r="AF40" s="44"/>
      <c r="AG40" s="44">
        <f t="shared" si="0"/>
        <v>8</v>
      </c>
      <c r="AH40" s="44">
        <f t="shared" si="1"/>
        <v>5</v>
      </c>
      <c r="AI40" s="44">
        <f t="shared" si="2"/>
        <v>133.33333333333331</v>
      </c>
      <c r="AJ40" s="44"/>
    </row>
    <row r="41" spans="1:36" ht="13.8">
      <c r="A41" s="41" t="s">
        <v>239</v>
      </c>
      <c r="B41" s="53" t="s">
        <v>240</v>
      </c>
      <c r="C41" s="56"/>
      <c r="D41" s="41" t="s">
        <v>35</v>
      </c>
      <c r="E41" s="56"/>
      <c r="F41" s="42" t="s">
        <v>19</v>
      </c>
      <c r="G41" s="42" t="s">
        <v>19</v>
      </c>
      <c r="H41" s="42" t="s">
        <v>19</v>
      </c>
      <c r="I41" s="42" t="s">
        <v>19</v>
      </c>
      <c r="J41" s="42" t="s">
        <v>19</v>
      </c>
      <c r="K41" s="42" t="s">
        <v>19</v>
      </c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>
        <f t="shared" si="0"/>
        <v>0</v>
      </c>
      <c r="AH41" s="44">
        <f t="shared" si="1"/>
        <v>6</v>
      </c>
      <c r="AI41" s="44">
        <f t="shared" si="2"/>
        <v>0</v>
      </c>
      <c r="AJ41" s="44"/>
    </row>
    <row r="42" spans="1:36" ht="13.8">
      <c r="A42" s="41" t="s">
        <v>243</v>
      </c>
      <c r="B42" s="53" t="s">
        <v>244</v>
      </c>
      <c r="C42" s="56"/>
      <c r="D42" s="41" t="s">
        <v>35</v>
      </c>
      <c r="E42" s="56"/>
      <c r="F42" s="42" t="s">
        <v>19</v>
      </c>
      <c r="G42" s="42" t="s">
        <v>19</v>
      </c>
      <c r="H42" s="42" t="s">
        <v>19</v>
      </c>
      <c r="I42" s="42" t="s">
        <v>19</v>
      </c>
      <c r="J42" s="42" t="s">
        <v>19</v>
      </c>
      <c r="K42" s="42" t="s">
        <v>19</v>
      </c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>
        <f t="shared" si="0"/>
        <v>0</v>
      </c>
      <c r="AH42" s="44">
        <f t="shared" si="1"/>
        <v>6</v>
      </c>
      <c r="AI42" s="44">
        <f t="shared" si="2"/>
        <v>0</v>
      </c>
      <c r="AJ42" s="44"/>
    </row>
    <row r="43" spans="1:36" ht="13.8">
      <c r="A43" s="41" t="s">
        <v>249</v>
      </c>
      <c r="B43" s="90" t="s">
        <v>250</v>
      </c>
      <c r="C43" s="91">
        <v>25</v>
      </c>
      <c r="D43" s="91" t="s">
        <v>26</v>
      </c>
      <c r="E43" s="91">
        <v>925092929</v>
      </c>
      <c r="F43" s="92" t="s">
        <v>27</v>
      </c>
      <c r="G43" s="92" t="s">
        <v>27</v>
      </c>
      <c r="H43" s="92" t="s">
        <v>27</v>
      </c>
      <c r="I43" s="92" t="s">
        <v>19</v>
      </c>
      <c r="J43" s="92" t="s">
        <v>19</v>
      </c>
      <c r="K43" s="92" t="s">
        <v>19</v>
      </c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>
        <f t="shared" si="0"/>
        <v>3</v>
      </c>
      <c r="AH43" s="93">
        <f t="shared" si="1"/>
        <v>3</v>
      </c>
      <c r="AI43" s="93">
        <f t="shared" si="2"/>
        <v>50</v>
      </c>
      <c r="AJ43" s="93"/>
    </row>
    <row r="44" spans="1:36" ht="13.8">
      <c r="A44" s="41" t="s">
        <v>253</v>
      </c>
      <c r="B44" s="53" t="s">
        <v>254</v>
      </c>
      <c r="C44" s="56"/>
      <c r="D44" s="41" t="s">
        <v>35</v>
      </c>
      <c r="E44" s="56"/>
      <c r="F44" s="42" t="s">
        <v>19</v>
      </c>
      <c r="G44" s="42" t="s">
        <v>19</v>
      </c>
      <c r="H44" s="42" t="s">
        <v>19</v>
      </c>
      <c r="I44" s="42" t="s">
        <v>27</v>
      </c>
      <c r="J44" s="42" t="s">
        <v>27</v>
      </c>
      <c r="K44" s="42" t="s">
        <v>19</v>
      </c>
      <c r="L44" s="44"/>
      <c r="M44" s="44"/>
      <c r="N44" s="44"/>
      <c r="O44" s="44"/>
      <c r="P44" s="44"/>
      <c r="Q44" s="42" t="s">
        <v>27</v>
      </c>
      <c r="R44" s="42" t="s">
        <v>27</v>
      </c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>
        <f t="shared" si="0"/>
        <v>4</v>
      </c>
      <c r="AH44" s="44">
        <f t="shared" si="1"/>
        <v>4</v>
      </c>
      <c r="AI44" s="44">
        <f t="shared" si="2"/>
        <v>66.666666666666657</v>
      </c>
      <c r="AJ44" s="44"/>
    </row>
    <row r="45" spans="1:36" ht="13.8">
      <c r="A45" s="41" t="s">
        <v>259</v>
      </c>
      <c r="B45" s="53" t="s">
        <v>260</v>
      </c>
      <c r="C45" s="56"/>
      <c r="D45" s="41" t="s">
        <v>35</v>
      </c>
      <c r="E45" s="56"/>
      <c r="F45" s="42" t="s">
        <v>19</v>
      </c>
      <c r="G45" s="42" t="s">
        <v>19</v>
      </c>
      <c r="H45" s="42" t="s">
        <v>19</v>
      </c>
      <c r="I45" s="42" t="s">
        <v>27</v>
      </c>
      <c r="J45" s="42" t="s">
        <v>19</v>
      </c>
      <c r="K45" s="42" t="s">
        <v>19</v>
      </c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2" t="s">
        <v>27</v>
      </c>
      <c r="Z45" s="42" t="s">
        <v>27</v>
      </c>
      <c r="AA45" s="44"/>
      <c r="AB45" s="44"/>
      <c r="AC45" s="44"/>
      <c r="AD45" s="44"/>
      <c r="AE45" s="44"/>
      <c r="AF45" s="44"/>
      <c r="AG45" s="44">
        <f t="shared" si="0"/>
        <v>3</v>
      </c>
      <c r="AH45" s="44">
        <f t="shared" si="1"/>
        <v>5</v>
      </c>
      <c r="AI45" s="44">
        <f t="shared" si="2"/>
        <v>50</v>
      </c>
      <c r="AJ45" s="44"/>
    </row>
    <row r="46" spans="1:36" ht="13.8">
      <c r="A46" s="41" t="s">
        <v>267</v>
      </c>
      <c r="B46" s="53" t="s">
        <v>268</v>
      </c>
      <c r="C46" s="41">
        <v>29</v>
      </c>
      <c r="D46" s="41" t="s">
        <v>35</v>
      </c>
      <c r="E46" s="41">
        <v>925732130</v>
      </c>
      <c r="F46" s="42" t="s">
        <v>27</v>
      </c>
      <c r="G46" s="42" t="s">
        <v>27</v>
      </c>
      <c r="H46" s="42" t="s">
        <v>19</v>
      </c>
      <c r="I46" s="42" t="s">
        <v>27</v>
      </c>
      <c r="J46" s="42" t="s">
        <v>19</v>
      </c>
      <c r="K46" s="42" t="s">
        <v>19</v>
      </c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>
        <f t="shared" si="0"/>
        <v>3</v>
      </c>
      <c r="AH46" s="44">
        <f t="shared" si="1"/>
        <v>3</v>
      </c>
      <c r="AI46" s="44">
        <f t="shared" si="2"/>
        <v>50</v>
      </c>
      <c r="AJ46" s="44"/>
    </row>
    <row r="47" spans="1:36" ht="13.8">
      <c r="A47" s="41" t="s">
        <v>273</v>
      </c>
      <c r="B47" s="53" t="s">
        <v>274</v>
      </c>
      <c r="C47" s="41">
        <v>23</v>
      </c>
      <c r="D47" s="41" t="s">
        <v>35</v>
      </c>
      <c r="E47" s="41">
        <v>970802599</v>
      </c>
      <c r="F47" s="42" t="s">
        <v>112</v>
      </c>
      <c r="G47" s="42" t="s">
        <v>27</v>
      </c>
      <c r="H47" s="42" t="s">
        <v>19</v>
      </c>
      <c r="I47" s="42" t="s">
        <v>19</v>
      </c>
      <c r="J47" s="42" t="s">
        <v>19</v>
      </c>
      <c r="K47" s="42" t="s">
        <v>19</v>
      </c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>
        <f t="shared" si="0"/>
        <v>1</v>
      </c>
      <c r="AH47" s="44">
        <f t="shared" si="1"/>
        <v>4</v>
      </c>
      <c r="AI47" s="44">
        <f t="shared" si="2"/>
        <v>16.666666666666664</v>
      </c>
      <c r="AJ47" s="44"/>
    </row>
    <row r="48" spans="1:36" ht="13.8">
      <c r="A48" s="41" t="s">
        <v>277</v>
      </c>
      <c r="B48" s="53" t="s">
        <v>278</v>
      </c>
      <c r="C48" s="41">
        <v>25</v>
      </c>
      <c r="D48" s="41" t="s">
        <v>35</v>
      </c>
      <c r="E48" s="41">
        <v>980159266</v>
      </c>
      <c r="F48" s="42" t="s">
        <v>19</v>
      </c>
      <c r="G48" s="42" t="s">
        <v>27</v>
      </c>
      <c r="H48" s="42" t="s">
        <v>19</v>
      </c>
      <c r="I48" s="42" t="s">
        <v>19</v>
      </c>
      <c r="J48" s="42" t="s">
        <v>27</v>
      </c>
      <c r="K48" s="42" t="s">
        <v>19</v>
      </c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2" t="s">
        <v>27</v>
      </c>
      <c r="Y48" s="42" t="s">
        <v>27</v>
      </c>
      <c r="Z48" s="42" t="s">
        <v>27</v>
      </c>
      <c r="AA48" s="44"/>
      <c r="AB48" s="44"/>
      <c r="AC48" s="44"/>
      <c r="AD48" s="44"/>
      <c r="AE48" s="44"/>
      <c r="AF48" s="44"/>
      <c r="AG48" s="44">
        <f t="shared" si="0"/>
        <v>5</v>
      </c>
      <c r="AH48" s="44">
        <f t="shared" si="1"/>
        <v>4</v>
      </c>
      <c r="AI48" s="44">
        <f t="shared" si="2"/>
        <v>83.333333333333343</v>
      </c>
      <c r="AJ48" s="44"/>
    </row>
    <row r="49" spans="1:36" ht="13.8">
      <c r="A49" s="41" t="s">
        <v>281</v>
      </c>
      <c r="B49" s="53" t="s">
        <v>283</v>
      </c>
      <c r="C49" s="41">
        <v>27</v>
      </c>
      <c r="D49" s="41" t="s">
        <v>26</v>
      </c>
      <c r="E49" s="41">
        <v>973765864</v>
      </c>
      <c r="F49" s="42" t="s">
        <v>27</v>
      </c>
      <c r="G49" s="42" t="s">
        <v>27</v>
      </c>
      <c r="H49" s="42" t="s">
        <v>27</v>
      </c>
      <c r="I49" s="42" t="s">
        <v>27</v>
      </c>
      <c r="J49" s="42" t="s">
        <v>27</v>
      </c>
      <c r="K49" s="42" t="s">
        <v>27</v>
      </c>
      <c r="L49" s="44"/>
      <c r="M49" s="44"/>
      <c r="N49" s="44"/>
      <c r="O49" s="44"/>
      <c r="P49" s="44"/>
      <c r="Q49" s="44"/>
      <c r="R49" s="42" t="s">
        <v>27</v>
      </c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2" t="s">
        <v>27</v>
      </c>
      <c r="AE49" s="44"/>
      <c r="AF49" s="42" t="s">
        <v>27</v>
      </c>
      <c r="AG49" s="44">
        <f t="shared" si="0"/>
        <v>9</v>
      </c>
      <c r="AH49" s="44">
        <f t="shared" si="1"/>
        <v>0</v>
      </c>
      <c r="AI49" s="44">
        <f t="shared" si="2"/>
        <v>150</v>
      </c>
      <c r="AJ49" s="44"/>
    </row>
    <row r="50" spans="1:36" ht="13.8">
      <c r="A50" s="41" t="s">
        <v>287</v>
      </c>
      <c r="B50" s="53" t="s">
        <v>288</v>
      </c>
      <c r="C50" s="56"/>
      <c r="D50" s="41" t="s">
        <v>35</v>
      </c>
      <c r="E50" s="56"/>
      <c r="F50" s="42" t="s">
        <v>19</v>
      </c>
      <c r="G50" s="42" t="s">
        <v>19</v>
      </c>
      <c r="H50" s="42" t="s">
        <v>27</v>
      </c>
      <c r="I50" s="42" t="s">
        <v>27</v>
      </c>
      <c r="J50" s="42" t="s">
        <v>27</v>
      </c>
      <c r="K50" s="42" t="s">
        <v>27</v>
      </c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2" t="s">
        <v>27</v>
      </c>
      <c r="AE50" s="44"/>
      <c r="AF50" s="44"/>
      <c r="AG50" s="44">
        <f t="shared" si="0"/>
        <v>5</v>
      </c>
      <c r="AH50" s="44">
        <f t="shared" si="1"/>
        <v>2</v>
      </c>
      <c r="AI50" s="44">
        <f t="shared" si="2"/>
        <v>83.333333333333343</v>
      </c>
      <c r="AJ50" s="44"/>
    </row>
    <row r="51" spans="1:36" ht="13.2">
      <c r="A51" s="41" t="s">
        <v>293</v>
      </c>
      <c r="B51" s="95" t="s">
        <v>294</v>
      </c>
      <c r="C51" s="41">
        <v>27</v>
      </c>
      <c r="D51" s="41" t="s">
        <v>26</v>
      </c>
      <c r="E51" s="56"/>
      <c r="F51" s="42" t="s">
        <v>19</v>
      </c>
      <c r="G51" s="42" t="s">
        <v>19</v>
      </c>
      <c r="H51" s="42" t="s">
        <v>19</v>
      </c>
      <c r="I51" s="42" t="s">
        <v>27</v>
      </c>
      <c r="J51" s="42" t="s">
        <v>19</v>
      </c>
      <c r="K51" s="42" t="s">
        <v>19</v>
      </c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>
        <f t="shared" si="0"/>
        <v>1</v>
      </c>
      <c r="AH51" s="44">
        <f t="shared" si="1"/>
        <v>5</v>
      </c>
      <c r="AI51" s="44">
        <f t="shared" si="2"/>
        <v>16.666666666666664</v>
      </c>
      <c r="AJ51" s="44"/>
    </row>
    <row r="52" spans="1:36" ht="13.8">
      <c r="A52" s="41" t="s">
        <v>299</v>
      </c>
      <c r="B52" s="53" t="s">
        <v>300</v>
      </c>
      <c r="C52" s="56"/>
      <c r="D52" s="41" t="s">
        <v>26</v>
      </c>
      <c r="E52" s="56"/>
      <c r="F52" s="42" t="s">
        <v>27</v>
      </c>
      <c r="G52" s="42" t="s">
        <v>19</v>
      </c>
      <c r="H52" s="42" t="s">
        <v>27</v>
      </c>
      <c r="I52" s="42" t="s">
        <v>27</v>
      </c>
      <c r="J52" s="42" t="s">
        <v>27</v>
      </c>
      <c r="K52" s="42" t="s">
        <v>19</v>
      </c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2" t="s">
        <v>27</v>
      </c>
      <c r="AE52" s="44"/>
      <c r="AF52" s="44"/>
      <c r="AG52" s="44">
        <f t="shared" si="0"/>
        <v>5</v>
      </c>
      <c r="AH52" s="44">
        <f t="shared" si="1"/>
        <v>2</v>
      </c>
      <c r="AI52" s="44">
        <f t="shared" si="2"/>
        <v>83.333333333333343</v>
      </c>
      <c r="AJ52" s="44"/>
    </row>
    <row r="53" spans="1:36" ht="13.8">
      <c r="A53" s="41" t="s">
        <v>305</v>
      </c>
      <c r="B53" s="53" t="s">
        <v>306</v>
      </c>
      <c r="C53" s="41">
        <v>16</v>
      </c>
      <c r="D53" s="41" t="s">
        <v>26</v>
      </c>
      <c r="E53" s="41">
        <v>975218427</v>
      </c>
      <c r="F53" s="42" t="s">
        <v>27</v>
      </c>
      <c r="G53" s="42" t="s">
        <v>27</v>
      </c>
      <c r="H53" s="42" t="s">
        <v>27</v>
      </c>
      <c r="I53" s="42" t="s">
        <v>27</v>
      </c>
      <c r="J53" s="42" t="s">
        <v>27</v>
      </c>
      <c r="K53" s="42" t="s">
        <v>19</v>
      </c>
      <c r="L53" s="44"/>
      <c r="M53" s="44"/>
      <c r="N53" s="44"/>
      <c r="O53" s="44"/>
      <c r="P53" s="44"/>
      <c r="Q53" s="44"/>
      <c r="R53" s="44"/>
      <c r="S53" s="44"/>
      <c r="T53" s="44"/>
      <c r="U53" s="42" t="s">
        <v>27</v>
      </c>
      <c r="V53" s="44"/>
      <c r="W53" s="44"/>
      <c r="X53" s="42" t="s">
        <v>27</v>
      </c>
      <c r="Y53" s="42" t="s">
        <v>27</v>
      </c>
      <c r="Z53" s="42" t="s">
        <v>27</v>
      </c>
      <c r="AA53" s="44"/>
      <c r="AB53" s="44"/>
      <c r="AC53" s="42" t="s">
        <v>27</v>
      </c>
      <c r="AD53" s="42" t="s">
        <v>27</v>
      </c>
      <c r="AE53" s="44"/>
      <c r="AF53" s="44"/>
      <c r="AG53" s="44">
        <f t="shared" si="0"/>
        <v>11</v>
      </c>
      <c r="AH53" s="44">
        <f t="shared" si="1"/>
        <v>1</v>
      </c>
      <c r="AI53" s="44">
        <f t="shared" si="2"/>
        <v>183.33333333333331</v>
      </c>
      <c r="AJ53" s="44"/>
    </row>
    <row r="54" spans="1:36" ht="13.8">
      <c r="A54" s="41" t="s">
        <v>309</v>
      </c>
      <c r="B54" s="53" t="s">
        <v>310</v>
      </c>
      <c r="C54" s="56"/>
      <c r="D54" s="56"/>
      <c r="E54" s="56"/>
      <c r="F54" s="42" t="s">
        <v>19</v>
      </c>
      <c r="G54" s="42" t="s">
        <v>19</v>
      </c>
      <c r="H54" s="42" t="s">
        <v>19</v>
      </c>
      <c r="I54" s="42" t="s">
        <v>19</v>
      </c>
      <c r="J54" s="42" t="s">
        <v>19</v>
      </c>
      <c r="K54" s="42" t="s">
        <v>19</v>
      </c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>
        <f t="shared" si="0"/>
        <v>0</v>
      </c>
      <c r="AH54" s="44">
        <f t="shared" si="1"/>
        <v>6</v>
      </c>
      <c r="AI54" s="44">
        <f t="shared" si="2"/>
        <v>0</v>
      </c>
      <c r="AJ54" s="44"/>
    </row>
    <row r="55" spans="1:36" ht="13.8">
      <c r="A55" s="41" t="s">
        <v>315</v>
      </c>
      <c r="B55" s="53" t="s">
        <v>316</v>
      </c>
      <c r="C55" s="56"/>
      <c r="D55" s="41" t="s">
        <v>341</v>
      </c>
      <c r="E55" s="56"/>
      <c r="F55" s="42" t="s">
        <v>19</v>
      </c>
      <c r="G55" s="42" t="s">
        <v>19</v>
      </c>
      <c r="H55" s="42" t="s">
        <v>19</v>
      </c>
      <c r="I55" s="42" t="s">
        <v>19</v>
      </c>
      <c r="J55" s="42" t="s">
        <v>19</v>
      </c>
      <c r="K55" s="42" t="s">
        <v>19</v>
      </c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>
        <f t="shared" si="0"/>
        <v>0</v>
      </c>
      <c r="AH55" s="44">
        <f t="shared" si="1"/>
        <v>6</v>
      </c>
      <c r="AI55" s="44">
        <f t="shared" si="2"/>
        <v>0</v>
      </c>
      <c r="AJ55" s="44"/>
    </row>
    <row r="56" spans="1:36" ht="13.8">
      <c r="A56" s="41" t="s">
        <v>321</v>
      </c>
      <c r="B56" s="53" t="s">
        <v>322</v>
      </c>
      <c r="C56" s="41">
        <v>28</v>
      </c>
      <c r="D56" s="41" t="s">
        <v>35</v>
      </c>
      <c r="E56" s="41">
        <v>939205936</v>
      </c>
      <c r="F56" s="42" t="s">
        <v>27</v>
      </c>
      <c r="G56" s="42" t="s">
        <v>27</v>
      </c>
      <c r="H56" s="42" t="s">
        <v>19</v>
      </c>
      <c r="I56" s="42" t="s">
        <v>19</v>
      </c>
      <c r="J56" s="42" t="s">
        <v>27</v>
      </c>
      <c r="K56" s="42" t="s">
        <v>27</v>
      </c>
      <c r="L56" s="44"/>
      <c r="M56" s="44"/>
      <c r="N56" s="44"/>
      <c r="O56" s="44"/>
      <c r="P56" s="44"/>
      <c r="Q56" s="44"/>
      <c r="R56" s="42" t="s">
        <v>27</v>
      </c>
      <c r="S56" s="44"/>
      <c r="T56" s="44"/>
      <c r="U56" s="44"/>
      <c r="V56" s="44"/>
      <c r="W56" s="44"/>
      <c r="X56" s="42" t="s">
        <v>27</v>
      </c>
      <c r="Y56" s="42" t="s">
        <v>27</v>
      </c>
      <c r="Z56" s="42" t="s">
        <v>27</v>
      </c>
      <c r="AA56" s="44"/>
      <c r="AB56" s="44"/>
      <c r="AC56" s="44"/>
      <c r="AD56" s="42" t="s">
        <v>27</v>
      </c>
      <c r="AE56" s="44"/>
      <c r="AF56" s="44"/>
      <c r="AG56" s="44">
        <f t="shared" si="0"/>
        <v>9</v>
      </c>
      <c r="AH56" s="44">
        <f t="shared" si="1"/>
        <v>2</v>
      </c>
      <c r="AI56" s="44">
        <f t="shared" si="2"/>
        <v>150</v>
      </c>
      <c r="AJ56" s="44"/>
    </row>
    <row r="57" spans="1:36" ht="13.8">
      <c r="A57" s="41" t="s">
        <v>327</v>
      </c>
      <c r="B57" s="53" t="s">
        <v>328</v>
      </c>
      <c r="C57" s="41">
        <v>18</v>
      </c>
      <c r="D57" s="41" t="s">
        <v>35</v>
      </c>
      <c r="E57" s="41">
        <v>911762151</v>
      </c>
      <c r="F57" s="42" t="s">
        <v>19</v>
      </c>
      <c r="G57" s="42" t="s">
        <v>27</v>
      </c>
      <c r="H57" s="42" t="s">
        <v>19</v>
      </c>
      <c r="I57" s="42" t="s">
        <v>19</v>
      </c>
      <c r="J57" s="42" t="s">
        <v>112</v>
      </c>
      <c r="K57" s="42" t="s">
        <v>27</v>
      </c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2" t="s">
        <v>27</v>
      </c>
      <c r="Z57" s="44"/>
      <c r="AA57" s="44"/>
      <c r="AB57" s="44"/>
      <c r="AC57" s="44"/>
      <c r="AD57" s="44"/>
      <c r="AE57" s="44"/>
      <c r="AF57" s="44"/>
      <c r="AG57" s="44">
        <f t="shared" si="0"/>
        <v>3</v>
      </c>
      <c r="AH57" s="44">
        <f t="shared" si="1"/>
        <v>3</v>
      </c>
      <c r="AI57" s="44">
        <f t="shared" si="2"/>
        <v>50</v>
      </c>
      <c r="AJ57" s="44"/>
    </row>
    <row r="58" spans="1:36" ht="13.8">
      <c r="A58" s="41" t="s">
        <v>333</v>
      </c>
      <c r="B58" s="53" t="s">
        <v>334</v>
      </c>
      <c r="C58" s="56"/>
      <c r="D58" s="41" t="s">
        <v>341</v>
      </c>
      <c r="E58" s="56"/>
      <c r="F58" s="42" t="s">
        <v>19</v>
      </c>
      <c r="G58" s="42" t="s">
        <v>27</v>
      </c>
      <c r="H58" s="42" t="s">
        <v>27</v>
      </c>
      <c r="I58" s="42" t="s">
        <v>27</v>
      </c>
      <c r="J58" s="42" t="s">
        <v>27</v>
      </c>
      <c r="K58" s="42" t="s">
        <v>27</v>
      </c>
      <c r="L58" s="44"/>
      <c r="M58" s="44"/>
      <c r="N58" s="44"/>
      <c r="O58" s="44"/>
      <c r="P58" s="44"/>
      <c r="Q58" s="42" t="s">
        <v>27</v>
      </c>
      <c r="R58" s="42" t="s">
        <v>27</v>
      </c>
      <c r="S58" s="44"/>
      <c r="T58" s="44"/>
      <c r="U58" s="44"/>
      <c r="V58" s="44"/>
      <c r="W58" s="44"/>
      <c r="X58" s="42" t="s">
        <v>27</v>
      </c>
      <c r="Y58" s="42" t="s">
        <v>27</v>
      </c>
      <c r="Z58" s="42" t="s">
        <v>27</v>
      </c>
      <c r="AA58" s="44"/>
      <c r="AB58" s="44"/>
      <c r="AC58" s="42" t="s">
        <v>27</v>
      </c>
      <c r="AD58" s="42" t="s">
        <v>27</v>
      </c>
      <c r="AE58" s="44"/>
      <c r="AF58" s="44"/>
      <c r="AG58" s="44">
        <f t="shared" si="0"/>
        <v>12</v>
      </c>
      <c r="AH58" s="44">
        <f t="shared" si="1"/>
        <v>1</v>
      </c>
      <c r="AI58" s="44">
        <f t="shared" si="2"/>
        <v>200</v>
      </c>
      <c r="AJ58" s="44"/>
    </row>
    <row r="59" spans="1:36" ht="13.8">
      <c r="A59" s="41" t="s">
        <v>339</v>
      </c>
      <c r="B59" s="53" t="s">
        <v>340</v>
      </c>
      <c r="C59" s="56"/>
      <c r="D59" s="41" t="s">
        <v>35</v>
      </c>
      <c r="E59" s="56"/>
      <c r="F59" s="42" t="s">
        <v>19</v>
      </c>
      <c r="G59" s="42" t="s">
        <v>19</v>
      </c>
      <c r="H59" s="42" t="s">
        <v>19</v>
      </c>
      <c r="I59" s="42" t="s">
        <v>19</v>
      </c>
      <c r="J59" s="42" t="s">
        <v>19</v>
      </c>
      <c r="K59" s="42" t="s">
        <v>19</v>
      </c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>
        <f t="shared" si="0"/>
        <v>0</v>
      </c>
      <c r="AH59" s="44">
        <f t="shared" si="1"/>
        <v>6</v>
      </c>
      <c r="AI59" s="44">
        <f t="shared" si="2"/>
        <v>0</v>
      </c>
      <c r="AJ59" s="44"/>
    </row>
    <row r="60" spans="1:36" ht="13.8">
      <c r="A60" s="41" t="s">
        <v>346</v>
      </c>
      <c r="B60" s="104" t="s">
        <v>347</v>
      </c>
      <c r="C60" s="115"/>
      <c r="D60" s="116" t="s">
        <v>341</v>
      </c>
      <c r="E60" s="115"/>
      <c r="F60" s="106" t="s">
        <v>19</v>
      </c>
      <c r="G60" s="106" t="s">
        <v>19</v>
      </c>
      <c r="H60" s="106" t="s">
        <v>19</v>
      </c>
      <c r="I60" s="106" t="s">
        <v>19</v>
      </c>
      <c r="J60" s="106" t="s">
        <v>19</v>
      </c>
      <c r="K60" s="106" t="s">
        <v>19</v>
      </c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44">
        <f t="shared" si="0"/>
        <v>0</v>
      </c>
      <c r="AH60" s="44">
        <f t="shared" si="1"/>
        <v>6</v>
      </c>
      <c r="AI60" s="44">
        <f t="shared" si="2"/>
        <v>0</v>
      </c>
      <c r="AJ60" s="44"/>
    </row>
    <row r="61" spans="1:36" ht="13.2">
      <c r="A61" s="41" t="s">
        <v>352</v>
      </c>
      <c r="B61" s="108" t="s">
        <v>353</v>
      </c>
      <c r="C61" s="114"/>
      <c r="D61" s="112" t="s">
        <v>341</v>
      </c>
      <c r="E61" s="114"/>
      <c r="F61" s="106" t="s">
        <v>19</v>
      </c>
      <c r="G61" s="106" t="s">
        <v>19</v>
      </c>
      <c r="H61" s="106" t="s">
        <v>19</v>
      </c>
      <c r="I61" s="106" t="s">
        <v>19</v>
      </c>
      <c r="J61" s="106" t="s">
        <v>19</v>
      </c>
      <c r="K61" s="106" t="s">
        <v>19</v>
      </c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44">
        <f t="shared" si="0"/>
        <v>0</v>
      </c>
      <c r="AH61" s="44">
        <f t="shared" si="1"/>
        <v>6</v>
      </c>
      <c r="AI61" s="44">
        <f t="shared" si="2"/>
        <v>0</v>
      </c>
      <c r="AJ61" s="44"/>
    </row>
    <row r="62" spans="1:36" ht="13.2">
      <c r="A62" s="41" t="s">
        <v>358</v>
      </c>
      <c r="B62" s="108" t="s">
        <v>359</v>
      </c>
      <c r="C62" s="114"/>
      <c r="D62" s="114"/>
      <c r="E62" s="114"/>
      <c r="F62" s="106" t="s">
        <v>19</v>
      </c>
      <c r="G62" s="106" t="s">
        <v>19</v>
      </c>
      <c r="H62" s="106" t="s">
        <v>27</v>
      </c>
      <c r="I62" s="106" t="s">
        <v>19</v>
      </c>
      <c r="J62" s="106" t="s">
        <v>27</v>
      </c>
      <c r="K62" s="106" t="s">
        <v>19</v>
      </c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6" t="s">
        <v>27</v>
      </c>
      <c r="AA62" s="107"/>
      <c r="AB62" s="107"/>
      <c r="AC62" s="107"/>
      <c r="AD62" s="107"/>
      <c r="AE62" s="107"/>
      <c r="AF62" s="107"/>
      <c r="AG62" s="44">
        <f t="shared" si="0"/>
        <v>3</v>
      </c>
      <c r="AH62" s="44">
        <f t="shared" si="1"/>
        <v>4</v>
      </c>
      <c r="AI62" s="44">
        <f t="shared" si="2"/>
        <v>50</v>
      </c>
      <c r="AJ62" s="44"/>
    </row>
    <row r="63" spans="1:36" ht="13.2">
      <c r="A63" s="41" t="s">
        <v>366</v>
      </c>
      <c r="B63" s="108" t="s">
        <v>367</v>
      </c>
      <c r="C63" s="112">
        <v>17</v>
      </c>
      <c r="D63" s="112" t="s">
        <v>35</v>
      </c>
      <c r="E63" s="112">
        <v>973710605</v>
      </c>
      <c r="F63" s="106" t="s">
        <v>27</v>
      </c>
      <c r="G63" s="106" t="s">
        <v>27</v>
      </c>
      <c r="H63" s="106" t="s">
        <v>19</v>
      </c>
      <c r="I63" s="106" t="s">
        <v>19</v>
      </c>
      <c r="J63" s="106" t="s">
        <v>19</v>
      </c>
      <c r="K63" s="106" t="s">
        <v>27</v>
      </c>
      <c r="L63" s="106" t="s">
        <v>27</v>
      </c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6" t="s">
        <v>27</v>
      </c>
      <c r="Z63" s="106" t="s">
        <v>27</v>
      </c>
      <c r="AA63" s="107"/>
      <c r="AB63" s="107"/>
      <c r="AC63" s="107"/>
      <c r="AD63" s="106" t="s">
        <v>112</v>
      </c>
      <c r="AE63" s="107"/>
      <c r="AF63" s="106"/>
      <c r="AG63" s="44">
        <f t="shared" si="0"/>
        <v>6</v>
      </c>
      <c r="AH63" s="44">
        <f t="shared" si="1"/>
        <v>3</v>
      </c>
      <c r="AI63" s="44">
        <f t="shared" si="2"/>
        <v>100</v>
      </c>
      <c r="AJ63" s="44"/>
    </row>
    <row r="64" spans="1:36" ht="13.2">
      <c r="A64" s="41" t="s">
        <v>372</v>
      </c>
      <c r="B64" s="113" t="s">
        <v>373</v>
      </c>
      <c r="C64" s="114"/>
      <c r="D64" s="112" t="s">
        <v>341</v>
      </c>
      <c r="E64" s="114"/>
      <c r="F64" s="106" t="s">
        <v>19</v>
      </c>
      <c r="G64" s="106" t="s">
        <v>19</v>
      </c>
      <c r="H64" s="106" t="s">
        <v>19</v>
      </c>
      <c r="I64" s="106" t="s">
        <v>19</v>
      </c>
      <c r="J64" s="106" t="s">
        <v>19</v>
      </c>
      <c r="K64" s="106" t="s">
        <v>19</v>
      </c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44">
        <f t="shared" si="0"/>
        <v>0</v>
      </c>
      <c r="AH64" s="44">
        <f t="shared" si="1"/>
        <v>6</v>
      </c>
      <c r="AI64" s="44">
        <f t="shared" si="2"/>
        <v>0</v>
      </c>
      <c r="AJ64" s="44"/>
    </row>
    <row r="65" spans="1:36" ht="13.2">
      <c r="A65" s="41" t="s">
        <v>376</v>
      </c>
      <c r="B65" s="113" t="s">
        <v>378</v>
      </c>
      <c r="C65" s="114"/>
      <c r="D65" s="112" t="s">
        <v>379</v>
      </c>
      <c r="E65" s="114"/>
      <c r="F65" s="106" t="s">
        <v>27</v>
      </c>
      <c r="G65" s="106" t="s">
        <v>27</v>
      </c>
      <c r="H65" s="106" t="s">
        <v>27</v>
      </c>
      <c r="I65" s="106" t="s">
        <v>27</v>
      </c>
      <c r="J65" s="106" t="s">
        <v>27</v>
      </c>
      <c r="K65" s="106" t="s">
        <v>19</v>
      </c>
      <c r="L65" s="107"/>
      <c r="M65" s="107"/>
      <c r="N65" s="107"/>
      <c r="O65" s="107"/>
      <c r="P65" s="107"/>
      <c r="Q65" s="107"/>
      <c r="R65" s="106" t="s">
        <v>27</v>
      </c>
      <c r="S65" s="107"/>
      <c r="T65" s="107"/>
      <c r="U65" s="107"/>
      <c r="V65" s="107"/>
      <c r="W65" s="107"/>
      <c r="X65" s="106" t="s">
        <v>27</v>
      </c>
      <c r="Y65" s="107"/>
      <c r="Z65" s="106" t="s">
        <v>27</v>
      </c>
      <c r="AA65" s="107"/>
      <c r="AB65" s="107"/>
      <c r="AC65" s="107"/>
      <c r="AD65" s="106" t="s">
        <v>27</v>
      </c>
      <c r="AE65" s="107"/>
      <c r="AF65" s="107"/>
      <c r="AG65" s="44">
        <f t="shared" si="0"/>
        <v>9</v>
      </c>
      <c r="AH65" s="44">
        <f t="shared" si="1"/>
        <v>1</v>
      </c>
      <c r="AI65" s="44">
        <f t="shared" si="2"/>
        <v>150</v>
      </c>
      <c r="AJ65" s="107"/>
    </row>
    <row r="66" spans="1:36" ht="13.2">
      <c r="A66" s="41" t="s">
        <v>381</v>
      </c>
      <c r="B66" s="113" t="s">
        <v>382</v>
      </c>
      <c r="C66" s="118"/>
      <c r="D66" s="118"/>
      <c r="E66" s="118"/>
      <c r="F66" s="106" t="s">
        <v>19</v>
      </c>
      <c r="G66" s="106" t="s">
        <v>19</v>
      </c>
      <c r="H66" s="106" t="s">
        <v>19</v>
      </c>
      <c r="I66" s="106" t="s">
        <v>19</v>
      </c>
      <c r="J66" s="106" t="s">
        <v>19</v>
      </c>
      <c r="K66" s="106" t="s">
        <v>19</v>
      </c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44">
        <f t="shared" si="0"/>
        <v>0</v>
      </c>
      <c r="AH66" s="44">
        <f t="shared" si="1"/>
        <v>6</v>
      </c>
      <c r="AI66" s="44">
        <f t="shared" si="2"/>
        <v>0</v>
      </c>
      <c r="AJ66" s="107"/>
    </row>
    <row r="67" spans="1:36" ht="13.2">
      <c r="A67" s="41" t="s">
        <v>385</v>
      </c>
      <c r="B67" s="113" t="s">
        <v>386</v>
      </c>
      <c r="C67" s="117"/>
      <c r="D67" s="58" t="s">
        <v>341</v>
      </c>
      <c r="E67" s="117"/>
      <c r="F67" s="106" t="s">
        <v>19</v>
      </c>
      <c r="G67" s="106" t="s">
        <v>27</v>
      </c>
      <c r="H67" s="106" t="s">
        <v>19</v>
      </c>
      <c r="I67" s="106" t="s">
        <v>27</v>
      </c>
      <c r="J67" s="106" t="s">
        <v>27</v>
      </c>
      <c r="K67" s="106" t="s">
        <v>19</v>
      </c>
      <c r="L67" s="107"/>
      <c r="M67" s="107"/>
      <c r="N67" s="106" t="s">
        <v>27</v>
      </c>
      <c r="O67" s="107"/>
      <c r="P67" s="107"/>
      <c r="Q67" s="107"/>
      <c r="R67" s="106" t="s">
        <v>27</v>
      </c>
      <c r="S67" s="107"/>
      <c r="T67" s="107"/>
      <c r="U67" s="107"/>
      <c r="V67" s="107"/>
      <c r="W67" s="107"/>
      <c r="X67" s="107"/>
      <c r="Y67" s="106" t="s">
        <v>27</v>
      </c>
      <c r="Z67" s="107"/>
      <c r="AA67" s="107"/>
      <c r="AB67" s="107"/>
      <c r="AC67" s="106" t="s">
        <v>27</v>
      </c>
      <c r="AD67" s="106" t="s">
        <v>27</v>
      </c>
      <c r="AE67" s="107"/>
      <c r="AF67" s="107"/>
      <c r="AG67" s="44">
        <f t="shared" si="0"/>
        <v>8</v>
      </c>
      <c r="AH67" s="44">
        <f t="shared" si="1"/>
        <v>3</v>
      </c>
      <c r="AI67" s="44">
        <f t="shared" si="2"/>
        <v>133.33333333333331</v>
      </c>
      <c r="AJ67" s="107"/>
    </row>
    <row r="68" spans="1:36" ht="13.2">
      <c r="A68" s="41" t="s">
        <v>391</v>
      </c>
      <c r="B68" s="113" t="s">
        <v>392</v>
      </c>
      <c r="C68" s="117"/>
      <c r="D68" s="58" t="s">
        <v>379</v>
      </c>
      <c r="E68" s="117"/>
      <c r="F68" s="106" t="s">
        <v>19</v>
      </c>
      <c r="G68" s="106" t="s">
        <v>19</v>
      </c>
      <c r="H68" s="106" t="s">
        <v>19</v>
      </c>
      <c r="I68" s="106" t="s">
        <v>19</v>
      </c>
      <c r="J68" s="106" t="s">
        <v>27</v>
      </c>
      <c r="K68" s="106" t="s">
        <v>27</v>
      </c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6" t="s">
        <v>27</v>
      </c>
      <c r="Z68" s="107"/>
      <c r="AA68" s="107"/>
      <c r="AB68" s="107"/>
      <c r="AC68" s="106" t="s">
        <v>27</v>
      </c>
      <c r="AD68" s="106" t="s">
        <v>27</v>
      </c>
      <c r="AE68" s="107"/>
      <c r="AF68" s="107"/>
      <c r="AG68" s="44">
        <f t="shared" si="0"/>
        <v>5</v>
      </c>
      <c r="AH68" s="44">
        <f t="shared" si="1"/>
        <v>4</v>
      </c>
      <c r="AI68" s="44">
        <f t="shared" si="2"/>
        <v>83.333333333333343</v>
      </c>
      <c r="AJ68" s="107"/>
    </row>
    <row r="69" spans="1:36" ht="13.2">
      <c r="A69" s="41" t="s">
        <v>395</v>
      </c>
      <c r="B69" s="113" t="s">
        <v>397</v>
      </c>
      <c r="C69" s="117"/>
      <c r="D69" s="58" t="s">
        <v>341</v>
      </c>
      <c r="E69" s="117"/>
      <c r="F69" s="106" t="s">
        <v>19</v>
      </c>
      <c r="G69" s="106" t="s">
        <v>19</v>
      </c>
      <c r="H69" s="106" t="s">
        <v>19</v>
      </c>
      <c r="I69" s="106" t="s">
        <v>19</v>
      </c>
      <c r="J69" s="106" t="s">
        <v>19</v>
      </c>
      <c r="K69" s="106" t="s">
        <v>19</v>
      </c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6" t="s">
        <v>27</v>
      </c>
      <c r="Z69" s="106" t="s">
        <v>27</v>
      </c>
      <c r="AA69" s="107"/>
      <c r="AB69" s="107"/>
      <c r="AC69" s="107"/>
      <c r="AD69" s="107"/>
      <c r="AE69" s="107"/>
      <c r="AF69" s="107"/>
      <c r="AG69" s="44">
        <f t="shared" si="0"/>
        <v>2</v>
      </c>
      <c r="AH69" s="44">
        <f t="shared" si="1"/>
        <v>6</v>
      </c>
      <c r="AI69" s="44">
        <f t="shared" si="2"/>
        <v>33.333333333333329</v>
      </c>
      <c r="AJ69" s="107"/>
    </row>
    <row r="70" spans="1:36" ht="13.2">
      <c r="A70" s="41" t="s">
        <v>401</v>
      </c>
      <c r="B70" s="113" t="s">
        <v>402</v>
      </c>
      <c r="C70" s="117"/>
      <c r="D70" s="58" t="s">
        <v>341</v>
      </c>
      <c r="E70" s="117"/>
      <c r="F70" s="106" t="s">
        <v>19</v>
      </c>
      <c r="G70" s="106" t="s">
        <v>19</v>
      </c>
      <c r="H70" s="106" t="s">
        <v>19</v>
      </c>
      <c r="I70" s="106" t="s">
        <v>19</v>
      </c>
      <c r="J70" s="106" t="s">
        <v>19</v>
      </c>
      <c r="K70" s="106" t="s">
        <v>19</v>
      </c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44">
        <f t="shared" si="0"/>
        <v>0</v>
      </c>
      <c r="AH70" s="44">
        <f t="shared" si="1"/>
        <v>6</v>
      </c>
      <c r="AI70" s="44">
        <f t="shared" si="2"/>
        <v>0</v>
      </c>
      <c r="AJ70" s="107"/>
    </row>
    <row r="71" spans="1:36" ht="13.2">
      <c r="A71" s="41" t="s">
        <v>405</v>
      </c>
      <c r="B71" s="113" t="s">
        <v>406</v>
      </c>
      <c r="C71" s="117"/>
      <c r="D71" s="58" t="s">
        <v>341</v>
      </c>
      <c r="E71" s="117"/>
      <c r="F71" s="106" t="s">
        <v>19</v>
      </c>
      <c r="G71" s="106" t="s">
        <v>19</v>
      </c>
      <c r="H71" s="106" t="s">
        <v>19</v>
      </c>
      <c r="I71" s="106" t="s">
        <v>19</v>
      </c>
      <c r="J71" s="106" t="s">
        <v>19</v>
      </c>
      <c r="K71" s="106" t="s">
        <v>19</v>
      </c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6" t="s">
        <v>27</v>
      </c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44">
        <f t="shared" si="0"/>
        <v>1</v>
      </c>
      <c r="AH71" s="44">
        <f t="shared" si="1"/>
        <v>6</v>
      </c>
      <c r="AI71" s="44">
        <f t="shared" si="2"/>
        <v>16.666666666666664</v>
      </c>
      <c r="AJ71" s="107"/>
    </row>
    <row r="72" spans="1:36" ht="13.2">
      <c r="A72" s="41" t="s">
        <v>409</v>
      </c>
      <c r="B72" s="113" t="s">
        <v>410</v>
      </c>
      <c r="C72" s="117"/>
      <c r="D72" s="58" t="s">
        <v>341</v>
      </c>
      <c r="E72" s="117"/>
      <c r="F72" s="106" t="s">
        <v>19</v>
      </c>
      <c r="G72" s="106" t="s">
        <v>19</v>
      </c>
      <c r="H72" s="106" t="s">
        <v>19</v>
      </c>
      <c r="I72" s="106" t="s">
        <v>19</v>
      </c>
      <c r="J72" s="106" t="s">
        <v>19</v>
      </c>
      <c r="K72" s="106" t="s">
        <v>19</v>
      </c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6" t="s">
        <v>27</v>
      </c>
      <c r="Y72" s="106" t="s">
        <v>27</v>
      </c>
      <c r="Z72" s="106" t="s">
        <v>27</v>
      </c>
      <c r="AA72" s="107"/>
      <c r="AB72" s="107"/>
      <c r="AC72" s="107"/>
      <c r="AD72" s="107"/>
      <c r="AE72" s="107"/>
      <c r="AF72" s="107"/>
      <c r="AG72" s="44">
        <f t="shared" si="0"/>
        <v>3</v>
      </c>
      <c r="AH72" s="44">
        <f t="shared" si="1"/>
        <v>6</v>
      </c>
      <c r="AI72" s="44">
        <f t="shared" si="2"/>
        <v>50</v>
      </c>
      <c r="AJ72" s="107"/>
    </row>
    <row r="73" spans="1:36" ht="13.2">
      <c r="A73" s="41" t="s">
        <v>413</v>
      </c>
      <c r="B73" s="113" t="s">
        <v>414</v>
      </c>
      <c r="C73" s="117"/>
      <c r="D73" s="58" t="s">
        <v>341</v>
      </c>
      <c r="E73" s="117"/>
      <c r="F73" s="106" t="s">
        <v>19</v>
      </c>
      <c r="G73" s="106" t="s">
        <v>19</v>
      </c>
      <c r="H73" s="106" t="s">
        <v>19</v>
      </c>
      <c r="I73" s="106" t="s">
        <v>19</v>
      </c>
      <c r="J73" s="106" t="s">
        <v>19</v>
      </c>
      <c r="K73" s="106" t="s">
        <v>19</v>
      </c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44">
        <f t="shared" si="0"/>
        <v>0</v>
      </c>
      <c r="AH73" s="44">
        <f t="shared" si="1"/>
        <v>6</v>
      </c>
      <c r="AI73" s="44">
        <f t="shared" si="2"/>
        <v>0</v>
      </c>
      <c r="AJ73" s="107"/>
    </row>
    <row r="74" spans="1:36" ht="13.2">
      <c r="A74" s="41" t="s">
        <v>417</v>
      </c>
      <c r="B74" s="113" t="s">
        <v>418</v>
      </c>
      <c r="C74" s="117"/>
      <c r="D74" s="58" t="s">
        <v>379</v>
      </c>
      <c r="E74" s="117"/>
      <c r="F74" s="106" t="s">
        <v>19</v>
      </c>
      <c r="G74" s="106" t="s">
        <v>27</v>
      </c>
      <c r="H74" s="106" t="s">
        <v>19</v>
      </c>
      <c r="I74" s="106" t="s">
        <v>19</v>
      </c>
      <c r="J74" s="106" t="s">
        <v>19</v>
      </c>
      <c r="K74" s="106" t="s">
        <v>19</v>
      </c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44">
        <f t="shared" si="0"/>
        <v>1</v>
      </c>
      <c r="AH74" s="44">
        <f t="shared" si="1"/>
        <v>5</v>
      </c>
      <c r="AI74" s="44">
        <f t="shared" si="2"/>
        <v>16.666666666666664</v>
      </c>
      <c r="AJ74" s="107"/>
    </row>
    <row r="75" spans="1:36" ht="13.2">
      <c r="A75" s="41" t="s">
        <v>422</v>
      </c>
      <c r="B75" s="113" t="s">
        <v>423</v>
      </c>
      <c r="C75" s="117"/>
      <c r="D75" s="58" t="s">
        <v>379</v>
      </c>
      <c r="E75" s="117"/>
      <c r="F75" s="106" t="s">
        <v>19</v>
      </c>
      <c r="G75" s="106" t="s">
        <v>27</v>
      </c>
      <c r="H75" s="106" t="s">
        <v>27</v>
      </c>
      <c r="I75" s="106" t="s">
        <v>27</v>
      </c>
      <c r="J75" s="106" t="s">
        <v>27</v>
      </c>
      <c r="K75" s="106" t="s">
        <v>27</v>
      </c>
      <c r="L75" s="107"/>
      <c r="M75" s="107"/>
      <c r="N75" s="106" t="s">
        <v>27</v>
      </c>
      <c r="O75" s="107"/>
      <c r="P75" s="107"/>
      <c r="Q75" s="107"/>
      <c r="R75" s="106" t="s">
        <v>27</v>
      </c>
      <c r="S75" s="107"/>
      <c r="T75" s="106" t="s">
        <v>27</v>
      </c>
      <c r="U75" s="107"/>
      <c r="V75" s="107"/>
      <c r="W75" s="107"/>
      <c r="X75" s="107"/>
      <c r="Y75" s="106" t="s">
        <v>27</v>
      </c>
      <c r="Z75" s="107"/>
      <c r="AA75" s="107"/>
      <c r="AB75" s="107"/>
      <c r="AC75" s="106" t="s">
        <v>27</v>
      </c>
      <c r="AD75" s="107"/>
      <c r="AE75" s="107"/>
      <c r="AF75" s="107"/>
      <c r="AG75" s="44">
        <f t="shared" si="0"/>
        <v>10</v>
      </c>
      <c r="AH75" s="44">
        <f t="shared" si="1"/>
        <v>1</v>
      </c>
      <c r="AI75" s="44">
        <f t="shared" si="2"/>
        <v>166.66666666666669</v>
      </c>
      <c r="AJ75" s="107"/>
    </row>
    <row r="76" spans="1:36" ht="13.2">
      <c r="A76" s="41" t="s">
        <v>427</v>
      </c>
      <c r="B76" s="113" t="s">
        <v>428</v>
      </c>
      <c r="C76" s="117"/>
      <c r="D76" s="58" t="s">
        <v>379</v>
      </c>
      <c r="E76" s="117"/>
      <c r="F76" s="106" t="s">
        <v>19</v>
      </c>
      <c r="G76" s="106" t="s">
        <v>19</v>
      </c>
      <c r="H76" s="106" t="s">
        <v>27</v>
      </c>
      <c r="I76" s="106" t="s">
        <v>19</v>
      </c>
      <c r="J76" s="106" t="s">
        <v>27</v>
      </c>
      <c r="K76" s="106" t="s">
        <v>27</v>
      </c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44">
        <f t="shared" si="0"/>
        <v>3</v>
      </c>
      <c r="AH76" s="44">
        <f t="shared" si="1"/>
        <v>3</v>
      </c>
      <c r="AI76" s="44">
        <f t="shared" si="2"/>
        <v>50</v>
      </c>
      <c r="AJ76" s="107"/>
    </row>
    <row r="77" spans="1:36" ht="13.2">
      <c r="A77" s="41" t="s">
        <v>431</v>
      </c>
      <c r="B77" s="113" t="s">
        <v>432</v>
      </c>
      <c r="C77" s="117"/>
      <c r="D77" s="58" t="s">
        <v>379</v>
      </c>
      <c r="E77" s="117"/>
      <c r="F77" s="106" t="s">
        <v>19</v>
      </c>
      <c r="G77" s="106" t="s">
        <v>27</v>
      </c>
      <c r="H77" s="106" t="s">
        <v>27</v>
      </c>
      <c r="I77" s="106" t="s">
        <v>19</v>
      </c>
      <c r="J77" s="106" t="s">
        <v>27</v>
      </c>
      <c r="K77" s="106" t="s">
        <v>27</v>
      </c>
      <c r="L77" s="107"/>
      <c r="M77" s="107"/>
      <c r="N77" s="107"/>
      <c r="O77" s="107"/>
      <c r="P77" s="107"/>
      <c r="Q77" s="107"/>
      <c r="R77" s="106" t="s">
        <v>27</v>
      </c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6" t="s">
        <v>27</v>
      </c>
      <c r="AE77" s="107"/>
      <c r="AF77" s="107"/>
      <c r="AG77" s="44">
        <f t="shared" si="0"/>
        <v>6</v>
      </c>
      <c r="AH77" s="44">
        <f t="shared" si="1"/>
        <v>2</v>
      </c>
      <c r="AI77" s="44">
        <f t="shared" si="2"/>
        <v>100</v>
      </c>
      <c r="AJ77" s="107"/>
    </row>
    <row r="78" spans="1:36" ht="13.2">
      <c r="A78" s="41" t="s">
        <v>435</v>
      </c>
      <c r="B78" s="113" t="s">
        <v>436</v>
      </c>
      <c r="C78" s="117"/>
      <c r="D78" s="58" t="s">
        <v>341</v>
      </c>
      <c r="E78" s="58">
        <v>932445325</v>
      </c>
      <c r="F78" s="106" t="s">
        <v>19</v>
      </c>
      <c r="G78" s="106" t="s">
        <v>19</v>
      </c>
      <c r="H78" s="106" t="s">
        <v>19</v>
      </c>
      <c r="I78" s="106" t="s">
        <v>19</v>
      </c>
      <c r="J78" s="106" t="s">
        <v>19</v>
      </c>
      <c r="K78" s="106" t="s">
        <v>19</v>
      </c>
      <c r="L78" s="107"/>
      <c r="M78" s="107"/>
      <c r="N78" s="106" t="s">
        <v>27</v>
      </c>
      <c r="O78" s="106" t="s">
        <v>27</v>
      </c>
      <c r="P78" s="107"/>
      <c r="Q78" s="107"/>
      <c r="R78" s="107"/>
      <c r="S78" s="107"/>
      <c r="T78" s="107"/>
      <c r="U78" s="107"/>
      <c r="V78" s="107"/>
      <c r="W78" s="106" t="s">
        <v>27</v>
      </c>
      <c r="X78" s="107"/>
      <c r="Y78" s="106" t="s">
        <v>27</v>
      </c>
      <c r="Z78" s="106" t="s">
        <v>27</v>
      </c>
      <c r="AA78" s="107"/>
      <c r="AB78" s="107"/>
      <c r="AC78" s="107"/>
      <c r="AD78" s="107"/>
      <c r="AE78" s="107"/>
      <c r="AF78" s="107"/>
      <c r="AG78" s="44">
        <f t="shared" si="0"/>
        <v>5</v>
      </c>
      <c r="AH78" s="44">
        <f t="shared" si="1"/>
        <v>6</v>
      </c>
      <c r="AI78" s="44">
        <f t="shared" si="2"/>
        <v>83.333333333333343</v>
      </c>
      <c r="AJ78" s="107"/>
    </row>
    <row r="79" spans="1:36" ht="13.2">
      <c r="A79" s="41" t="s">
        <v>439</v>
      </c>
      <c r="B79" s="113" t="s">
        <v>440</v>
      </c>
      <c r="C79" s="117"/>
      <c r="D79" s="58" t="s">
        <v>379</v>
      </c>
      <c r="E79" s="117"/>
      <c r="F79" s="106" t="s">
        <v>19</v>
      </c>
      <c r="G79" s="106" t="s">
        <v>19</v>
      </c>
      <c r="H79" s="106" t="s">
        <v>19</v>
      </c>
      <c r="I79" s="106" t="s">
        <v>27</v>
      </c>
      <c r="J79" s="106" t="s">
        <v>27</v>
      </c>
      <c r="K79" s="106" t="s">
        <v>27</v>
      </c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6" t="s">
        <v>27</v>
      </c>
      <c r="Z79" s="106" t="s">
        <v>27</v>
      </c>
      <c r="AA79" s="107"/>
      <c r="AB79" s="107"/>
      <c r="AC79" s="106" t="s">
        <v>27</v>
      </c>
      <c r="AD79" s="107"/>
      <c r="AE79" s="107"/>
      <c r="AF79" s="107"/>
      <c r="AG79" s="44">
        <f t="shared" si="0"/>
        <v>6</v>
      </c>
      <c r="AH79" s="44">
        <f t="shared" si="1"/>
        <v>3</v>
      </c>
      <c r="AI79" s="44">
        <f t="shared" si="2"/>
        <v>100</v>
      </c>
      <c r="AJ79" s="107"/>
    </row>
    <row r="80" spans="1:36" ht="13.2">
      <c r="A80" s="41" t="s">
        <v>443</v>
      </c>
      <c r="B80" s="113" t="s">
        <v>444</v>
      </c>
      <c r="C80" s="117"/>
      <c r="D80" s="58" t="s">
        <v>379</v>
      </c>
      <c r="E80" s="117"/>
      <c r="F80" s="106" t="s">
        <v>19</v>
      </c>
      <c r="G80" s="106" t="s">
        <v>19</v>
      </c>
      <c r="H80" s="106" t="s">
        <v>19</v>
      </c>
      <c r="I80" s="106" t="s">
        <v>27</v>
      </c>
      <c r="J80" s="106" t="s">
        <v>27</v>
      </c>
      <c r="K80" s="106" t="s">
        <v>27</v>
      </c>
      <c r="L80" s="106" t="s">
        <v>27</v>
      </c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6" t="s">
        <v>27</v>
      </c>
      <c r="Z80" s="106" t="s">
        <v>27</v>
      </c>
      <c r="AA80" s="107"/>
      <c r="AB80" s="107"/>
      <c r="AC80" s="107"/>
      <c r="AD80" s="106" t="s">
        <v>27</v>
      </c>
      <c r="AE80" s="107"/>
      <c r="AF80" s="107"/>
      <c r="AG80" s="44">
        <f t="shared" si="0"/>
        <v>7</v>
      </c>
      <c r="AH80" s="44">
        <f t="shared" si="1"/>
        <v>3</v>
      </c>
      <c r="AI80" s="44">
        <f t="shared" si="2"/>
        <v>116.66666666666667</v>
      </c>
      <c r="AJ80" s="107"/>
    </row>
    <row r="81" spans="1:36" ht="13.2">
      <c r="A81" s="41" t="s">
        <v>447</v>
      </c>
      <c r="B81" s="113" t="s">
        <v>448</v>
      </c>
      <c r="C81" s="117"/>
      <c r="D81" s="58" t="s">
        <v>341</v>
      </c>
      <c r="E81" s="117"/>
      <c r="F81" s="106" t="s">
        <v>19</v>
      </c>
      <c r="G81" s="106" t="s">
        <v>19</v>
      </c>
      <c r="H81" s="106" t="s">
        <v>19</v>
      </c>
      <c r="I81" s="106" t="s">
        <v>19</v>
      </c>
      <c r="J81" s="106" t="s">
        <v>19</v>
      </c>
      <c r="K81" s="106" t="s">
        <v>19</v>
      </c>
      <c r="L81" s="107"/>
      <c r="M81" s="106" t="s">
        <v>27</v>
      </c>
      <c r="N81" s="106" t="s">
        <v>27</v>
      </c>
      <c r="O81" s="107"/>
      <c r="P81" s="107"/>
      <c r="Q81" s="107"/>
      <c r="R81" s="107"/>
      <c r="S81" s="107"/>
      <c r="T81" s="107"/>
      <c r="U81" s="107"/>
      <c r="V81" s="107"/>
      <c r="W81" s="106" t="s">
        <v>27</v>
      </c>
      <c r="X81" s="106" t="s">
        <v>27</v>
      </c>
      <c r="Y81" s="106" t="s">
        <v>27</v>
      </c>
      <c r="Z81" s="106" t="s">
        <v>27</v>
      </c>
      <c r="AA81" s="107"/>
      <c r="AB81" s="107"/>
      <c r="AC81" s="107"/>
      <c r="AD81" s="107"/>
      <c r="AE81" s="107"/>
      <c r="AF81" s="107"/>
      <c r="AG81" s="44">
        <f t="shared" si="0"/>
        <v>6</v>
      </c>
      <c r="AH81" s="44">
        <f t="shared" si="1"/>
        <v>6</v>
      </c>
      <c r="AI81" s="44">
        <f t="shared" si="2"/>
        <v>100</v>
      </c>
      <c r="AJ81" s="107"/>
    </row>
    <row r="82" spans="1:36" ht="13.2">
      <c r="A82" s="41" t="s">
        <v>451</v>
      </c>
      <c r="B82" s="113" t="s">
        <v>452</v>
      </c>
      <c r="C82" s="117"/>
      <c r="D82" s="58" t="s">
        <v>341</v>
      </c>
      <c r="E82" s="117"/>
      <c r="F82" s="106" t="s">
        <v>19</v>
      </c>
      <c r="G82" s="106" t="s">
        <v>19</v>
      </c>
      <c r="H82" s="106" t="s">
        <v>19</v>
      </c>
      <c r="I82" s="106" t="s">
        <v>19</v>
      </c>
      <c r="J82" s="106" t="s">
        <v>19</v>
      </c>
      <c r="K82" s="106" t="s">
        <v>19</v>
      </c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44">
        <f t="shared" si="0"/>
        <v>0</v>
      </c>
      <c r="AH82" s="44">
        <f t="shared" si="1"/>
        <v>6</v>
      </c>
      <c r="AI82" s="44">
        <f t="shared" si="2"/>
        <v>0</v>
      </c>
      <c r="AJ82" s="107"/>
    </row>
    <row r="83" spans="1:36" ht="13.2">
      <c r="A83" s="41" t="s">
        <v>457</v>
      </c>
      <c r="B83" s="113" t="s">
        <v>458</v>
      </c>
      <c r="C83" s="117"/>
      <c r="D83" s="58" t="s">
        <v>341</v>
      </c>
      <c r="E83" s="117"/>
      <c r="F83" s="106" t="s">
        <v>19</v>
      </c>
      <c r="G83" s="106" t="s">
        <v>19</v>
      </c>
      <c r="H83" s="106" t="s">
        <v>19</v>
      </c>
      <c r="I83" s="106" t="s">
        <v>27</v>
      </c>
      <c r="J83" s="106" t="s">
        <v>27</v>
      </c>
      <c r="K83" s="106" t="s">
        <v>19</v>
      </c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6" t="s">
        <v>19</v>
      </c>
      <c r="Y83" s="107"/>
      <c r="Z83" s="106" t="s">
        <v>27</v>
      </c>
      <c r="AA83" s="107"/>
      <c r="AB83" s="107"/>
      <c r="AC83" s="107"/>
      <c r="AD83" s="107"/>
      <c r="AE83" s="107"/>
      <c r="AF83" s="107"/>
      <c r="AG83" s="44">
        <f t="shared" si="0"/>
        <v>3</v>
      </c>
      <c r="AH83" s="44">
        <f t="shared" si="1"/>
        <v>5</v>
      </c>
      <c r="AI83" s="44">
        <f t="shared" si="2"/>
        <v>50</v>
      </c>
      <c r="AJ83" s="107"/>
    </row>
    <row r="84" spans="1:36" ht="13.2">
      <c r="A84" s="41" t="s">
        <v>461</v>
      </c>
      <c r="B84" s="113" t="s">
        <v>462</v>
      </c>
      <c r="C84" s="117"/>
      <c r="D84" s="58" t="s">
        <v>341</v>
      </c>
      <c r="E84" s="117"/>
      <c r="F84" s="106" t="s">
        <v>19</v>
      </c>
      <c r="G84" s="106" t="s">
        <v>19</v>
      </c>
      <c r="H84" s="106" t="s">
        <v>19</v>
      </c>
      <c r="I84" s="106" t="s">
        <v>19</v>
      </c>
      <c r="J84" s="106" t="s">
        <v>19</v>
      </c>
      <c r="K84" s="106" t="s">
        <v>19</v>
      </c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44">
        <f t="shared" si="0"/>
        <v>0</v>
      </c>
      <c r="AH84" s="44">
        <f t="shared" si="1"/>
        <v>6</v>
      </c>
      <c r="AI84" s="44">
        <f t="shared" si="2"/>
        <v>0</v>
      </c>
      <c r="AJ84" s="107"/>
    </row>
    <row r="85" spans="1:36" ht="13.2">
      <c r="A85" s="41" t="s">
        <v>465</v>
      </c>
      <c r="B85" s="113" t="s">
        <v>466</v>
      </c>
      <c r="C85" s="117"/>
      <c r="D85" s="58" t="s">
        <v>379</v>
      </c>
      <c r="E85" s="117"/>
      <c r="F85" s="106" t="s">
        <v>27</v>
      </c>
      <c r="G85" s="106" t="s">
        <v>27</v>
      </c>
      <c r="H85" s="106" t="s">
        <v>27</v>
      </c>
      <c r="I85" s="106" t="s">
        <v>19</v>
      </c>
      <c r="J85" s="106" t="s">
        <v>27</v>
      </c>
      <c r="K85" s="106" t="s">
        <v>19</v>
      </c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44">
        <f t="shared" si="0"/>
        <v>4</v>
      </c>
      <c r="AH85" s="44">
        <f t="shared" si="1"/>
        <v>2</v>
      </c>
      <c r="AI85" s="44">
        <f t="shared" si="2"/>
        <v>66.666666666666657</v>
      </c>
      <c r="AJ85" s="107"/>
    </row>
    <row r="86" spans="1:36" ht="13.2">
      <c r="A86" s="41" t="s">
        <v>469</v>
      </c>
      <c r="B86" s="113" t="s">
        <v>470</v>
      </c>
      <c r="C86" s="117"/>
      <c r="D86" s="58" t="s">
        <v>341</v>
      </c>
      <c r="E86" s="117"/>
      <c r="F86" s="106" t="s">
        <v>27</v>
      </c>
      <c r="G86" s="106" t="s">
        <v>27</v>
      </c>
      <c r="H86" s="106" t="s">
        <v>19</v>
      </c>
      <c r="I86" s="106" t="s">
        <v>27</v>
      </c>
      <c r="J86" s="106" t="s">
        <v>27</v>
      </c>
      <c r="K86" s="106" t="s">
        <v>27</v>
      </c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6" t="s">
        <v>27</v>
      </c>
      <c r="AG86" s="44">
        <f t="shared" si="0"/>
        <v>6</v>
      </c>
      <c r="AH86" s="44">
        <f t="shared" si="1"/>
        <v>1</v>
      </c>
      <c r="AI86" s="44">
        <f t="shared" si="2"/>
        <v>100</v>
      </c>
      <c r="AJ86" s="107"/>
    </row>
    <row r="87" spans="1:36" ht="13.2">
      <c r="A87" s="41" t="s">
        <v>475</v>
      </c>
      <c r="B87" s="113" t="s">
        <v>476</v>
      </c>
      <c r="C87" s="117"/>
      <c r="D87" s="58" t="s">
        <v>341</v>
      </c>
      <c r="E87" s="117"/>
      <c r="F87" s="106" t="s">
        <v>19</v>
      </c>
      <c r="G87" s="106" t="s">
        <v>19</v>
      </c>
      <c r="H87" s="106" t="s">
        <v>19</v>
      </c>
      <c r="I87" s="106" t="s">
        <v>19</v>
      </c>
      <c r="J87" s="106" t="s">
        <v>19</v>
      </c>
      <c r="K87" s="106" t="s">
        <v>19</v>
      </c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44">
        <f t="shared" si="0"/>
        <v>0</v>
      </c>
      <c r="AH87" s="44">
        <f t="shared" si="1"/>
        <v>6</v>
      </c>
      <c r="AI87" s="44">
        <f t="shared" si="2"/>
        <v>0</v>
      </c>
      <c r="AJ87" s="107"/>
    </row>
    <row r="88" spans="1:36" ht="13.2">
      <c r="A88" s="41" t="s">
        <v>479</v>
      </c>
      <c r="B88" s="113" t="s">
        <v>480</v>
      </c>
      <c r="C88" s="117"/>
      <c r="D88" s="117"/>
      <c r="E88" s="58">
        <v>983798959</v>
      </c>
      <c r="F88" s="106" t="s">
        <v>19</v>
      </c>
      <c r="G88" s="106" t="s">
        <v>19</v>
      </c>
      <c r="H88" s="106" t="s">
        <v>19</v>
      </c>
      <c r="I88" s="106" t="s">
        <v>19</v>
      </c>
      <c r="J88" s="106" t="s">
        <v>19</v>
      </c>
      <c r="K88" s="106" t="s">
        <v>19</v>
      </c>
      <c r="L88" s="107"/>
      <c r="M88" s="107"/>
      <c r="N88" s="107"/>
      <c r="O88" s="107"/>
      <c r="P88" s="107"/>
      <c r="Q88" s="107"/>
      <c r="R88" s="106" t="s">
        <v>27</v>
      </c>
      <c r="S88" s="107"/>
      <c r="T88" s="107"/>
      <c r="U88" s="107"/>
      <c r="V88" s="107"/>
      <c r="W88" s="107"/>
      <c r="X88" s="106"/>
      <c r="Y88" s="106" t="s">
        <v>27</v>
      </c>
      <c r="Z88" s="106" t="s">
        <v>27</v>
      </c>
      <c r="AA88" s="107"/>
      <c r="AB88" s="107"/>
      <c r="AC88" s="107"/>
      <c r="AD88" s="107"/>
      <c r="AE88" s="107"/>
      <c r="AF88" s="107"/>
      <c r="AG88" s="44">
        <f t="shared" si="0"/>
        <v>3</v>
      </c>
      <c r="AH88" s="44">
        <f t="shared" si="1"/>
        <v>6</v>
      </c>
      <c r="AI88" s="44">
        <f t="shared" si="2"/>
        <v>50</v>
      </c>
      <c r="AJ88" s="107"/>
    </row>
    <row r="89" spans="1:36" ht="13.2">
      <c r="A89" s="41" t="s">
        <v>483</v>
      </c>
      <c r="B89" s="113" t="s">
        <v>484</v>
      </c>
      <c r="C89" s="117"/>
      <c r="D89" s="58" t="s">
        <v>379</v>
      </c>
      <c r="E89" s="117"/>
      <c r="F89" s="106" t="s">
        <v>19</v>
      </c>
      <c r="G89" s="106" t="s">
        <v>19</v>
      </c>
      <c r="H89" s="106" t="s">
        <v>19</v>
      </c>
      <c r="I89" s="106" t="s">
        <v>19</v>
      </c>
      <c r="J89" s="106" t="s">
        <v>19</v>
      </c>
      <c r="K89" s="106" t="s">
        <v>19</v>
      </c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44">
        <f t="shared" si="0"/>
        <v>0</v>
      </c>
      <c r="AH89" s="44">
        <f t="shared" si="1"/>
        <v>6</v>
      </c>
      <c r="AI89" s="44">
        <f t="shared" si="2"/>
        <v>0</v>
      </c>
      <c r="AJ89" s="107"/>
    </row>
    <row r="90" spans="1:36" ht="13.2">
      <c r="A90" s="41" t="s">
        <v>489</v>
      </c>
      <c r="B90" s="113" t="s">
        <v>490</v>
      </c>
      <c r="C90" s="117"/>
      <c r="D90" s="58" t="s">
        <v>341</v>
      </c>
      <c r="E90" s="117"/>
      <c r="F90" s="106" t="s">
        <v>19</v>
      </c>
      <c r="G90" s="106" t="s">
        <v>19</v>
      </c>
      <c r="H90" s="106" t="s">
        <v>19</v>
      </c>
      <c r="I90" s="106" t="s">
        <v>19</v>
      </c>
      <c r="J90" s="106" t="s">
        <v>19</v>
      </c>
      <c r="K90" s="106" t="s">
        <v>19</v>
      </c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44">
        <f t="shared" si="0"/>
        <v>0</v>
      </c>
      <c r="AH90" s="44">
        <f t="shared" si="1"/>
        <v>6</v>
      </c>
      <c r="AI90" s="44">
        <f t="shared" si="2"/>
        <v>0</v>
      </c>
      <c r="AJ90" s="107"/>
    </row>
    <row r="91" spans="1:36" ht="13.2">
      <c r="A91" s="41" t="s">
        <v>493</v>
      </c>
      <c r="B91" s="113" t="s">
        <v>494</v>
      </c>
      <c r="C91" s="117"/>
      <c r="D91" s="58" t="s">
        <v>379</v>
      </c>
      <c r="E91" s="117"/>
      <c r="F91" s="106" t="s">
        <v>19</v>
      </c>
      <c r="G91" s="106" t="s">
        <v>19</v>
      </c>
      <c r="H91" s="106" t="s">
        <v>19</v>
      </c>
      <c r="I91" s="106" t="s">
        <v>19</v>
      </c>
      <c r="J91" s="106" t="s">
        <v>19</v>
      </c>
      <c r="K91" s="106" t="s">
        <v>19</v>
      </c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44">
        <f t="shared" si="0"/>
        <v>0</v>
      </c>
      <c r="AH91" s="44">
        <f t="shared" si="1"/>
        <v>6</v>
      </c>
      <c r="AI91" s="44">
        <f t="shared" si="2"/>
        <v>0</v>
      </c>
      <c r="AJ91" s="107"/>
    </row>
    <row r="92" spans="1:36" ht="13.2">
      <c r="A92" s="41" t="s">
        <v>497</v>
      </c>
      <c r="B92" s="113" t="s">
        <v>498</v>
      </c>
      <c r="C92" s="117"/>
      <c r="D92" s="58" t="s">
        <v>379</v>
      </c>
      <c r="E92" s="117"/>
      <c r="F92" s="106" t="s">
        <v>19</v>
      </c>
      <c r="G92" s="106" t="s">
        <v>19</v>
      </c>
      <c r="H92" s="106" t="s">
        <v>19</v>
      </c>
      <c r="I92" s="106" t="s">
        <v>19</v>
      </c>
      <c r="J92" s="106" t="s">
        <v>19</v>
      </c>
      <c r="K92" s="106" t="s">
        <v>19</v>
      </c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44">
        <f t="shared" si="0"/>
        <v>0</v>
      </c>
      <c r="AH92" s="44">
        <f t="shared" si="1"/>
        <v>6</v>
      </c>
      <c r="AI92" s="44">
        <f t="shared" si="2"/>
        <v>0</v>
      </c>
      <c r="AJ92" s="107"/>
    </row>
    <row r="93" spans="1:36" ht="13.2">
      <c r="A93" s="41" t="s">
        <v>502</v>
      </c>
      <c r="B93" s="113" t="s">
        <v>504</v>
      </c>
      <c r="C93" s="117"/>
      <c r="D93" s="117"/>
      <c r="E93" s="117"/>
      <c r="F93" s="106" t="s">
        <v>19</v>
      </c>
      <c r="G93" s="106" t="s">
        <v>19</v>
      </c>
      <c r="H93" s="106" t="s">
        <v>19</v>
      </c>
      <c r="I93" s="106" t="s">
        <v>19</v>
      </c>
      <c r="J93" s="106" t="s">
        <v>19</v>
      </c>
      <c r="K93" s="106" t="s">
        <v>19</v>
      </c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44">
        <f t="shared" si="0"/>
        <v>0</v>
      </c>
      <c r="AH93" s="44">
        <f t="shared" si="1"/>
        <v>6</v>
      </c>
      <c r="AI93" s="44">
        <f t="shared" si="2"/>
        <v>0</v>
      </c>
      <c r="AJ93" s="107"/>
    </row>
    <row r="94" spans="1:36" ht="13.2">
      <c r="A94" s="41" t="s">
        <v>507</v>
      </c>
      <c r="B94" s="113" t="s">
        <v>508</v>
      </c>
      <c r="C94" s="117"/>
      <c r="D94" s="58" t="s">
        <v>379</v>
      </c>
      <c r="E94" s="117"/>
      <c r="F94" s="106" t="s">
        <v>19</v>
      </c>
      <c r="G94" s="106" t="s">
        <v>27</v>
      </c>
      <c r="H94" s="106" t="s">
        <v>27</v>
      </c>
      <c r="I94" s="106" t="s">
        <v>27</v>
      </c>
      <c r="J94" s="106" t="s">
        <v>27</v>
      </c>
      <c r="K94" s="106" t="s">
        <v>19</v>
      </c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6" t="s">
        <v>27</v>
      </c>
      <c r="Y94" s="106" t="s">
        <v>27</v>
      </c>
      <c r="Z94" s="106" t="s">
        <v>27</v>
      </c>
      <c r="AA94" s="107"/>
      <c r="AB94" s="107"/>
      <c r="AC94" s="106" t="s">
        <v>27</v>
      </c>
      <c r="AD94" s="107"/>
      <c r="AE94" s="107"/>
      <c r="AF94" s="107"/>
      <c r="AG94" s="44">
        <f t="shared" si="0"/>
        <v>8</v>
      </c>
      <c r="AH94" s="44">
        <f t="shared" si="1"/>
        <v>2</v>
      </c>
      <c r="AI94" s="44">
        <f t="shared" si="2"/>
        <v>133.33333333333331</v>
      </c>
      <c r="AJ94" s="107"/>
    </row>
    <row r="95" spans="1:36" ht="13.2">
      <c r="A95" s="41" t="s">
        <v>513</v>
      </c>
      <c r="B95" s="113" t="s">
        <v>514</v>
      </c>
      <c r="C95" s="117"/>
      <c r="D95" s="58" t="s">
        <v>341</v>
      </c>
      <c r="E95" s="117"/>
      <c r="F95" s="106" t="s">
        <v>19</v>
      </c>
      <c r="G95" s="106" t="s">
        <v>19</v>
      </c>
      <c r="H95" s="106" t="s">
        <v>27</v>
      </c>
      <c r="I95" s="106" t="s">
        <v>27</v>
      </c>
      <c r="J95" s="106" t="s">
        <v>27</v>
      </c>
      <c r="K95" s="106" t="s">
        <v>27</v>
      </c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6" t="s">
        <v>27</v>
      </c>
      <c r="AD95" s="107"/>
      <c r="AE95" s="107"/>
      <c r="AF95" s="107"/>
      <c r="AG95" s="44">
        <f t="shared" si="0"/>
        <v>5</v>
      </c>
      <c r="AH95" s="44">
        <f t="shared" si="1"/>
        <v>2</v>
      </c>
      <c r="AI95" s="44">
        <f t="shared" si="2"/>
        <v>83.333333333333343</v>
      </c>
      <c r="AJ95" s="107"/>
    </row>
    <row r="96" spans="1:36" ht="13.2">
      <c r="A96" s="41" t="s">
        <v>517</v>
      </c>
      <c r="B96" s="113" t="s">
        <v>518</v>
      </c>
      <c r="C96" s="117"/>
      <c r="D96" s="58" t="s">
        <v>379</v>
      </c>
      <c r="E96" s="117"/>
      <c r="F96" s="106" t="s">
        <v>19</v>
      </c>
      <c r="G96" s="106" t="s">
        <v>19</v>
      </c>
      <c r="H96" s="106" t="s">
        <v>19</v>
      </c>
      <c r="I96" s="106" t="s">
        <v>19</v>
      </c>
      <c r="J96" s="106" t="s">
        <v>19</v>
      </c>
      <c r="K96" s="106" t="s">
        <v>19</v>
      </c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44">
        <f t="shared" si="0"/>
        <v>0</v>
      </c>
      <c r="AH96" s="44">
        <f t="shared" si="1"/>
        <v>6</v>
      </c>
      <c r="AI96" s="44">
        <f t="shared" si="2"/>
        <v>0</v>
      </c>
      <c r="AJ96" s="107"/>
    </row>
    <row r="97" spans="1:36" ht="13.2">
      <c r="A97" s="41" t="s">
        <v>521</v>
      </c>
      <c r="B97" s="113" t="s">
        <v>522</v>
      </c>
      <c r="C97" s="117"/>
      <c r="D97" s="58" t="s">
        <v>379</v>
      </c>
      <c r="E97" s="117"/>
      <c r="F97" s="106" t="s">
        <v>19</v>
      </c>
      <c r="G97" s="106" t="s">
        <v>19</v>
      </c>
      <c r="H97" s="106" t="s">
        <v>19</v>
      </c>
      <c r="I97" s="106" t="s">
        <v>19</v>
      </c>
      <c r="J97" s="106" t="s">
        <v>19</v>
      </c>
      <c r="K97" s="106" t="s">
        <v>19</v>
      </c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44">
        <f t="shared" si="0"/>
        <v>0</v>
      </c>
      <c r="AH97" s="44">
        <f t="shared" si="1"/>
        <v>6</v>
      </c>
      <c r="AI97" s="44">
        <f t="shared" si="2"/>
        <v>0</v>
      </c>
      <c r="AJ97" s="107"/>
    </row>
    <row r="98" spans="1:36" ht="13.2">
      <c r="A98" s="41" t="s">
        <v>527</v>
      </c>
      <c r="B98" s="113" t="s">
        <v>528</v>
      </c>
      <c r="C98" s="117"/>
      <c r="D98" s="58" t="s">
        <v>341</v>
      </c>
      <c r="E98" s="117"/>
      <c r="F98" s="106" t="s">
        <v>19</v>
      </c>
      <c r="G98" s="106" t="s">
        <v>19</v>
      </c>
      <c r="H98" s="106" t="s">
        <v>19</v>
      </c>
      <c r="I98" s="106" t="s">
        <v>19</v>
      </c>
      <c r="J98" s="106" t="s">
        <v>19</v>
      </c>
      <c r="K98" s="106" t="s">
        <v>19</v>
      </c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81">
        <f t="shared" si="0"/>
        <v>0</v>
      </c>
      <c r="AH98" s="81">
        <f t="shared" si="1"/>
        <v>6</v>
      </c>
      <c r="AI98" s="44">
        <f t="shared" si="2"/>
        <v>0</v>
      </c>
      <c r="AJ98" s="107"/>
    </row>
    <row r="99" spans="1:36" ht="13.2">
      <c r="A99" s="41" t="s">
        <v>531</v>
      </c>
      <c r="B99" s="113" t="s">
        <v>533</v>
      </c>
      <c r="C99" s="117"/>
      <c r="D99" s="58" t="s">
        <v>379</v>
      </c>
      <c r="E99" s="117"/>
      <c r="F99" s="106" t="s">
        <v>19</v>
      </c>
      <c r="G99" s="106" t="s">
        <v>19</v>
      </c>
      <c r="H99" s="106" t="s">
        <v>19</v>
      </c>
      <c r="I99" s="106" t="s">
        <v>19</v>
      </c>
      <c r="J99" s="106" t="s">
        <v>19</v>
      </c>
      <c r="K99" s="106" t="s">
        <v>19</v>
      </c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44">
        <f t="shared" si="0"/>
        <v>0</v>
      </c>
      <c r="AH99" s="44">
        <f t="shared" si="1"/>
        <v>6</v>
      </c>
      <c r="AI99" s="44">
        <f t="shared" si="2"/>
        <v>0</v>
      </c>
      <c r="AJ99" s="107"/>
    </row>
    <row r="100" spans="1:36" ht="13.2">
      <c r="A100" s="41" t="s">
        <v>537</v>
      </c>
      <c r="B100" s="113" t="s">
        <v>538</v>
      </c>
      <c r="C100" s="117"/>
      <c r="D100" s="58" t="s">
        <v>379</v>
      </c>
      <c r="E100" s="117"/>
      <c r="F100" s="106" t="s">
        <v>19</v>
      </c>
      <c r="G100" s="106" t="s">
        <v>19</v>
      </c>
      <c r="H100" s="106" t="s">
        <v>19</v>
      </c>
      <c r="I100" s="106" t="s">
        <v>19</v>
      </c>
      <c r="J100" s="106" t="s">
        <v>19</v>
      </c>
      <c r="K100" s="106" t="s">
        <v>19</v>
      </c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44">
        <f t="shared" si="0"/>
        <v>0</v>
      </c>
      <c r="AH100" s="44">
        <f t="shared" si="1"/>
        <v>6</v>
      </c>
      <c r="AI100" s="44">
        <f t="shared" si="2"/>
        <v>0</v>
      </c>
      <c r="AJ100" s="107"/>
    </row>
    <row r="101" spans="1:36" ht="13.2">
      <c r="A101" s="41" t="s">
        <v>543</v>
      </c>
      <c r="B101" s="113" t="s">
        <v>544</v>
      </c>
      <c r="C101" s="117"/>
      <c r="D101" s="58" t="s">
        <v>341</v>
      </c>
      <c r="E101" s="117"/>
      <c r="F101" s="106" t="s">
        <v>19</v>
      </c>
      <c r="G101" s="106" t="s">
        <v>19</v>
      </c>
      <c r="H101" s="106" t="s">
        <v>19</v>
      </c>
      <c r="I101" s="106" t="s">
        <v>19</v>
      </c>
      <c r="J101" s="106" t="s">
        <v>19</v>
      </c>
      <c r="K101" s="106" t="s">
        <v>19</v>
      </c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44">
        <f t="shared" si="0"/>
        <v>0</v>
      </c>
      <c r="AH101" s="44">
        <f t="shared" si="1"/>
        <v>6</v>
      </c>
      <c r="AI101" s="44">
        <f t="shared" si="2"/>
        <v>0</v>
      </c>
      <c r="AJ101" s="107"/>
    </row>
    <row r="102" spans="1:36" ht="13.2">
      <c r="A102" s="41" t="s">
        <v>547</v>
      </c>
      <c r="B102" s="113" t="s">
        <v>548</v>
      </c>
      <c r="C102" s="117"/>
      <c r="D102" s="58" t="s">
        <v>341</v>
      </c>
      <c r="E102" s="117"/>
      <c r="F102" s="106" t="s">
        <v>19</v>
      </c>
      <c r="G102" s="106" t="s">
        <v>19</v>
      </c>
      <c r="H102" s="106" t="s">
        <v>19</v>
      </c>
      <c r="I102" s="106" t="s">
        <v>19</v>
      </c>
      <c r="J102" s="106" t="s">
        <v>19</v>
      </c>
      <c r="K102" s="106" t="s">
        <v>19</v>
      </c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44">
        <f t="shared" si="0"/>
        <v>0</v>
      </c>
      <c r="AH102" s="44">
        <f t="shared" si="1"/>
        <v>6</v>
      </c>
      <c r="AI102" s="44">
        <f t="shared" si="2"/>
        <v>0</v>
      </c>
      <c r="AJ102" s="107"/>
    </row>
    <row r="103" spans="1:36" ht="13.2">
      <c r="A103" s="41" t="s">
        <v>551</v>
      </c>
      <c r="B103" s="113" t="s">
        <v>552</v>
      </c>
      <c r="C103" s="117"/>
      <c r="D103" s="58" t="s">
        <v>341</v>
      </c>
      <c r="E103" s="117"/>
      <c r="F103" s="106" t="s">
        <v>19</v>
      </c>
      <c r="G103" s="106" t="s">
        <v>19</v>
      </c>
      <c r="H103" s="106" t="s">
        <v>19</v>
      </c>
      <c r="I103" s="106" t="s">
        <v>19</v>
      </c>
      <c r="J103" s="106" t="s">
        <v>19</v>
      </c>
      <c r="K103" s="106" t="s">
        <v>19</v>
      </c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44">
        <f t="shared" si="0"/>
        <v>0</v>
      </c>
      <c r="AH103" s="44">
        <f t="shared" si="1"/>
        <v>6</v>
      </c>
      <c r="AI103" s="44">
        <f t="shared" si="2"/>
        <v>0</v>
      </c>
      <c r="AJ103" s="107"/>
    </row>
    <row r="104" spans="1:36" ht="13.2">
      <c r="A104" s="41" t="s">
        <v>557</v>
      </c>
      <c r="B104" s="113" t="s">
        <v>558</v>
      </c>
      <c r="C104" s="117"/>
      <c r="D104" s="58" t="s">
        <v>341</v>
      </c>
      <c r="E104" s="117"/>
      <c r="F104" s="106" t="s">
        <v>19</v>
      </c>
      <c r="G104" s="106" t="s">
        <v>19</v>
      </c>
      <c r="H104" s="106" t="s">
        <v>19</v>
      </c>
      <c r="I104" s="106" t="s">
        <v>19</v>
      </c>
      <c r="J104" s="106" t="s">
        <v>19</v>
      </c>
      <c r="K104" s="106" t="s">
        <v>19</v>
      </c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44">
        <f t="shared" si="0"/>
        <v>0</v>
      </c>
      <c r="AH104" s="44">
        <f t="shared" si="1"/>
        <v>6</v>
      </c>
      <c r="AI104" s="44">
        <f t="shared" si="2"/>
        <v>0</v>
      </c>
      <c r="AJ104" s="107"/>
    </row>
    <row r="105" spans="1:36" ht="13.2">
      <c r="A105" s="41" t="s">
        <v>561</v>
      </c>
      <c r="B105" s="113" t="s">
        <v>563</v>
      </c>
      <c r="C105" s="117"/>
      <c r="D105" s="58" t="s">
        <v>379</v>
      </c>
      <c r="E105" s="117"/>
      <c r="F105" s="106" t="s">
        <v>19</v>
      </c>
      <c r="G105" s="106" t="s">
        <v>19</v>
      </c>
      <c r="H105" s="106" t="s">
        <v>19</v>
      </c>
      <c r="I105" s="106" t="s">
        <v>19</v>
      </c>
      <c r="J105" s="106" t="s">
        <v>19</v>
      </c>
      <c r="K105" s="106" t="s">
        <v>19</v>
      </c>
      <c r="L105" s="106" t="s">
        <v>27</v>
      </c>
      <c r="M105" s="106" t="s">
        <v>19</v>
      </c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44">
        <f t="shared" si="0"/>
        <v>1</v>
      </c>
      <c r="AH105" s="44">
        <f t="shared" si="1"/>
        <v>7</v>
      </c>
      <c r="AI105" s="44">
        <f t="shared" si="2"/>
        <v>16.666666666666664</v>
      </c>
      <c r="AJ105" s="107"/>
    </row>
    <row r="106" spans="1:36" ht="13.2">
      <c r="A106" s="41" t="s">
        <v>567</v>
      </c>
      <c r="B106" s="113" t="s">
        <v>568</v>
      </c>
      <c r="C106" s="117"/>
      <c r="D106" s="117"/>
      <c r="E106" s="117"/>
      <c r="F106" s="106" t="s">
        <v>19</v>
      </c>
      <c r="G106" s="106" t="s">
        <v>19</v>
      </c>
      <c r="H106" s="106" t="s">
        <v>19</v>
      </c>
      <c r="I106" s="106" t="s">
        <v>19</v>
      </c>
      <c r="J106" s="106" t="s">
        <v>19</v>
      </c>
      <c r="K106" s="106" t="s">
        <v>19</v>
      </c>
      <c r="L106" s="106" t="s">
        <v>27</v>
      </c>
      <c r="M106" s="106" t="s">
        <v>27</v>
      </c>
      <c r="N106" s="106" t="s">
        <v>27</v>
      </c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44">
        <f t="shared" si="0"/>
        <v>3</v>
      </c>
      <c r="AH106" s="44">
        <f t="shared" si="1"/>
        <v>6</v>
      </c>
      <c r="AI106" s="44">
        <f t="shared" si="2"/>
        <v>50</v>
      </c>
      <c r="AJ106" s="107"/>
    </row>
    <row r="107" spans="1:36" ht="13.2">
      <c r="A107" s="41" t="s">
        <v>574</v>
      </c>
      <c r="B107" s="113" t="s">
        <v>575</v>
      </c>
      <c r="C107" s="58">
        <v>18</v>
      </c>
      <c r="D107" s="58" t="s">
        <v>379</v>
      </c>
      <c r="E107" s="58">
        <v>900305094</v>
      </c>
      <c r="F107" s="106" t="s">
        <v>19</v>
      </c>
      <c r="G107" s="106" t="s">
        <v>19</v>
      </c>
      <c r="H107" s="106" t="s">
        <v>19</v>
      </c>
      <c r="I107" s="106" t="s">
        <v>19</v>
      </c>
      <c r="J107" s="106" t="s">
        <v>19</v>
      </c>
      <c r="K107" s="106" t="s">
        <v>19</v>
      </c>
      <c r="L107" s="106" t="s">
        <v>27</v>
      </c>
      <c r="M107" s="106" t="s">
        <v>27</v>
      </c>
      <c r="N107" s="106" t="s">
        <v>27</v>
      </c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6" t="s">
        <v>27</v>
      </c>
      <c r="AA107" s="107"/>
      <c r="AB107" s="107"/>
      <c r="AC107" s="107"/>
      <c r="AD107" s="107"/>
      <c r="AE107" s="107"/>
      <c r="AF107" s="107"/>
      <c r="AG107" s="44">
        <f t="shared" si="0"/>
        <v>4</v>
      </c>
      <c r="AH107" s="44">
        <f t="shared" si="1"/>
        <v>6</v>
      </c>
      <c r="AI107" s="44">
        <f t="shared" si="2"/>
        <v>66.666666666666657</v>
      </c>
      <c r="AJ107" s="107"/>
    </row>
    <row r="108" spans="1:36" ht="13.2">
      <c r="A108" s="41" t="s">
        <v>580</v>
      </c>
      <c r="B108" s="113" t="s">
        <v>581</v>
      </c>
      <c r="C108" s="117"/>
      <c r="D108" s="58" t="s">
        <v>379</v>
      </c>
      <c r="E108" s="58">
        <v>977381406</v>
      </c>
      <c r="F108" s="106" t="s">
        <v>19</v>
      </c>
      <c r="G108" s="106" t="s">
        <v>19</v>
      </c>
      <c r="H108" s="106" t="s">
        <v>19</v>
      </c>
      <c r="I108" s="106" t="s">
        <v>19</v>
      </c>
      <c r="J108" s="106" t="s">
        <v>19</v>
      </c>
      <c r="K108" s="106" t="s">
        <v>19</v>
      </c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6" t="s">
        <v>27</v>
      </c>
      <c r="Y108" s="106" t="s">
        <v>27</v>
      </c>
      <c r="Z108" s="106" t="s">
        <v>27</v>
      </c>
      <c r="AA108" s="107"/>
      <c r="AB108" s="107"/>
      <c r="AC108" s="107"/>
      <c r="AD108" s="107"/>
      <c r="AE108" s="107"/>
      <c r="AF108" s="107"/>
      <c r="AG108" s="44">
        <f t="shared" si="0"/>
        <v>3</v>
      </c>
      <c r="AH108" s="44">
        <f t="shared" si="1"/>
        <v>6</v>
      </c>
      <c r="AI108" s="44">
        <f t="shared" si="2"/>
        <v>50</v>
      </c>
      <c r="AJ108" s="107"/>
    </row>
    <row r="109" spans="1:36" ht="13.2">
      <c r="A109" s="41" t="s">
        <v>586</v>
      </c>
      <c r="B109" s="113" t="s">
        <v>587</v>
      </c>
      <c r="C109" s="117"/>
      <c r="D109" s="58" t="s">
        <v>341</v>
      </c>
      <c r="E109" s="117"/>
      <c r="F109" s="106" t="s">
        <v>19</v>
      </c>
      <c r="G109" s="106" t="s">
        <v>19</v>
      </c>
      <c r="H109" s="106" t="s">
        <v>19</v>
      </c>
      <c r="I109" s="106" t="s">
        <v>19</v>
      </c>
      <c r="J109" s="106" t="s">
        <v>19</v>
      </c>
      <c r="K109" s="106" t="s">
        <v>27</v>
      </c>
      <c r="L109" s="106" t="s">
        <v>27</v>
      </c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6" t="s">
        <v>27</v>
      </c>
      <c r="Y109" s="106" t="s">
        <v>27</v>
      </c>
      <c r="Z109" s="106" t="s">
        <v>27</v>
      </c>
      <c r="AA109" s="107"/>
      <c r="AB109" s="107"/>
      <c r="AC109" s="107"/>
      <c r="AD109" s="107"/>
      <c r="AE109" s="107"/>
      <c r="AF109" s="107"/>
      <c r="AG109" s="44">
        <f t="shared" si="0"/>
        <v>5</v>
      </c>
      <c r="AH109" s="44">
        <f t="shared" si="1"/>
        <v>5</v>
      </c>
      <c r="AI109" s="44">
        <f t="shared" si="2"/>
        <v>83.333333333333343</v>
      </c>
      <c r="AJ109" s="107"/>
    </row>
    <row r="110" spans="1:36" ht="13.2">
      <c r="A110" s="41" t="s">
        <v>592</v>
      </c>
      <c r="B110" s="113" t="s">
        <v>593</v>
      </c>
      <c r="C110" s="117"/>
      <c r="D110" s="58" t="s">
        <v>379</v>
      </c>
      <c r="E110" s="117"/>
      <c r="F110" s="106" t="s">
        <v>19</v>
      </c>
      <c r="G110" s="106" t="s">
        <v>19</v>
      </c>
      <c r="H110" s="106" t="s">
        <v>19</v>
      </c>
      <c r="I110" s="106" t="s">
        <v>19</v>
      </c>
      <c r="J110" s="106" t="s">
        <v>27</v>
      </c>
      <c r="K110" s="106" t="s">
        <v>27</v>
      </c>
      <c r="L110" s="107"/>
      <c r="M110" s="107"/>
      <c r="N110" s="107"/>
      <c r="O110" s="107"/>
      <c r="P110" s="107"/>
      <c r="Q110" s="107"/>
      <c r="R110" s="106" t="s">
        <v>27</v>
      </c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44">
        <f t="shared" si="0"/>
        <v>3</v>
      </c>
      <c r="AH110" s="44">
        <f t="shared" si="1"/>
        <v>4</v>
      </c>
      <c r="AI110" s="44">
        <f t="shared" si="2"/>
        <v>50</v>
      </c>
      <c r="AJ110" s="107"/>
    </row>
    <row r="111" spans="1:36" ht="13.2">
      <c r="A111" s="41" t="s">
        <v>598</v>
      </c>
      <c r="B111" s="113" t="s">
        <v>599</v>
      </c>
      <c r="C111" s="58">
        <v>20</v>
      </c>
      <c r="D111" s="58" t="s">
        <v>379</v>
      </c>
      <c r="E111" s="58">
        <v>927698166</v>
      </c>
      <c r="F111" s="42" t="s">
        <v>27</v>
      </c>
      <c r="G111" s="42" t="s">
        <v>27</v>
      </c>
      <c r="H111" s="42" t="s">
        <v>27</v>
      </c>
      <c r="I111" s="42" t="s">
        <v>27</v>
      </c>
      <c r="J111" s="42" t="s">
        <v>19</v>
      </c>
      <c r="K111" s="106" t="s">
        <v>19</v>
      </c>
      <c r="L111" s="106" t="s">
        <v>27</v>
      </c>
      <c r="M111" s="106" t="s">
        <v>27</v>
      </c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44">
        <f t="shared" si="0"/>
        <v>6</v>
      </c>
      <c r="AH111" s="44">
        <f t="shared" si="1"/>
        <v>2</v>
      </c>
      <c r="AI111" s="44">
        <f t="shared" si="2"/>
        <v>100</v>
      </c>
      <c r="AJ111" s="4"/>
    </row>
    <row r="112" spans="1:36" ht="13.2">
      <c r="A112" s="41" t="s">
        <v>602</v>
      </c>
      <c r="B112" s="113" t="s">
        <v>603</v>
      </c>
      <c r="C112" s="58">
        <v>18</v>
      </c>
      <c r="D112" s="58" t="s">
        <v>35</v>
      </c>
      <c r="E112" s="58">
        <v>917151544</v>
      </c>
      <c r="F112" s="42" t="s">
        <v>27</v>
      </c>
      <c r="G112" s="42" t="s">
        <v>27</v>
      </c>
      <c r="H112" s="42" t="s">
        <v>27</v>
      </c>
      <c r="I112" s="42" t="s">
        <v>19</v>
      </c>
      <c r="J112" s="42" t="s">
        <v>19</v>
      </c>
      <c r="K112" s="106" t="s">
        <v>19</v>
      </c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44">
        <f t="shared" si="0"/>
        <v>3</v>
      </c>
      <c r="AH112" s="44">
        <f t="shared" si="1"/>
        <v>3</v>
      </c>
      <c r="AI112" s="44">
        <f t="shared" si="2"/>
        <v>50</v>
      </c>
      <c r="AJ112" s="4"/>
    </row>
    <row r="113" spans="1:36" ht="13.2">
      <c r="A113" s="41" t="s">
        <v>606</v>
      </c>
      <c r="B113" s="144" t="s">
        <v>609</v>
      </c>
      <c r="C113" s="117"/>
      <c r="D113" s="58" t="s">
        <v>35</v>
      </c>
      <c r="E113" s="58">
        <v>913817719</v>
      </c>
      <c r="F113" s="42" t="s">
        <v>19</v>
      </c>
      <c r="G113" s="42" t="s">
        <v>19</v>
      </c>
      <c r="H113" s="42" t="s">
        <v>27</v>
      </c>
      <c r="I113" s="42" t="s">
        <v>19</v>
      </c>
      <c r="J113" s="42" t="s">
        <v>19</v>
      </c>
      <c r="K113" s="106" t="s">
        <v>19</v>
      </c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44">
        <f t="shared" si="0"/>
        <v>1</v>
      </c>
      <c r="AH113" s="44">
        <f t="shared" si="1"/>
        <v>5</v>
      </c>
      <c r="AI113" s="44">
        <f t="shared" si="2"/>
        <v>16.666666666666664</v>
      </c>
      <c r="AJ113" s="4"/>
    </row>
    <row r="114" spans="1:36" ht="13.2">
      <c r="A114" s="41" t="s">
        <v>612</v>
      </c>
      <c r="B114" s="145" t="s">
        <v>615</v>
      </c>
      <c r="C114" s="121">
        <v>30</v>
      </c>
      <c r="D114" s="121" t="s">
        <v>26</v>
      </c>
      <c r="E114" s="121">
        <v>921728498</v>
      </c>
      <c r="F114" s="42" t="s">
        <v>19</v>
      </c>
      <c r="G114" s="42" t="s">
        <v>27</v>
      </c>
      <c r="H114" s="42" t="s">
        <v>19</v>
      </c>
      <c r="I114" s="42" t="s">
        <v>27</v>
      </c>
      <c r="J114" s="42" t="s">
        <v>19</v>
      </c>
      <c r="K114" s="106" t="s">
        <v>27</v>
      </c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44">
        <f t="shared" si="0"/>
        <v>3</v>
      </c>
      <c r="AH114" s="44">
        <f t="shared" si="1"/>
        <v>3</v>
      </c>
      <c r="AI114" s="44">
        <f t="shared" si="2"/>
        <v>50</v>
      </c>
      <c r="AJ114" s="4"/>
    </row>
    <row r="115" spans="1:36" ht="13.2">
      <c r="A115" s="41" t="s">
        <v>618</v>
      </c>
      <c r="B115" s="108" t="s">
        <v>619</v>
      </c>
      <c r="C115" s="112">
        <v>21</v>
      </c>
      <c r="D115" s="114"/>
      <c r="E115" s="112">
        <v>970512017</v>
      </c>
      <c r="F115" s="75"/>
      <c r="G115" s="42" t="s">
        <v>19</v>
      </c>
      <c r="H115" s="42" t="s">
        <v>27</v>
      </c>
      <c r="I115" s="42" t="s">
        <v>27</v>
      </c>
      <c r="J115" s="42" t="s">
        <v>19</v>
      </c>
      <c r="K115" s="106" t="s">
        <v>19</v>
      </c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44">
        <f t="shared" si="0"/>
        <v>2</v>
      </c>
      <c r="AH115" s="44">
        <f t="shared" si="1"/>
        <v>3</v>
      </c>
      <c r="AI115" s="44">
        <f t="shared" si="2"/>
        <v>33.333333333333329</v>
      </c>
    </row>
    <row r="116" spans="1:36" ht="13.2">
      <c r="A116" s="41" t="s">
        <v>624</v>
      </c>
      <c r="B116" s="108" t="s">
        <v>625</v>
      </c>
      <c r="C116" s="112">
        <v>32</v>
      </c>
      <c r="D116" s="114"/>
      <c r="E116" s="112">
        <v>902432420</v>
      </c>
      <c r="F116" s="129" t="s">
        <v>19</v>
      </c>
      <c r="G116" s="42" t="s">
        <v>19</v>
      </c>
      <c r="H116" s="42" t="s">
        <v>27</v>
      </c>
      <c r="I116" s="42" t="s">
        <v>27</v>
      </c>
      <c r="J116" s="42" t="s">
        <v>27</v>
      </c>
      <c r="K116" s="106" t="s">
        <v>27</v>
      </c>
      <c r="L116" s="107"/>
      <c r="M116" s="107"/>
      <c r="N116" s="106" t="s">
        <v>27</v>
      </c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6" t="s">
        <v>27</v>
      </c>
      <c r="AA116" s="107"/>
      <c r="AB116" s="107"/>
      <c r="AC116" s="107"/>
      <c r="AD116" s="107"/>
      <c r="AE116" s="107"/>
      <c r="AF116" s="107"/>
      <c r="AG116" s="44">
        <f t="shared" si="0"/>
        <v>6</v>
      </c>
      <c r="AH116" s="44">
        <f t="shared" si="1"/>
        <v>2</v>
      </c>
      <c r="AI116" s="44">
        <f t="shared" si="2"/>
        <v>100</v>
      </c>
    </row>
    <row r="117" spans="1:36" ht="13.2">
      <c r="A117" s="41" t="s">
        <v>628</v>
      </c>
      <c r="B117" s="108" t="s">
        <v>631</v>
      </c>
      <c r="C117" s="112">
        <v>16</v>
      </c>
      <c r="D117" s="114"/>
      <c r="E117" s="112">
        <v>913871318</v>
      </c>
      <c r="F117" s="75"/>
      <c r="G117" s="44"/>
      <c r="H117" s="44"/>
      <c r="I117" s="42" t="s">
        <v>27</v>
      </c>
      <c r="J117" s="42" t="s">
        <v>27</v>
      </c>
      <c r="K117" s="106" t="s">
        <v>112</v>
      </c>
      <c r="L117" s="106" t="s">
        <v>27</v>
      </c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6" t="s">
        <v>27</v>
      </c>
      <c r="AD117" s="107"/>
      <c r="AE117" s="107"/>
      <c r="AF117" s="107"/>
      <c r="AG117" s="44">
        <f t="shared" si="0"/>
        <v>4</v>
      </c>
      <c r="AH117" s="44">
        <f t="shared" si="1"/>
        <v>0</v>
      </c>
      <c r="AI117" s="44">
        <f t="shared" si="2"/>
        <v>66.666666666666657</v>
      </c>
    </row>
    <row r="118" spans="1:36" ht="13.2">
      <c r="A118" s="41" t="s">
        <v>636</v>
      </c>
      <c r="B118" s="125" t="s">
        <v>637</v>
      </c>
      <c r="C118" s="126">
        <v>22</v>
      </c>
      <c r="D118" s="118"/>
      <c r="E118" s="126">
        <v>965927649</v>
      </c>
      <c r="F118" s="75"/>
      <c r="G118" s="44"/>
      <c r="H118" s="44"/>
      <c r="I118" s="44"/>
      <c r="J118" s="44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44">
        <f t="shared" si="0"/>
        <v>0</v>
      </c>
      <c r="AH118" s="44">
        <f t="shared" si="1"/>
        <v>0</v>
      </c>
      <c r="AI118" s="44">
        <f t="shared" si="2"/>
        <v>0</v>
      </c>
    </row>
    <row r="119" spans="1:36" ht="13.2">
      <c r="A119" s="41" t="s">
        <v>642</v>
      </c>
      <c r="B119" s="113" t="s">
        <v>643</v>
      </c>
      <c r="C119" s="58">
        <v>27</v>
      </c>
      <c r="D119" s="117"/>
      <c r="E119" s="58">
        <v>984628476</v>
      </c>
      <c r="F119" s="129" t="s">
        <v>19</v>
      </c>
      <c r="G119" s="129" t="s">
        <v>19</v>
      </c>
      <c r="H119" s="129" t="s">
        <v>27</v>
      </c>
      <c r="I119" s="129" t="s">
        <v>19</v>
      </c>
      <c r="J119" s="129" t="s">
        <v>19</v>
      </c>
      <c r="K119" s="129" t="s">
        <v>19</v>
      </c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129" t="s">
        <v>27</v>
      </c>
      <c r="Y119" s="129" t="s">
        <v>27</v>
      </c>
      <c r="Z119" s="129" t="s">
        <v>27</v>
      </c>
      <c r="AA119" s="75"/>
      <c r="AB119" s="75"/>
      <c r="AC119" s="75"/>
      <c r="AD119" s="75"/>
      <c r="AE119" s="75"/>
      <c r="AF119" s="75"/>
      <c r="AG119" s="44">
        <f t="shared" si="0"/>
        <v>4</v>
      </c>
      <c r="AH119" s="44">
        <f t="shared" si="1"/>
        <v>5</v>
      </c>
      <c r="AI119" s="44">
        <f t="shared" si="2"/>
        <v>66.666666666666657</v>
      </c>
    </row>
    <row r="120" spans="1:36" ht="13.2">
      <c r="A120" s="41" t="s">
        <v>648</v>
      </c>
      <c r="B120" s="113" t="s">
        <v>649</v>
      </c>
      <c r="C120" s="58">
        <v>17</v>
      </c>
      <c r="D120" s="117"/>
      <c r="E120" s="58">
        <v>983356607</v>
      </c>
      <c r="F120" s="75"/>
      <c r="G120" s="75"/>
      <c r="H120" s="75"/>
      <c r="I120" s="75"/>
      <c r="J120" s="129" t="s">
        <v>27</v>
      </c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129" t="s">
        <v>27</v>
      </c>
      <c r="AA120" s="75"/>
      <c r="AB120" s="75"/>
      <c r="AC120" s="75"/>
      <c r="AD120" s="75"/>
      <c r="AE120" s="75"/>
      <c r="AF120" s="75"/>
      <c r="AG120" s="44">
        <f t="shared" si="0"/>
        <v>2</v>
      </c>
      <c r="AH120" s="44">
        <f t="shared" si="1"/>
        <v>0</v>
      </c>
      <c r="AI120" s="44">
        <f t="shared" si="2"/>
        <v>33.333333333333329</v>
      </c>
    </row>
    <row r="121" spans="1:36" ht="13.2">
      <c r="A121" s="41" t="s">
        <v>652</v>
      </c>
      <c r="B121" s="139" t="s">
        <v>653</v>
      </c>
      <c r="C121" s="140">
        <v>18</v>
      </c>
      <c r="D121" s="141"/>
      <c r="E121" s="140">
        <v>921973565</v>
      </c>
      <c r="F121" s="129" t="s">
        <v>19</v>
      </c>
      <c r="G121" s="129" t="s">
        <v>19</v>
      </c>
      <c r="H121" s="129" t="s">
        <v>19</v>
      </c>
      <c r="I121" s="129" t="s">
        <v>19</v>
      </c>
      <c r="J121" s="129" t="s">
        <v>27</v>
      </c>
      <c r="K121" s="129" t="s">
        <v>19</v>
      </c>
      <c r="L121" s="75"/>
      <c r="M121" s="75"/>
      <c r="N121" s="75"/>
      <c r="O121" s="75"/>
      <c r="P121" s="75"/>
      <c r="Q121" s="75"/>
      <c r="R121" s="129" t="s">
        <v>27</v>
      </c>
      <c r="S121" s="75"/>
      <c r="T121" s="75"/>
      <c r="U121" s="75"/>
      <c r="V121" s="75"/>
      <c r="W121" s="75"/>
      <c r="X121" s="75"/>
      <c r="Y121" s="129" t="s">
        <v>27</v>
      </c>
      <c r="Z121" s="129" t="s">
        <v>27</v>
      </c>
      <c r="AA121" s="75"/>
      <c r="AB121" s="75"/>
      <c r="AC121" s="75"/>
      <c r="AD121" s="75"/>
      <c r="AE121" s="75"/>
      <c r="AF121" s="75"/>
      <c r="AG121" s="44">
        <f t="shared" si="0"/>
        <v>4</v>
      </c>
      <c r="AH121" s="44">
        <f t="shared" si="1"/>
        <v>5</v>
      </c>
      <c r="AI121" s="44">
        <f t="shared" si="2"/>
        <v>66.666666666666657</v>
      </c>
    </row>
    <row r="122" spans="1:36" ht="13.2">
      <c r="A122" s="41" t="s">
        <v>657</v>
      </c>
      <c r="B122" s="148" t="s">
        <v>658</v>
      </c>
      <c r="C122" s="149">
        <v>18</v>
      </c>
      <c r="D122" s="10"/>
      <c r="E122" s="140"/>
      <c r="F122" s="42" t="s">
        <v>27</v>
      </c>
      <c r="G122" s="42"/>
      <c r="H122" s="42" t="s">
        <v>27</v>
      </c>
      <c r="I122" s="42" t="s">
        <v>27</v>
      </c>
      <c r="J122" s="42"/>
      <c r="K122" s="42"/>
      <c r="L122" s="44"/>
      <c r="M122" s="42" t="s">
        <v>27</v>
      </c>
      <c r="N122" s="42" t="s">
        <v>27</v>
      </c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2" t="s">
        <v>27</v>
      </c>
      <c r="AD122" s="44"/>
      <c r="AE122" s="44"/>
      <c r="AF122" s="44"/>
      <c r="AG122" s="44"/>
      <c r="AH122" s="44"/>
      <c r="AI122" s="44"/>
      <c r="AJ122" s="4"/>
    </row>
    <row r="123" spans="1:36" ht="13.2">
      <c r="A123" s="41" t="s">
        <v>659</v>
      </c>
      <c r="B123" s="139" t="s">
        <v>660</v>
      </c>
      <c r="C123" s="141"/>
      <c r="D123" s="141"/>
      <c r="E123" s="140">
        <v>913476458</v>
      </c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"/>
      <c r="AI123" s="4"/>
      <c r="AJ123" s="4"/>
    </row>
    <row r="124" spans="1:36" ht="13.2">
      <c r="A124" s="41" t="s">
        <v>661</v>
      </c>
      <c r="B124" s="139" t="s">
        <v>662</v>
      </c>
      <c r="C124" s="141"/>
      <c r="D124" s="141"/>
      <c r="E124" s="141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"/>
      <c r="AI124" s="4"/>
      <c r="AJ124" s="4"/>
    </row>
    <row r="125" spans="1:36" ht="13.2">
      <c r="A125" s="41" t="s">
        <v>663</v>
      </c>
      <c r="B125" s="139" t="s">
        <v>664</v>
      </c>
      <c r="C125" s="141"/>
      <c r="D125" s="141"/>
      <c r="E125" s="141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"/>
      <c r="AI125" s="4"/>
      <c r="AJ125" s="4"/>
    </row>
    <row r="126" spans="1:36" ht="13.2">
      <c r="A126" s="41" t="s">
        <v>665</v>
      </c>
      <c r="B126" s="139" t="s">
        <v>666</v>
      </c>
      <c r="C126" s="141"/>
      <c r="D126" s="141"/>
      <c r="E126" s="140">
        <v>973445573</v>
      </c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"/>
      <c r="AI126" s="4"/>
      <c r="AJ126" s="4"/>
    </row>
    <row r="127" spans="1:36" ht="13.2">
      <c r="A127" s="41" t="s">
        <v>667</v>
      </c>
      <c r="B127" s="139" t="s">
        <v>668</v>
      </c>
      <c r="C127" s="141"/>
      <c r="D127" s="141"/>
      <c r="E127" s="140">
        <v>964175205</v>
      </c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"/>
      <c r="AI127" s="4"/>
      <c r="AJ127" s="4"/>
    </row>
    <row r="128" spans="1:36" ht="13.2">
      <c r="A128" s="41" t="s">
        <v>669</v>
      </c>
      <c r="B128" s="139" t="s">
        <v>670</v>
      </c>
      <c r="C128" s="140">
        <v>21</v>
      </c>
      <c r="D128" s="140" t="s">
        <v>26</v>
      </c>
      <c r="E128" s="141"/>
      <c r="F128" s="4"/>
      <c r="G128" s="4"/>
      <c r="H128" s="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2" t="s">
        <v>27</v>
      </c>
      <c r="AF128" s="44"/>
      <c r="AG128" s="4"/>
      <c r="AH128" s="4"/>
      <c r="AI128" s="4"/>
      <c r="AJ128" s="4"/>
    </row>
    <row r="129" spans="3:5" ht="13.2">
      <c r="C129" s="10"/>
      <c r="D129" s="10"/>
      <c r="E129" s="10"/>
    </row>
    <row r="130" spans="3:5" ht="13.2">
      <c r="C130" s="10"/>
      <c r="D130" s="10"/>
      <c r="E130" s="10"/>
    </row>
    <row r="131" spans="3:5" ht="13.2">
      <c r="C131" s="10"/>
      <c r="D131" s="10"/>
      <c r="E131" s="10"/>
    </row>
    <row r="132" spans="3:5" ht="13.2">
      <c r="C132" s="10"/>
      <c r="D132" s="10"/>
      <c r="E132" s="10"/>
    </row>
    <row r="133" spans="3:5" ht="13.2">
      <c r="C133" s="10"/>
      <c r="D133" s="10"/>
      <c r="E133" s="10"/>
    </row>
    <row r="134" spans="3:5" ht="13.2">
      <c r="C134" s="10"/>
      <c r="D134" s="10"/>
      <c r="E134" s="10"/>
    </row>
    <row r="135" spans="3:5" ht="13.2">
      <c r="C135" s="10"/>
      <c r="D135" s="10"/>
      <c r="E135" s="10"/>
    </row>
    <row r="136" spans="3:5" ht="13.2">
      <c r="C136" s="10"/>
      <c r="D136" s="10"/>
      <c r="E136" s="10"/>
    </row>
    <row r="137" spans="3:5" ht="13.2">
      <c r="C137" s="10"/>
      <c r="D137" s="10"/>
      <c r="E137" s="10"/>
    </row>
    <row r="138" spans="3:5" ht="13.2">
      <c r="C138" s="10"/>
      <c r="D138" s="10"/>
      <c r="E138" s="10"/>
    </row>
    <row r="139" spans="3:5" ht="13.2">
      <c r="C139" s="10"/>
      <c r="D139" s="10"/>
      <c r="E139" s="10"/>
    </row>
    <row r="140" spans="3:5" ht="13.2">
      <c r="C140" s="10"/>
      <c r="D140" s="10"/>
      <c r="E140" s="10"/>
    </row>
    <row r="141" spans="3:5" ht="13.2">
      <c r="C141" s="10"/>
      <c r="D141" s="10"/>
      <c r="E141" s="10"/>
    </row>
    <row r="142" spans="3:5" ht="13.2">
      <c r="C142" s="10"/>
      <c r="D142" s="10"/>
      <c r="E142" s="10"/>
    </row>
    <row r="143" spans="3:5" ht="13.2">
      <c r="C143" s="10"/>
      <c r="D143" s="10"/>
      <c r="E143" s="10"/>
    </row>
    <row r="144" spans="3:5" ht="13.2">
      <c r="C144" s="10"/>
      <c r="D144" s="10"/>
      <c r="E144" s="10"/>
    </row>
    <row r="145" spans="3:5" ht="13.2">
      <c r="C145" s="10"/>
      <c r="D145" s="10"/>
      <c r="E145" s="10"/>
    </row>
    <row r="146" spans="3:5" ht="13.2">
      <c r="C146" s="10"/>
      <c r="D146" s="10"/>
      <c r="E146" s="10"/>
    </row>
    <row r="147" spans="3:5" ht="13.2">
      <c r="C147" s="10"/>
      <c r="D147" s="10"/>
      <c r="E147" s="10"/>
    </row>
    <row r="148" spans="3:5" ht="13.2">
      <c r="C148" s="10"/>
      <c r="D148" s="10"/>
      <c r="E148" s="10"/>
    </row>
    <row r="149" spans="3:5" ht="13.2">
      <c r="C149" s="10"/>
      <c r="D149" s="10"/>
      <c r="E149" s="10"/>
    </row>
    <row r="150" spans="3:5" ht="13.2">
      <c r="C150" s="10"/>
      <c r="D150" s="10"/>
      <c r="E150" s="10"/>
    </row>
    <row r="151" spans="3:5" ht="13.2">
      <c r="C151" s="10"/>
      <c r="D151" s="10"/>
      <c r="E151" s="10"/>
    </row>
    <row r="152" spans="3:5" ht="13.2">
      <c r="C152" s="10"/>
      <c r="D152" s="10"/>
      <c r="E152" s="10"/>
    </row>
    <row r="153" spans="3:5" ht="13.2">
      <c r="C153" s="10"/>
      <c r="D153" s="10"/>
      <c r="E153" s="10"/>
    </row>
    <row r="154" spans="3:5" ht="13.2">
      <c r="C154" s="10"/>
      <c r="D154" s="10"/>
      <c r="E154" s="10"/>
    </row>
    <row r="155" spans="3:5" ht="13.2">
      <c r="C155" s="10"/>
      <c r="D155" s="10"/>
      <c r="E155" s="10"/>
    </row>
    <row r="156" spans="3:5" ht="13.2">
      <c r="C156" s="10"/>
      <c r="D156" s="10"/>
      <c r="E156" s="10"/>
    </row>
    <row r="157" spans="3:5" ht="13.2">
      <c r="C157" s="10"/>
      <c r="D157" s="10"/>
      <c r="E157" s="10"/>
    </row>
    <row r="158" spans="3:5" ht="13.2">
      <c r="C158" s="10"/>
      <c r="D158" s="10"/>
      <c r="E158" s="10"/>
    </row>
    <row r="159" spans="3:5" ht="13.2">
      <c r="C159" s="10"/>
      <c r="D159" s="10"/>
      <c r="E159" s="10"/>
    </row>
    <row r="160" spans="3:5" ht="13.2">
      <c r="C160" s="10"/>
      <c r="D160" s="10"/>
      <c r="E160" s="10"/>
    </row>
    <row r="161" spans="3:5" ht="13.2">
      <c r="C161" s="10"/>
      <c r="D161" s="10"/>
      <c r="E161" s="10"/>
    </row>
    <row r="162" spans="3:5" ht="13.2">
      <c r="C162" s="10"/>
      <c r="D162" s="10"/>
      <c r="E162" s="10"/>
    </row>
    <row r="163" spans="3:5" ht="13.2">
      <c r="C163" s="10"/>
      <c r="D163" s="10"/>
      <c r="E163" s="10"/>
    </row>
    <row r="164" spans="3:5" ht="13.2">
      <c r="C164" s="10"/>
      <c r="D164" s="10"/>
      <c r="E164" s="10"/>
    </row>
    <row r="165" spans="3:5" ht="13.2">
      <c r="C165" s="10"/>
      <c r="D165" s="10"/>
      <c r="E165" s="10"/>
    </row>
    <row r="166" spans="3:5" ht="13.2">
      <c r="C166" s="10"/>
      <c r="D166" s="10"/>
      <c r="E166" s="10"/>
    </row>
    <row r="167" spans="3:5" ht="13.2">
      <c r="C167" s="10"/>
      <c r="D167" s="10"/>
      <c r="E167" s="10"/>
    </row>
    <row r="168" spans="3:5" ht="13.2">
      <c r="C168" s="10"/>
      <c r="D168" s="10"/>
      <c r="E168" s="10"/>
    </row>
    <row r="169" spans="3:5" ht="13.2">
      <c r="C169" s="10"/>
      <c r="D169" s="10"/>
      <c r="E169" s="10"/>
    </row>
    <row r="170" spans="3:5" ht="13.2">
      <c r="C170" s="10"/>
      <c r="D170" s="10"/>
      <c r="E170" s="10"/>
    </row>
    <row r="171" spans="3:5" ht="13.2">
      <c r="C171" s="10"/>
      <c r="D171" s="10"/>
      <c r="E171" s="10"/>
    </row>
    <row r="172" spans="3:5" ht="13.2">
      <c r="C172" s="10"/>
      <c r="D172" s="10"/>
      <c r="E172" s="10"/>
    </row>
    <row r="173" spans="3:5" ht="13.2">
      <c r="C173" s="10"/>
      <c r="D173" s="10"/>
      <c r="E173" s="10"/>
    </row>
    <row r="174" spans="3:5" ht="13.2">
      <c r="C174" s="10"/>
      <c r="D174" s="10"/>
      <c r="E174" s="10"/>
    </row>
    <row r="175" spans="3:5" ht="13.2">
      <c r="C175" s="10"/>
      <c r="D175" s="10"/>
      <c r="E175" s="10"/>
    </row>
    <row r="176" spans="3:5" ht="13.2">
      <c r="C176" s="10"/>
      <c r="D176" s="10"/>
      <c r="E176" s="10"/>
    </row>
    <row r="177" spans="3:5" ht="13.2">
      <c r="C177" s="10"/>
      <c r="D177" s="10"/>
      <c r="E177" s="10"/>
    </row>
    <row r="178" spans="3:5" ht="13.2">
      <c r="C178" s="10"/>
      <c r="D178" s="10"/>
      <c r="E178" s="10"/>
    </row>
    <row r="179" spans="3:5" ht="13.2">
      <c r="C179" s="10"/>
      <c r="D179" s="10"/>
      <c r="E179" s="10"/>
    </row>
    <row r="180" spans="3:5" ht="13.2">
      <c r="C180" s="10"/>
      <c r="D180" s="10"/>
      <c r="E180" s="10"/>
    </row>
    <row r="181" spans="3:5" ht="13.2">
      <c r="C181" s="10"/>
      <c r="D181" s="10"/>
      <c r="E181" s="10"/>
    </row>
    <row r="182" spans="3:5" ht="13.2">
      <c r="C182" s="10"/>
      <c r="D182" s="10"/>
      <c r="E182" s="10"/>
    </row>
    <row r="183" spans="3:5" ht="13.2">
      <c r="C183" s="10"/>
      <c r="D183" s="10"/>
      <c r="E183" s="10"/>
    </row>
    <row r="184" spans="3:5" ht="13.2">
      <c r="C184" s="10"/>
      <c r="D184" s="10"/>
      <c r="E184" s="10"/>
    </row>
    <row r="185" spans="3:5" ht="13.2">
      <c r="C185" s="10"/>
      <c r="D185" s="10"/>
      <c r="E185" s="10"/>
    </row>
    <row r="186" spans="3:5" ht="13.2">
      <c r="C186" s="10"/>
      <c r="D186" s="10"/>
      <c r="E186" s="10"/>
    </row>
    <row r="187" spans="3:5" ht="13.2">
      <c r="C187" s="10"/>
      <c r="D187" s="10"/>
      <c r="E187" s="10"/>
    </row>
    <row r="188" spans="3:5" ht="13.2">
      <c r="C188" s="10"/>
      <c r="D188" s="10"/>
      <c r="E188" s="10"/>
    </row>
    <row r="189" spans="3:5" ht="13.2">
      <c r="C189" s="10"/>
      <c r="D189" s="10"/>
      <c r="E189" s="10"/>
    </row>
    <row r="190" spans="3:5" ht="13.2">
      <c r="C190" s="10"/>
      <c r="D190" s="10"/>
      <c r="E190" s="10"/>
    </row>
    <row r="191" spans="3:5" ht="13.2">
      <c r="C191" s="10"/>
      <c r="D191" s="10"/>
      <c r="E191" s="10"/>
    </row>
    <row r="192" spans="3:5" ht="13.2">
      <c r="C192" s="10"/>
      <c r="D192" s="10"/>
      <c r="E192" s="10"/>
    </row>
    <row r="193" spans="3:5" ht="13.2">
      <c r="C193" s="10"/>
      <c r="D193" s="10"/>
      <c r="E193" s="10"/>
    </row>
    <row r="194" spans="3:5" ht="13.2">
      <c r="C194" s="10"/>
      <c r="D194" s="10"/>
      <c r="E194" s="10"/>
    </row>
    <row r="195" spans="3:5" ht="13.2">
      <c r="C195" s="10"/>
      <c r="D195" s="10"/>
      <c r="E195" s="10"/>
    </row>
    <row r="196" spans="3:5" ht="13.2">
      <c r="C196" s="10"/>
      <c r="D196" s="10"/>
      <c r="E196" s="10"/>
    </row>
    <row r="197" spans="3:5" ht="13.2">
      <c r="C197" s="10"/>
      <c r="D197" s="10"/>
      <c r="E197" s="10"/>
    </row>
    <row r="198" spans="3:5" ht="13.2">
      <c r="C198" s="10"/>
      <c r="D198" s="10"/>
      <c r="E198" s="10"/>
    </row>
    <row r="199" spans="3:5" ht="13.2">
      <c r="C199" s="10"/>
      <c r="D199" s="10"/>
      <c r="E199" s="10"/>
    </row>
    <row r="200" spans="3:5" ht="13.2">
      <c r="C200" s="10"/>
      <c r="D200" s="10"/>
      <c r="E200" s="10"/>
    </row>
    <row r="201" spans="3:5" ht="13.2">
      <c r="C201" s="10"/>
      <c r="D201" s="10"/>
      <c r="E201" s="10"/>
    </row>
    <row r="202" spans="3:5" ht="13.2">
      <c r="C202" s="10"/>
      <c r="D202" s="10"/>
      <c r="E202" s="10"/>
    </row>
    <row r="203" spans="3:5" ht="13.2">
      <c r="C203" s="10"/>
      <c r="D203" s="10"/>
      <c r="E203" s="10"/>
    </row>
    <row r="204" spans="3:5" ht="13.2">
      <c r="C204" s="10"/>
      <c r="D204" s="10"/>
      <c r="E204" s="10"/>
    </row>
    <row r="205" spans="3:5" ht="13.2">
      <c r="C205" s="10"/>
      <c r="D205" s="10"/>
      <c r="E205" s="10"/>
    </row>
    <row r="206" spans="3:5" ht="13.2">
      <c r="C206" s="10"/>
      <c r="D206" s="10"/>
      <c r="E206" s="10"/>
    </row>
    <row r="207" spans="3:5" ht="13.2">
      <c r="C207" s="10"/>
      <c r="D207" s="10"/>
      <c r="E207" s="10"/>
    </row>
    <row r="208" spans="3:5" ht="13.2">
      <c r="C208" s="10"/>
      <c r="D208" s="10"/>
      <c r="E208" s="10"/>
    </row>
    <row r="209" spans="3:5" ht="13.2">
      <c r="C209" s="10"/>
      <c r="D209" s="10"/>
      <c r="E209" s="10"/>
    </row>
    <row r="210" spans="3:5" ht="13.2">
      <c r="C210" s="10"/>
      <c r="D210" s="10"/>
      <c r="E210" s="10"/>
    </row>
    <row r="211" spans="3:5" ht="13.2">
      <c r="C211" s="10"/>
      <c r="D211" s="10"/>
      <c r="E211" s="10"/>
    </row>
    <row r="212" spans="3:5" ht="13.2">
      <c r="C212" s="10"/>
      <c r="D212" s="10"/>
      <c r="E212" s="10"/>
    </row>
    <row r="213" spans="3:5" ht="13.2">
      <c r="C213" s="10"/>
      <c r="D213" s="10"/>
      <c r="E213" s="10"/>
    </row>
    <row r="214" spans="3:5" ht="13.2">
      <c r="C214" s="10"/>
      <c r="D214" s="10"/>
      <c r="E214" s="10"/>
    </row>
    <row r="215" spans="3:5" ht="13.2">
      <c r="C215" s="10"/>
      <c r="D215" s="10"/>
      <c r="E215" s="10"/>
    </row>
    <row r="216" spans="3:5" ht="13.2">
      <c r="C216" s="10"/>
      <c r="D216" s="10"/>
      <c r="E216" s="10"/>
    </row>
    <row r="217" spans="3:5" ht="13.2">
      <c r="C217" s="10"/>
      <c r="D217" s="10"/>
      <c r="E217" s="10"/>
    </row>
    <row r="218" spans="3:5" ht="13.2">
      <c r="C218" s="10"/>
      <c r="D218" s="10"/>
      <c r="E218" s="10"/>
    </row>
    <row r="219" spans="3:5" ht="13.2">
      <c r="C219" s="10"/>
      <c r="D219" s="10"/>
      <c r="E219" s="10"/>
    </row>
    <row r="220" spans="3:5" ht="13.2">
      <c r="C220" s="10"/>
      <c r="D220" s="10"/>
      <c r="E220" s="10"/>
    </row>
    <row r="221" spans="3:5" ht="13.2">
      <c r="C221" s="10"/>
      <c r="D221" s="10"/>
      <c r="E221" s="10"/>
    </row>
    <row r="222" spans="3:5" ht="13.2">
      <c r="C222" s="10"/>
      <c r="D222" s="10"/>
      <c r="E222" s="10"/>
    </row>
    <row r="223" spans="3:5" ht="13.2">
      <c r="C223" s="10"/>
      <c r="D223" s="10"/>
      <c r="E223" s="10"/>
    </row>
    <row r="224" spans="3:5" ht="13.2">
      <c r="C224" s="10"/>
      <c r="D224" s="10"/>
      <c r="E224" s="10"/>
    </row>
    <row r="225" spans="3:5" ht="13.2">
      <c r="C225" s="10"/>
      <c r="D225" s="10"/>
      <c r="E225" s="10"/>
    </row>
    <row r="226" spans="3:5" ht="13.2">
      <c r="C226" s="10"/>
      <c r="D226" s="10"/>
      <c r="E226" s="10"/>
    </row>
    <row r="227" spans="3:5" ht="13.2">
      <c r="C227" s="10"/>
      <c r="D227" s="10"/>
      <c r="E227" s="10"/>
    </row>
    <row r="228" spans="3:5" ht="13.2">
      <c r="C228" s="10"/>
      <c r="D228" s="10"/>
      <c r="E228" s="10"/>
    </row>
    <row r="229" spans="3:5" ht="13.2">
      <c r="C229" s="10"/>
      <c r="D229" s="10"/>
      <c r="E229" s="10"/>
    </row>
    <row r="230" spans="3:5" ht="13.2">
      <c r="C230" s="10"/>
      <c r="D230" s="10"/>
      <c r="E230" s="10"/>
    </row>
    <row r="231" spans="3:5" ht="13.2">
      <c r="C231" s="10"/>
      <c r="D231" s="10"/>
      <c r="E231" s="10"/>
    </row>
    <row r="232" spans="3:5" ht="13.2">
      <c r="C232" s="10"/>
      <c r="D232" s="10"/>
      <c r="E232" s="10"/>
    </row>
    <row r="233" spans="3:5" ht="13.2">
      <c r="C233" s="10"/>
      <c r="D233" s="10"/>
      <c r="E233" s="10"/>
    </row>
    <row r="234" spans="3:5" ht="13.2">
      <c r="C234" s="10"/>
      <c r="D234" s="10"/>
      <c r="E234" s="10"/>
    </row>
    <row r="235" spans="3:5" ht="13.2">
      <c r="C235" s="10"/>
      <c r="D235" s="10"/>
      <c r="E235" s="10"/>
    </row>
    <row r="236" spans="3:5" ht="13.2">
      <c r="C236" s="10"/>
      <c r="D236" s="10"/>
      <c r="E236" s="10"/>
    </row>
    <row r="237" spans="3:5" ht="13.2">
      <c r="C237" s="10"/>
      <c r="D237" s="10"/>
      <c r="E237" s="10"/>
    </row>
    <row r="238" spans="3:5" ht="13.2">
      <c r="C238" s="10"/>
      <c r="D238" s="10"/>
      <c r="E238" s="10"/>
    </row>
    <row r="239" spans="3:5" ht="13.2">
      <c r="C239" s="10"/>
      <c r="D239" s="10"/>
      <c r="E239" s="10"/>
    </row>
    <row r="240" spans="3:5" ht="13.2">
      <c r="C240" s="10"/>
      <c r="D240" s="10"/>
      <c r="E240" s="10"/>
    </row>
    <row r="241" spans="3:5" ht="13.2">
      <c r="C241" s="10"/>
      <c r="D241" s="10"/>
      <c r="E241" s="10"/>
    </row>
    <row r="242" spans="3:5" ht="13.2">
      <c r="C242" s="10"/>
      <c r="D242" s="10"/>
      <c r="E242" s="10"/>
    </row>
    <row r="243" spans="3:5" ht="13.2">
      <c r="C243" s="10"/>
      <c r="D243" s="10"/>
      <c r="E243" s="10"/>
    </row>
    <row r="244" spans="3:5" ht="13.2">
      <c r="C244" s="10"/>
      <c r="D244" s="10"/>
      <c r="E244" s="10"/>
    </row>
    <row r="245" spans="3:5" ht="13.2">
      <c r="C245" s="10"/>
      <c r="D245" s="10"/>
      <c r="E245" s="10"/>
    </row>
    <row r="246" spans="3:5" ht="13.2">
      <c r="C246" s="10"/>
      <c r="D246" s="10"/>
      <c r="E246" s="10"/>
    </row>
    <row r="247" spans="3:5" ht="13.2">
      <c r="C247" s="10"/>
      <c r="D247" s="10"/>
      <c r="E247" s="10"/>
    </row>
    <row r="248" spans="3:5" ht="13.2">
      <c r="C248" s="10"/>
      <c r="D248" s="10"/>
      <c r="E248" s="10"/>
    </row>
    <row r="249" spans="3:5" ht="13.2">
      <c r="C249" s="10"/>
      <c r="D249" s="10"/>
      <c r="E249" s="10"/>
    </row>
    <row r="250" spans="3:5" ht="13.2">
      <c r="C250" s="10"/>
      <c r="D250" s="10"/>
      <c r="E250" s="10"/>
    </row>
    <row r="251" spans="3:5" ht="13.2">
      <c r="C251" s="10"/>
      <c r="D251" s="10"/>
      <c r="E251" s="10"/>
    </row>
    <row r="252" spans="3:5" ht="13.2">
      <c r="C252" s="10"/>
      <c r="D252" s="10"/>
      <c r="E252" s="10"/>
    </row>
    <row r="253" spans="3:5" ht="13.2">
      <c r="C253" s="10"/>
      <c r="D253" s="10"/>
      <c r="E253" s="10"/>
    </row>
    <row r="254" spans="3:5" ht="13.2">
      <c r="C254" s="10"/>
      <c r="D254" s="10"/>
      <c r="E254" s="10"/>
    </row>
    <row r="255" spans="3:5" ht="13.2">
      <c r="C255" s="10"/>
      <c r="D255" s="10"/>
      <c r="E255" s="10"/>
    </row>
    <row r="256" spans="3:5" ht="13.2">
      <c r="C256" s="10"/>
      <c r="D256" s="10"/>
      <c r="E256" s="10"/>
    </row>
    <row r="257" spans="3:5" ht="13.2">
      <c r="C257" s="10"/>
      <c r="D257" s="10"/>
      <c r="E257" s="10"/>
    </row>
    <row r="258" spans="3:5" ht="13.2">
      <c r="C258" s="10"/>
      <c r="D258" s="10"/>
      <c r="E258" s="10"/>
    </row>
    <row r="259" spans="3:5" ht="13.2">
      <c r="C259" s="10"/>
      <c r="D259" s="10"/>
      <c r="E259" s="10"/>
    </row>
    <row r="260" spans="3:5" ht="13.2">
      <c r="C260" s="10"/>
      <c r="D260" s="10"/>
      <c r="E260" s="10"/>
    </row>
    <row r="261" spans="3:5" ht="13.2">
      <c r="C261" s="10"/>
      <c r="D261" s="10"/>
      <c r="E261" s="10"/>
    </row>
    <row r="262" spans="3:5" ht="13.2">
      <c r="C262" s="10"/>
      <c r="D262" s="10"/>
      <c r="E262" s="10"/>
    </row>
    <row r="263" spans="3:5" ht="13.2">
      <c r="C263" s="10"/>
      <c r="D263" s="10"/>
      <c r="E263" s="10"/>
    </row>
    <row r="264" spans="3:5" ht="13.2">
      <c r="C264" s="10"/>
      <c r="D264" s="10"/>
      <c r="E264" s="10"/>
    </row>
    <row r="265" spans="3:5" ht="13.2">
      <c r="C265" s="10"/>
      <c r="D265" s="10"/>
      <c r="E265" s="10"/>
    </row>
    <row r="266" spans="3:5" ht="13.2">
      <c r="C266" s="10"/>
      <c r="D266" s="10"/>
      <c r="E266" s="10"/>
    </row>
    <row r="267" spans="3:5" ht="13.2">
      <c r="C267" s="10"/>
      <c r="D267" s="10"/>
      <c r="E267" s="10"/>
    </row>
    <row r="268" spans="3:5" ht="13.2">
      <c r="C268" s="10"/>
      <c r="D268" s="10"/>
      <c r="E268" s="10"/>
    </row>
    <row r="269" spans="3:5" ht="13.2">
      <c r="C269" s="10"/>
      <c r="D269" s="10"/>
      <c r="E269" s="10"/>
    </row>
    <row r="270" spans="3:5" ht="13.2">
      <c r="C270" s="10"/>
      <c r="D270" s="10"/>
      <c r="E270" s="10"/>
    </row>
    <row r="271" spans="3:5" ht="13.2">
      <c r="C271" s="10"/>
      <c r="D271" s="10"/>
      <c r="E271" s="10"/>
    </row>
    <row r="272" spans="3:5" ht="13.2">
      <c r="C272" s="10"/>
      <c r="D272" s="10"/>
      <c r="E272" s="10"/>
    </row>
    <row r="273" spans="3:5" ht="13.2">
      <c r="C273" s="10"/>
      <c r="D273" s="10"/>
      <c r="E273" s="10"/>
    </row>
    <row r="274" spans="3:5" ht="13.2">
      <c r="C274" s="10"/>
      <c r="D274" s="10"/>
      <c r="E274" s="10"/>
    </row>
    <row r="275" spans="3:5" ht="13.2">
      <c r="C275" s="10"/>
      <c r="D275" s="10"/>
      <c r="E275" s="10"/>
    </row>
    <row r="276" spans="3:5" ht="13.2">
      <c r="C276" s="10"/>
      <c r="D276" s="10"/>
      <c r="E276" s="10"/>
    </row>
    <row r="277" spans="3:5" ht="13.2">
      <c r="C277" s="10"/>
      <c r="D277" s="10"/>
      <c r="E277" s="10"/>
    </row>
    <row r="278" spans="3:5" ht="13.2">
      <c r="C278" s="10"/>
      <c r="D278" s="10"/>
      <c r="E278" s="10"/>
    </row>
    <row r="279" spans="3:5" ht="13.2">
      <c r="C279" s="10"/>
      <c r="D279" s="10"/>
      <c r="E279" s="10"/>
    </row>
    <row r="280" spans="3:5" ht="13.2">
      <c r="C280" s="10"/>
      <c r="D280" s="10"/>
      <c r="E280" s="10"/>
    </row>
    <row r="281" spans="3:5" ht="13.2">
      <c r="C281" s="10"/>
      <c r="D281" s="10"/>
      <c r="E281" s="10"/>
    </row>
    <row r="282" spans="3:5" ht="13.2">
      <c r="C282" s="10"/>
      <c r="D282" s="10"/>
      <c r="E282" s="10"/>
    </row>
    <row r="283" spans="3:5" ht="13.2">
      <c r="C283" s="10"/>
      <c r="D283" s="10"/>
      <c r="E283" s="10"/>
    </row>
    <row r="284" spans="3:5" ht="13.2">
      <c r="C284" s="10"/>
      <c r="D284" s="10"/>
      <c r="E284" s="10"/>
    </row>
    <row r="285" spans="3:5" ht="13.2">
      <c r="C285" s="10"/>
      <c r="D285" s="10"/>
      <c r="E285" s="10"/>
    </row>
    <row r="286" spans="3:5" ht="13.2">
      <c r="C286" s="10"/>
      <c r="D286" s="10"/>
      <c r="E286" s="10"/>
    </row>
    <row r="287" spans="3:5" ht="13.2">
      <c r="C287" s="10"/>
      <c r="D287" s="10"/>
      <c r="E287" s="10"/>
    </row>
    <row r="288" spans="3:5" ht="13.2">
      <c r="C288" s="10"/>
      <c r="D288" s="10"/>
      <c r="E288" s="10"/>
    </row>
    <row r="289" spans="3:5" ht="13.2">
      <c r="C289" s="10"/>
      <c r="D289" s="10"/>
      <c r="E289" s="10"/>
    </row>
    <row r="290" spans="3:5" ht="13.2">
      <c r="C290" s="10"/>
      <c r="D290" s="10"/>
      <c r="E290" s="10"/>
    </row>
    <row r="291" spans="3:5" ht="13.2">
      <c r="C291" s="10"/>
      <c r="D291" s="10"/>
      <c r="E291" s="10"/>
    </row>
    <row r="292" spans="3:5" ht="13.2">
      <c r="C292" s="10"/>
      <c r="D292" s="10"/>
      <c r="E292" s="10"/>
    </row>
    <row r="293" spans="3:5" ht="13.2">
      <c r="C293" s="10"/>
      <c r="D293" s="10"/>
      <c r="E293" s="10"/>
    </row>
    <row r="294" spans="3:5" ht="13.2">
      <c r="C294" s="10"/>
      <c r="D294" s="10"/>
      <c r="E294" s="10"/>
    </row>
    <row r="295" spans="3:5" ht="13.2">
      <c r="C295" s="10"/>
      <c r="D295" s="10"/>
      <c r="E295" s="10"/>
    </row>
    <row r="296" spans="3:5" ht="13.2">
      <c r="C296" s="10"/>
      <c r="D296" s="10"/>
      <c r="E296" s="10"/>
    </row>
    <row r="297" spans="3:5" ht="13.2">
      <c r="C297" s="10"/>
      <c r="D297" s="10"/>
      <c r="E297" s="10"/>
    </row>
    <row r="298" spans="3:5" ht="13.2">
      <c r="C298" s="10"/>
      <c r="D298" s="10"/>
      <c r="E298" s="10"/>
    </row>
    <row r="299" spans="3:5" ht="13.2">
      <c r="C299" s="10"/>
      <c r="D299" s="10"/>
      <c r="E299" s="10"/>
    </row>
    <row r="300" spans="3:5" ht="13.2">
      <c r="C300" s="10"/>
      <c r="D300" s="10"/>
      <c r="E300" s="10"/>
    </row>
    <row r="301" spans="3:5" ht="13.2">
      <c r="C301" s="10"/>
      <c r="D301" s="10"/>
      <c r="E301" s="10"/>
    </row>
    <row r="302" spans="3:5" ht="13.2">
      <c r="C302" s="10"/>
      <c r="D302" s="10"/>
      <c r="E302" s="10"/>
    </row>
    <row r="303" spans="3:5" ht="13.2">
      <c r="C303" s="10"/>
      <c r="D303" s="10"/>
      <c r="E303" s="10"/>
    </row>
    <row r="304" spans="3:5" ht="13.2">
      <c r="C304" s="10"/>
      <c r="D304" s="10"/>
      <c r="E304" s="10"/>
    </row>
    <row r="305" spans="3:5" ht="13.2">
      <c r="C305" s="10"/>
      <c r="D305" s="10"/>
      <c r="E305" s="10"/>
    </row>
    <row r="306" spans="3:5" ht="13.2">
      <c r="C306" s="10"/>
      <c r="D306" s="10"/>
      <c r="E306" s="10"/>
    </row>
    <row r="307" spans="3:5" ht="13.2">
      <c r="C307" s="10"/>
      <c r="D307" s="10"/>
      <c r="E307" s="10"/>
    </row>
    <row r="308" spans="3:5" ht="13.2">
      <c r="C308" s="10"/>
      <c r="D308" s="10"/>
      <c r="E308" s="10"/>
    </row>
    <row r="309" spans="3:5" ht="13.2">
      <c r="C309" s="10"/>
      <c r="D309" s="10"/>
      <c r="E309" s="10"/>
    </row>
    <row r="310" spans="3:5" ht="13.2">
      <c r="C310" s="10"/>
      <c r="D310" s="10"/>
      <c r="E310" s="10"/>
    </row>
    <row r="311" spans="3:5" ht="13.2">
      <c r="C311" s="10"/>
      <c r="D311" s="10"/>
      <c r="E311" s="10"/>
    </row>
    <row r="312" spans="3:5" ht="13.2">
      <c r="C312" s="10"/>
      <c r="D312" s="10"/>
      <c r="E312" s="10"/>
    </row>
    <row r="313" spans="3:5" ht="13.2">
      <c r="C313" s="10"/>
      <c r="D313" s="10"/>
      <c r="E313" s="10"/>
    </row>
    <row r="314" spans="3:5" ht="13.2">
      <c r="C314" s="10"/>
      <c r="D314" s="10"/>
      <c r="E314" s="10"/>
    </row>
    <row r="315" spans="3:5" ht="13.2">
      <c r="C315" s="10"/>
      <c r="D315" s="10"/>
      <c r="E315" s="10"/>
    </row>
    <row r="316" spans="3:5" ht="13.2">
      <c r="C316" s="10"/>
      <c r="D316" s="10"/>
      <c r="E316" s="10"/>
    </row>
    <row r="317" spans="3:5" ht="13.2">
      <c r="C317" s="10"/>
      <c r="D317" s="10"/>
      <c r="E317" s="10"/>
    </row>
    <row r="318" spans="3:5" ht="13.2">
      <c r="C318" s="10"/>
      <c r="D318" s="10"/>
      <c r="E318" s="10"/>
    </row>
    <row r="319" spans="3:5" ht="13.2">
      <c r="C319" s="10"/>
      <c r="D319" s="10"/>
      <c r="E319" s="10"/>
    </row>
    <row r="320" spans="3:5" ht="13.2">
      <c r="C320" s="10"/>
      <c r="D320" s="10"/>
      <c r="E320" s="10"/>
    </row>
    <row r="321" spans="3:5" ht="13.2">
      <c r="C321" s="10"/>
      <c r="D321" s="10"/>
      <c r="E321" s="10"/>
    </row>
    <row r="322" spans="3:5" ht="13.2">
      <c r="C322" s="10"/>
      <c r="D322" s="10"/>
      <c r="E322" s="10"/>
    </row>
    <row r="323" spans="3:5" ht="13.2">
      <c r="C323" s="10"/>
      <c r="D323" s="10"/>
      <c r="E323" s="10"/>
    </row>
    <row r="324" spans="3:5" ht="13.2">
      <c r="C324" s="10"/>
      <c r="D324" s="10"/>
      <c r="E324" s="10"/>
    </row>
    <row r="325" spans="3:5" ht="13.2">
      <c r="C325" s="10"/>
      <c r="D325" s="10"/>
      <c r="E325" s="10"/>
    </row>
    <row r="326" spans="3:5" ht="13.2">
      <c r="C326" s="10"/>
      <c r="D326" s="10"/>
      <c r="E326" s="10"/>
    </row>
    <row r="327" spans="3:5" ht="13.2">
      <c r="C327" s="10"/>
      <c r="D327" s="10"/>
      <c r="E327" s="10"/>
    </row>
    <row r="328" spans="3:5" ht="13.2">
      <c r="C328" s="10"/>
      <c r="D328" s="10"/>
      <c r="E328" s="10"/>
    </row>
    <row r="329" spans="3:5" ht="13.2">
      <c r="C329" s="10"/>
      <c r="D329" s="10"/>
      <c r="E329" s="10"/>
    </row>
    <row r="330" spans="3:5" ht="13.2">
      <c r="C330" s="10"/>
      <c r="D330" s="10"/>
      <c r="E330" s="10"/>
    </row>
    <row r="331" spans="3:5" ht="13.2">
      <c r="C331" s="10"/>
      <c r="D331" s="10"/>
      <c r="E331" s="10"/>
    </row>
    <row r="332" spans="3:5" ht="13.2">
      <c r="C332" s="10"/>
      <c r="D332" s="10"/>
      <c r="E332" s="10"/>
    </row>
    <row r="333" spans="3:5" ht="13.2">
      <c r="C333" s="10"/>
      <c r="D333" s="10"/>
      <c r="E333" s="10"/>
    </row>
    <row r="334" spans="3:5" ht="13.2">
      <c r="C334" s="10"/>
      <c r="D334" s="10"/>
      <c r="E334" s="10"/>
    </row>
    <row r="335" spans="3:5" ht="13.2">
      <c r="C335" s="10"/>
      <c r="D335" s="10"/>
      <c r="E335" s="10"/>
    </row>
    <row r="336" spans="3:5" ht="13.2">
      <c r="C336" s="10"/>
      <c r="D336" s="10"/>
      <c r="E336" s="10"/>
    </row>
    <row r="337" spans="3:5" ht="13.2">
      <c r="C337" s="10"/>
      <c r="D337" s="10"/>
      <c r="E337" s="10"/>
    </row>
    <row r="338" spans="3:5" ht="13.2">
      <c r="C338" s="10"/>
      <c r="D338" s="10"/>
      <c r="E338" s="10"/>
    </row>
    <row r="339" spans="3:5" ht="13.2">
      <c r="C339" s="10"/>
      <c r="D339" s="10"/>
      <c r="E339" s="10"/>
    </row>
    <row r="340" spans="3:5" ht="13.2">
      <c r="C340" s="10"/>
      <c r="D340" s="10"/>
      <c r="E340" s="10"/>
    </row>
    <row r="341" spans="3:5" ht="13.2">
      <c r="C341" s="10"/>
      <c r="D341" s="10"/>
      <c r="E341" s="10"/>
    </row>
    <row r="342" spans="3:5" ht="13.2">
      <c r="C342" s="10"/>
      <c r="D342" s="10"/>
      <c r="E342" s="10"/>
    </row>
    <row r="343" spans="3:5" ht="13.2">
      <c r="C343" s="10"/>
      <c r="D343" s="10"/>
      <c r="E343" s="10"/>
    </row>
    <row r="344" spans="3:5" ht="13.2">
      <c r="C344" s="10"/>
      <c r="D344" s="10"/>
      <c r="E344" s="10"/>
    </row>
    <row r="345" spans="3:5" ht="13.2">
      <c r="C345" s="10"/>
      <c r="D345" s="10"/>
      <c r="E345" s="10"/>
    </row>
    <row r="346" spans="3:5" ht="13.2">
      <c r="C346" s="10"/>
      <c r="D346" s="10"/>
      <c r="E346" s="10"/>
    </row>
    <row r="347" spans="3:5" ht="13.2">
      <c r="C347" s="10"/>
      <c r="D347" s="10"/>
      <c r="E347" s="10"/>
    </row>
    <row r="348" spans="3:5" ht="13.2">
      <c r="C348" s="10"/>
      <c r="D348" s="10"/>
      <c r="E348" s="10"/>
    </row>
    <row r="349" spans="3:5" ht="13.2">
      <c r="C349" s="10"/>
      <c r="D349" s="10"/>
      <c r="E349" s="10"/>
    </row>
    <row r="350" spans="3:5" ht="13.2">
      <c r="C350" s="10"/>
      <c r="D350" s="10"/>
      <c r="E350" s="10"/>
    </row>
    <row r="351" spans="3:5" ht="13.2">
      <c r="C351" s="10"/>
      <c r="D351" s="10"/>
      <c r="E351" s="10"/>
    </row>
    <row r="352" spans="3:5" ht="13.2">
      <c r="C352" s="10"/>
      <c r="D352" s="10"/>
      <c r="E352" s="10"/>
    </row>
    <row r="353" spans="3:5" ht="13.2">
      <c r="C353" s="10"/>
      <c r="D353" s="10"/>
      <c r="E353" s="10"/>
    </row>
    <row r="354" spans="3:5" ht="13.2">
      <c r="C354" s="10"/>
      <c r="D354" s="10"/>
      <c r="E354" s="10"/>
    </row>
    <row r="355" spans="3:5" ht="13.2">
      <c r="C355" s="10"/>
      <c r="D355" s="10"/>
      <c r="E355" s="10"/>
    </row>
    <row r="356" spans="3:5" ht="13.2">
      <c r="C356" s="10"/>
      <c r="D356" s="10"/>
      <c r="E356" s="10"/>
    </row>
    <row r="357" spans="3:5" ht="13.2">
      <c r="C357" s="10"/>
      <c r="D357" s="10"/>
      <c r="E357" s="10"/>
    </row>
    <row r="358" spans="3:5" ht="13.2">
      <c r="C358" s="10"/>
      <c r="D358" s="10"/>
      <c r="E358" s="10"/>
    </row>
    <row r="359" spans="3:5" ht="13.2">
      <c r="C359" s="10"/>
      <c r="D359" s="10"/>
      <c r="E359" s="10"/>
    </row>
    <row r="360" spans="3:5" ht="13.2">
      <c r="C360" s="10"/>
      <c r="D360" s="10"/>
      <c r="E360" s="10"/>
    </row>
    <row r="361" spans="3:5" ht="13.2">
      <c r="C361" s="10"/>
      <c r="D361" s="10"/>
      <c r="E361" s="10"/>
    </row>
    <row r="362" spans="3:5" ht="13.2">
      <c r="C362" s="10"/>
      <c r="D362" s="10"/>
      <c r="E362" s="10"/>
    </row>
    <row r="363" spans="3:5" ht="13.2">
      <c r="C363" s="10"/>
      <c r="D363" s="10"/>
      <c r="E363" s="10"/>
    </row>
    <row r="364" spans="3:5" ht="13.2">
      <c r="C364" s="10"/>
      <c r="D364" s="10"/>
      <c r="E364" s="10"/>
    </row>
    <row r="365" spans="3:5" ht="13.2">
      <c r="C365" s="10"/>
      <c r="D365" s="10"/>
      <c r="E365" s="10"/>
    </row>
    <row r="366" spans="3:5" ht="13.2">
      <c r="C366" s="10"/>
      <c r="D366" s="10"/>
      <c r="E366" s="10"/>
    </row>
    <row r="367" spans="3:5" ht="13.2">
      <c r="C367" s="10"/>
      <c r="D367" s="10"/>
      <c r="E367" s="10"/>
    </row>
    <row r="368" spans="3:5" ht="13.2">
      <c r="C368" s="10"/>
      <c r="D368" s="10"/>
      <c r="E368" s="10"/>
    </row>
    <row r="369" spans="3:5" ht="13.2">
      <c r="C369" s="10"/>
      <c r="D369" s="10"/>
      <c r="E369" s="10"/>
    </row>
    <row r="370" spans="3:5" ht="13.2">
      <c r="C370" s="10"/>
      <c r="D370" s="10"/>
      <c r="E370" s="10"/>
    </row>
    <row r="371" spans="3:5" ht="13.2">
      <c r="C371" s="10"/>
      <c r="D371" s="10"/>
      <c r="E371" s="10"/>
    </row>
    <row r="372" spans="3:5" ht="13.2">
      <c r="C372" s="10"/>
      <c r="D372" s="10"/>
      <c r="E372" s="10"/>
    </row>
    <row r="373" spans="3:5" ht="13.2">
      <c r="C373" s="10"/>
      <c r="D373" s="10"/>
      <c r="E373" s="10"/>
    </row>
    <row r="374" spans="3:5" ht="13.2">
      <c r="C374" s="10"/>
      <c r="D374" s="10"/>
      <c r="E374" s="10"/>
    </row>
    <row r="375" spans="3:5" ht="13.2">
      <c r="C375" s="10"/>
      <c r="D375" s="10"/>
      <c r="E375" s="10"/>
    </row>
    <row r="376" spans="3:5" ht="13.2">
      <c r="C376" s="10"/>
      <c r="D376" s="10"/>
      <c r="E376" s="10"/>
    </row>
    <row r="377" spans="3:5" ht="13.2">
      <c r="C377" s="10"/>
      <c r="D377" s="10"/>
      <c r="E377" s="10"/>
    </row>
    <row r="378" spans="3:5" ht="13.2">
      <c r="C378" s="10"/>
      <c r="D378" s="10"/>
      <c r="E378" s="10"/>
    </row>
    <row r="379" spans="3:5" ht="13.2">
      <c r="C379" s="10"/>
      <c r="D379" s="10"/>
      <c r="E379" s="10"/>
    </row>
    <row r="380" spans="3:5" ht="13.2">
      <c r="C380" s="10"/>
      <c r="D380" s="10"/>
      <c r="E380" s="10"/>
    </row>
    <row r="381" spans="3:5" ht="13.2">
      <c r="C381" s="10"/>
      <c r="D381" s="10"/>
      <c r="E381" s="10"/>
    </row>
    <row r="382" spans="3:5" ht="13.2">
      <c r="C382" s="10"/>
      <c r="D382" s="10"/>
      <c r="E382" s="10"/>
    </row>
    <row r="383" spans="3:5" ht="13.2">
      <c r="C383" s="10"/>
      <c r="D383" s="10"/>
      <c r="E383" s="10"/>
    </row>
    <row r="384" spans="3:5" ht="13.2">
      <c r="C384" s="10"/>
      <c r="D384" s="10"/>
      <c r="E384" s="10"/>
    </row>
    <row r="385" spans="3:5" ht="13.2">
      <c r="C385" s="10"/>
      <c r="D385" s="10"/>
      <c r="E385" s="10"/>
    </row>
    <row r="386" spans="3:5" ht="13.2">
      <c r="C386" s="10"/>
      <c r="D386" s="10"/>
      <c r="E386" s="10"/>
    </row>
    <row r="387" spans="3:5" ht="13.2">
      <c r="C387" s="10"/>
      <c r="D387" s="10"/>
      <c r="E387" s="10"/>
    </row>
    <row r="388" spans="3:5" ht="13.2">
      <c r="C388" s="10"/>
      <c r="D388" s="10"/>
      <c r="E388" s="10"/>
    </row>
    <row r="389" spans="3:5" ht="13.2">
      <c r="C389" s="10"/>
      <c r="D389" s="10"/>
      <c r="E389" s="10"/>
    </row>
    <row r="390" spans="3:5" ht="13.2">
      <c r="C390" s="10"/>
      <c r="D390" s="10"/>
      <c r="E390" s="10"/>
    </row>
    <row r="391" spans="3:5" ht="13.2">
      <c r="C391" s="10"/>
      <c r="D391" s="10"/>
      <c r="E391" s="10"/>
    </row>
    <row r="392" spans="3:5" ht="13.2">
      <c r="C392" s="10"/>
      <c r="D392" s="10"/>
      <c r="E392" s="10"/>
    </row>
    <row r="393" spans="3:5" ht="13.2">
      <c r="C393" s="10"/>
      <c r="D393" s="10"/>
      <c r="E393" s="10"/>
    </row>
    <row r="394" spans="3:5" ht="13.2">
      <c r="C394" s="10"/>
      <c r="D394" s="10"/>
      <c r="E394" s="10"/>
    </row>
    <row r="395" spans="3:5" ht="13.2">
      <c r="C395" s="10"/>
      <c r="D395" s="10"/>
      <c r="E395" s="10"/>
    </row>
    <row r="396" spans="3:5" ht="13.2">
      <c r="C396" s="10"/>
      <c r="D396" s="10"/>
      <c r="E396" s="10"/>
    </row>
    <row r="397" spans="3:5" ht="13.2">
      <c r="C397" s="10"/>
      <c r="D397" s="10"/>
      <c r="E397" s="10"/>
    </row>
    <row r="398" spans="3:5" ht="13.2">
      <c r="C398" s="10"/>
      <c r="D398" s="10"/>
      <c r="E398" s="10"/>
    </row>
    <row r="399" spans="3:5" ht="13.2">
      <c r="C399" s="10"/>
      <c r="D399" s="10"/>
      <c r="E399" s="10"/>
    </row>
    <row r="400" spans="3:5" ht="13.2">
      <c r="C400" s="10"/>
      <c r="D400" s="10"/>
      <c r="E400" s="10"/>
    </row>
    <row r="401" spans="3:5" ht="13.2">
      <c r="C401" s="10"/>
      <c r="D401" s="10"/>
      <c r="E401" s="10"/>
    </row>
    <row r="402" spans="3:5" ht="13.2">
      <c r="C402" s="10"/>
      <c r="D402" s="10"/>
      <c r="E402" s="10"/>
    </row>
    <row r="403" spans="3:5" ht="13.2">
      <c r="C403" s="10"/>
      <c r="D403" s="10"/>
      <c r="E403" s="10"/>
    </row>
    <row r="404" spans="3:5" ht="13.2">
      <c r="C404" s="10"/>
      <c r="D404" s="10"/>
      <c r="E404" s="10"/>
    </row>
    <row r="405" spans="3:5" ht="13.2">
      <c r="C405" s="10"/>
      <c r="D405" s="10"/>
      <c r="E405" s="10"/>
    </row>
    <row r="406" spans="3:5" ht="13.2">
      <c r="C406" s="10"/>
      <c r="D406" s="10"/>
      <c r="E406" s="10"/>
    </row>
    <row r="407" spans="3:5" ht="13.2">
      <c r="C407" s="10"/>
      <c r="D407" s="10"/>
      <c r="E407" s="10"/>
    </row>
    <row r="408" spans="3:5" ht="13.2">
      <c r="C408" s="10"/>
      <c r="D408" s="10"/>
      <c r="E408" s="10"/>
    </row>
    <row r="409" spans="3:5" ht="13.2">
      <c r="C409" s="10"/>
      <c r="D409" s="10"/>
      <c r="E409" s="10"/>
    </row>
    <row r="410" spans="3:5" ht="13.2">
      <c r="C410" s="10"/>
      <c r="D410" s="10"/>
      <c r="E410" s="10"/>
    </row>
    <row r="411" spans="3:5" ht="13.2">
      <c r="C411" s="10"/>
      <c r="D411" s="10"/>
      <c r="E411" s="10"/>
    </row>
    <row r="412" spans="3:5" ht="13.2">
      <c r="C412" s="10"/>
      <c r="D412" s="10"/>
      <c r="E412" s="10"/>
    </row>
    <row r="413" spans="3:5" ht="13.2">
      <c r="C413" s="10"/>
      <c r="D413" s="10"/>
      <c r="E413" s="10"/>
    </row>
    <row r="414" spans="3:5" ht="13.2">
      <c r="C414" s="10"/>
      <c r="D414" s="10"/>
      <c r="E414" s="10"/>
    </row>
    <row r="415" spans="3:5" ht="13.2">
      <c r="C415" s="10"/>
      <c r="D415" s="10"/>
      <c r="E415" s="10"/>
    </row>
    <row r="416" spans="3:5" ht="13.2">
      <c r="C416" s="10"/>
      <c r="D416" s="10"/>
      <c r="E416" s="10"/>
    </row>
    <row r="417" spans="3:5" ht="13.2">
      <c r="C417" s="10"/>
      <c r="D417" s="10"/>
      <c r="E417" s="10"/>
    </row>
    <row r="418" spans="3:5" ht="13.2">
      <c r="C418" s="10"/>
      <c r="D418" s="10"/>
      <c r="E418" s="10"/>
    </row>
    <row r="419" spans="3:5" ht="13.2">
      <c r="C419" s="10"/>
      <c r="D419" s="10"/>
      <c r="E419" s="10"/>
    </row>
    <row r="420" spans="3:5" ht="13.2">
      <c r="C420" s="10"/>
      <c r="D420" s="10"/>
      <c r="E420" s="10"/>
    </row>
    <row r="421" spans="3:5" ht="13.2">
      <c r="C421" s="10"/>
      <c r="D421" s="10"/>
      <c r="E421" s="10"/>
    </row>
    <row r="422" spans="3:5" ht="13.2">
      <c r="C422" s="10"/>
      <c r="D422" s="10"/>
      <c r="E422" s="10"/>
    </row>
    <row r="423" spans="3:5" ht="13.2">
      <c r="C423" s="10"/>
      <c r="D423" s="10"/>
      <c r="E423" s="10"/>
    </row>
    <row r="424" spans="3:5" ht="13.2">
      <c r="C424" s="10"/>
      <c r="D424" s="10"/>
      <c r="E424" s="10"/>
    </row>
    <row r="425" spans="3:5" ht="13.2">
      <c r="C425" s="10"/>
      <c r="D425" s="10"/>
      <c r="E425" s="10"/>
    </row>
    <row r="426" spans="3:5" ht="13.2">
      <c r="C426" s="10"/>
      <c r="D426" s="10"/>
      <c r="E426" s="10"/>
    </row>
    <row r="427" spans="3:5" ht="13.2">
      <c r="C427" s="10"/>
      <c r="D427" s="10"/>
      <c r="E427" s="10"/>
    </row>
    <row r="428" spans="3:5" ht="13.2">
      <c r="C428" s="10"/>
      <c r="D428" s="10"/>
      <c r="E428" s="10"/>
    </row>
    <row r="429" spans="3:5" ht="13.2">
      <c r="C429" s="10"/>
      <c r="D429" s="10"/>
      <c r="E429" s="10"/>
    </row>
    <row r="430" spans="3:5" ht="13.2">
      <c r="C430" s="10"/>
      <c r="D430" s="10"/>
      <c r="E430" s="10"/>
    </row>
    <row r="431" spans="3:5" ht="13.2">
      <c r="C431" s="10"/>
      <c r="D431" s="10"/>
      <c r="E431" s="10"/>
    </row>
    <row r="432" spans="3:5" ht="13.2">
      <c r="C432" s="10"/>
      <c r="D432" s="10"/>
      <c r="E432" s="10"/>
    </row>
    <row r="433" spans="3:5" ht="13.2">
      <c r="C433" s="10"/>
      <c r="D433" s="10"/>
      <c r="E433" s="10"/>
    </row>
    <row r="434" spans="3:5" ht="13.2">
      <c r="C434" s="10"/>
      <c r="D434" s="10"/>
      <c r="E434" s="10"/>
    </row>
    <row r="435" spans="3:5" ht="13.2">
      <c r="C435" s="10"/>
      <c r="D435" s="10"/>
      <c r="E435" s="10"/>
    </row>
    <row r="436" spans="3:5" ht="13.2">
      <c r="C436" s="10"/>
      <c r="D436" s="10"/>
      <c r="E436" s="10"/>
    </row>
    <row r="437" spans="3:5" ht="13.2">
      <c r="C437" s="10"/>
      <c r="D437" s="10"/>
      <c r="E437" s="10"/>
    </row>
    <row r="438" spans="3:5" ht="13.2">
      <c r="C438" s="10"/>
      <c r="D438" s="10"/>
      <c r="E438" s="10"/>
    </row>
    <row r="439" spans="3:5" ht="13.2">
      <c r="C439" s="10"/>
      <c r="D439" s="10"/>
      <c r="E439" s="10"/>
    </row>
    <row r="440" spans="3:5" ht="13.2">
      <c r="C440" s="10"/>
      <c r="D440" s="10"/>
      <c r="E440" s="10"/>
    </row>
    <row r="441" spans="3:5" ht="13.2">
      <c r="C441" s="10"/>
      <c r="D441" s="10"/>
      <c r="E441" s="10"/>
    </row>
    <row r="442" spans="3:5" ht="13.2">
      <c r="C442" s="10"/>
      <c r="D442" s="10"/>
      <c r="E442" s="10"/>
    </row>
    <row r="443" spans="3:5" ht="13.2">
      <c r="C443" s="10"/>
      <c r="D443" s="10"/>
      <c r="E443" s="10"/>
    </row>
    <row r="444" spans="3:5" ht="13.2">
      <c r="C444" s="10"/>
      <c r="D444" s="10"/>
      <c r="E444" s="10"/>
    </row>
    <row r="445" spans="3:5" ht="13.2">
      <c r="C445" s="10"/>
      <c r="D445" s="10"/>
      <c r="E445" s="10"/>
    </row>
    <row r="446" spans="3:5" ht="13.2">
      <c r="C446" s="10"/>
      <c r="D446" s="10"/>
      <c r="E446" s="10"/>
    </row>
    <row r="447" spans="3:5" ht="13.2">
      <c r="C447" s="10"/>
      <c r="D447" s="10"/>
      <c r="E447" s="10"/>
    </row>
    <row r="448" spans="3:5" ht="13.2">
      <c r="C448" s="10"/>
      <c r="D448" s="10"/>
      <c r="E448" s="10"/>
    </row>
    <row r="449" spans="3:5" ht="13.2">
      <c r="C449" s="10"/>
      <c r="D449" s="10"/>
      <c r="E449" s="10"/>
    </row>
    <row r="450" spans="3:5" ht="13.2">
      <c r="C450" s="10"/>
      <c r="D450" s="10"/>
      <c r="E450" s="10"/>
    </row>
    <row r="451" spans="3:5" ht="13.2">
      <c r="C451" s="10"/>
      <c r="D451" s="10"/>
      <c r="E451" s="10"/>
    </row>
    <row r="452" spans="3:5" ht="13.2">
      <c r="C452" s="10"/>
      <c r="D452" s="10"/>
      <c r="E452" s="10"/>
    </row>
    <row r="453" spans="3:5" ht="13.2">
      <c r="C453" s="10"/>
      <c r="D453" s="10"/>
      <c r="E453" s="10"/>
    </row>
    <row r="454" spans="3:5" ht="13.2">
      <c r="C454" s="10"/>
      <c r="D454" s="10"/>
      <c r="E454" s="10"/>
    </row>
    <row r="455" spans="3:5" ht="13.2">
      <c r="C455" s="10"/>
      <c r="D455" s="10"/>
      <c r="E455" s="10"/>
    </row>
    <row r="456" spans="3:5" ht="13.2">
      <c r="C456" s="10"/>
      <c r="D456" s="10"/>
      <c r="E456" s="10"/>
    </row>
    <row r="457" spans="3:5" ht="13.2">
      <c r="C457" s="10"/>
      <c r="D457" s="10"/>
      <c r="E457" s="10"/>
    </row>
    <row r="458" spans="3:5" ht="13.2">
      <c r="C458" s="10"/>
      <c r="D458" s="10"/>
      <c r="E458" s="10"/>
    </row>
    <row r="459" spans="3:5" ht="13.2">
      <c r="C459" s="10"/>
      <c r="D459" s="10"/>
      <c r="E459" s="10"/>
    </row>
    <row r="460" spans="3:5" ht="13.2">
      <c r="C460" s="10"/>
      <c r="D460" s="10"/>
      <c r="E460" s="10"/>
    </row>
    <row r="461" spans="3:5" ht="13.2">
      <c r="C461" s="10"/>
      <c r="D461" s="10"/>
      <c r="E461" s="10"/>
    </row>
    <row r="462" spans="3:5" ht="13.2">
      <c r="C462" s="10"/>
      <c r="D462" s="10"/>
      <c r="E462" s="10"/>
    </row>
    <row r="463" spans="3:5" ht="13.2">
      <c r="C463" s="10"/>
      <c r="D463" s="10"/>
      <c r="E463" s="10"/>
    </row>
    <row r="464" spans="3:5" ht="13.2">
      <c r="C464" s="10"/>
      <c r="D464" s="10"/>
      <c r="E464" s="10"/>
    </row>
    <row r="465" spans="3:5" ht="13.2">
      <c r="C465" s="10"/>
      <c r="D465" s="10"/>
      <c r="E465" s="10"/>
    </row>
    <row r="466" spans="3:5" ht="13.2">
      <c r="C466" s="10"/>
      <c r="D466" s="10"/>
      <c r="E466" s="10"/>
    </row>
    <row r="467" spans="3:5" ht="13.2">
      <c r="C467" s="10"/>
      <c r="D467" s="10"/>
      <c r="E467" s="10"/>
    </row>
    <row r="468" spans="3:5" ht="13.2">
      <c r="C468" s="10"/>
      <c r="D468" s="10"/>
      <c r="E468" s="10"/>
    </row>
    <row r="469" spans="3:5" ht="13.2">
      <c r="C469" s="10"/>
      <c r="D469" s="10"/>
      <c r="E469" s="10"/>
    </row>
    <row r="470" spans="3:5" ht="13.2">
      <c r="C470" s="10"/>
      <c r="D470" s="10"/>
      <c r="E470" s="10"/>
    </row>
    <row r="471" spans="3:5" ht="13.2">
      <c r="C471" s="10"/>
      <c r="D471" s="10"/>
      <c r="E471" s="10"/>
    </row>
    <row r="472" spans="3:5" ht="13.2">
      <c r="C472" s="10"/>
      <c r="D472" s="10"/>
      <c r="E472" s="10"/>
    </row>
    <row r="473" spans="3:5" ht="13.2">
      <c r="C473" s="10"/>
      <c r="D473" s="10"/>
      <c r="E473" s="10"/>
    </row>
    <row r="474" spans="3:5" ht="13.2">
      <c r="C474" s="10"/>
      <c r="D474" s="10"/>
      <c r="E474" s="10"/>
    </row>
    <row r="475" spans="3:5" ht="13.2">
      <c r="C475" s="10"/>
      <c r="D475" s="10"/>
      <c r="E475" s="10"/>
    </row>
    <row r="476" spans="3:5" ht="13.2">
      <c r="C476" s="10"/>
      <c r="D476" s="10"/>
      <c r="E476" s="10"/>
    </row>
    <row r="477" spans="3:5" ht="13.2">
      <c r="C477" s="10"/>
      <c r="D477" s="10"/>
      <c r="E477" s="10"/>
    </row>
    <row r="478" spans="3:5" ht="13.2">
      <c r="C478" s="10"/>
      <c r="D478" s="10"/>
      <c r="E478" s="10"/>
    </row>
    <row r="479" spans="3:5" ht="13.2">
      <c r="C479" s="10"/>
      <c r="D479" s="10"/>
      <c r="E479" s="10"/>
    </row>
    <row r="480" spans="3:5" ht="13.2">
      <c r="C480" s="10"/>
      <c r="D480" s="10"/>
      <c r="E480" s="10"/>
    </row>
    <row r="481" spans="3:5" ht="13.2">
      <c r="C481" s="10"/>
      <c r="D481" s="10"/>
      <c r="E481" s="10"/>
    </row>
    <row r="482" spans="3:5" ht="13.2">
      <c r="C482" s="10"/>
      <c r="D482" s="10"/>
      <c r="E482" s="10"/>
    </row>
    <row r="483" spans="3:5" ht="13.2">
      <c r="C483" s="10"/>
      <c r="D483" s="10"/>
      <c r="E483" s="10"/>
    </row>
    <row r="484" spans="3:5" ht="13.2">
      <c r="C484" s="10"/>
      <c r="D484" s="10"/>
      <c r="E484" s="10"/>
    </row>
    <row r="485" spans="3:5" ht="13.2">
      <c r="C485" s="10"/>
      <c r="D485" s="10"/>
      <c r="E485" s="10"/>
    </row>
    <row r="486" spans="3:5" ht="13.2">
      <c r="C486" s="10"/>
      <c r="D486" s="10"/>
      <c r="E486" s="10"/>
    </row>
    <row r="487" spans="3:5" ht="13.2">
      <c r="C487" s="10"/>
      <c r="D487" s="10"/>
      <c r="E487" s="10"/>
    </row>
    <row r="488" spans="3:5" ht="13.2">
      <c r="C488" s="10"/>
      <c r="D488" s="10"/>
      <c r="E488" s="10"/>
    </row>
    <row r="489" spans="3:5" ht="13.2">
      <c r="C489" s="10"/>
      <c r="D489" s="10"/>
      <c r="E489" s="10"/>
    </row>
    <row r="490" spans="3:5" ht="13.2">
      <c r="C490" s="10"/>
      <c r="D490" s="10"/>
      <c r="E490" s="10"/>
    </row>
    <row r="491" spans="3:5" ht="13.2">
      <c r="C491" s="10"/>
      <c r="D491" s="10"/>
      <c r="E491" s="10"/>
    </row>
    <row r="492" spans="3:5" ht="13.2">
      <c r="C492" s="10"/>
      <c r="D492" s="10"/>
      <c r="E492" s="10"/>
    </row>
    <row r="493" spans="3:5" ht="13.2">
      <c r="C493" s="10"/>
      <c r="D493" s="10"/>
      <c r="E493" s="10"/>
    </row>
    <row r="494" spans="3:5" ht="13.2">
      <c r="C494" s="10"/>
      <c r="D494" s="10"/>
      <c r="E494" s="10"/>
    </row>
    <row r="495" spans="3:5" ht="13.2">
      <c r="C495" s="10"/>
      <c r="D495" s="10"/>
      <c r="E495" s="10"/>
    </row>
    <row r="496" spans="3:5" ht="13.2">
      <c r="C496" s="10"/>
      <c r="D496" s="10"/>
      <c r="E496" s="10"/>
    </row>
    <row r="497" spans="3:5" ht="13.2">
      <c r="C497" s="10"/>
      <c r="D497" s="10"/>
      <c r="E497" s="10"/>
    </row>
    <row r="498" spans="3:5" ht="13.2">
      <c r="C498" s="10"/>
      <c r="D498" s="10"/>
      <c r="E498" s="10"/>
    </row>
    <row r="499" spans="3:5" ht="13.2">
      <c r="C499" s="10"/>
      <c r="D499" s="10"/>
      <c r="E499" s="10"/>
    </row>
    <row r="500" spans="3:5" ht="13.2">
      <c r="C500" s="10"/>
      <c r="D500" s="10"/>
      <c r="E500" s="10"/>
    </row>
    <row r="501" spans="3:5" ht="13.2">
      <c r="C501" s="10"/>
      <c r="D501" s="10"/>
      <c r="E501" s="10"/>
    </row>
    <row r="502" spans="3:5" ht="13.2">
      <c r="C502" s="10"/>
      <c r="D502" s="10"/>
      <c r="E502" s="10"/>
    </row>
    <row r="503" spans="3:5" ht="13.2">
      <c r="C503" s="10"/>
      <c r="D503" s="10"/>
      <c r="E503" s="10"/>
    </row>
    <row r="504" spans="3:5" ht="13.2">
      <c r="C504" s="10"/>
      <c r="D504" s="10"/>
      <c r="E504" s="10"/>
    </row>
    <row r="505" spans="3:5" ht="13.2">
      <c r="C505" s="10"/>
      <c r="D505" s="10"/>
      <c r="E505" s="10"/>
    </row>
    <row r="506" spans="3:5" ht="13.2">
      <c r="C506" s="10"/>
      <c r="D506" s="10"/>
      <c r="E506" s="10"/>
    </row>
    <row r="507" spans="3:5" ht="13.2">
      <c r="C507" s="10"/>
      <c r="D507" s="10"/>
      <c r="E507" s="10"/>
    </row>
    <row r="508" spans="3:5" ht="13.2">
      <c r="C508" s="10"/>
      <c r="D508" s="10"/>
      <c r="E508" s="10"/>
    </row>
    <row r="509" spans="3:5" ht="13.2">
      <c r="C509" s="10"/>
      <c r="D509" s="10"/>
      <c r="E509" s="10"/>
    </row>
    <row r="510" spans="3:5" ht="13.2">
      <c r="C510" s="10"/>
      <c r="D510" s="10"/>
      <c r="E510" s="10"/>
    </row>
    <row r="511" spans="3:5" ht="13.2">
      <c r="C511" s="10"/>
      <c r="D511" s="10"/>
      <c r="E511" s="10"/>
    </row>
    <row r="512" spans="3:5" ht="13.2">
      <c r="C512" s="10"/>
      <c r="D512" s="10"/>
      <c r="E512" s="10"/>
    </row>
    <row r="513" spans="3:5" ht="13.2">
      <c r="C513" s="10"/>
      <c r="D513" s="10"/>
      <c r="E513" s="10"/>
    </row>
    <row r="514" spans="3:5" ht="13.2">
      <c r="C514" s="10"/>
      <c r="D514" s="10"/>
      <c r="E514" s="10"/>
    </row>
    <row r="515" spans="3:5" ht="13.2">
      <c r="C515" s="10"/>
      <c r="D515" s="10"/>
      <c r="E515" s="10"/>
    </row>
    <row r="516" spans="3:5" ht="13.2">
      <c r="C516" s="10"/>
      <c r="D516" s="10"/>
      <c r="E516" s="10"/>
    </row>
    <row r="517" spans="3:5" ht="13.2">
      <c r="C517" s="10"/>
      <c r="D517" s="10"/>
      <c r="E517" s="10"/>
    </row>
    <row r="518" spans="3:5" ht="13.2">
      <c r="C518" s="10"/>
      <c r="D518" s="10"/>
      <c r="E518" s="10"/>
    </row>
    <row r="519" spans="3:5" ht="13.2">
      <c r="C519" s="10"/>
      <c r="D519" s="10"/>
      <c r="E519" s="10"/>
    </row>
    <row r="520" spans="3:5" ht="13.2">
      <c r="C520" s="10"/>
      <c r="D520" s="10"/>
      <c r="E520" s="10"/>
    </row>
    <row r="521" spans="3:5" ht="13.2">
      <c r="C521" s="10"/>
      <c r="D521" s="10"/>
      <c r="E521" s="10"/>
    </row>
    <row r="522" spans="3:5" ht="13.2">
      <c r="C522" s="10"/>
      <c r="D522" s="10"/>
      <c r="E522" s="10"/>
    </row>
    <row r="523" spans="3:5" ht="13.2">
      <c r="C523" s="10"/>
      <c r="D523" s="10"/>
      <c r="E523" s="10"/>
    </row>
    <row r="524" spans="3:5" ht="13.2">
      <c r="C524" s="10"/>
      <c r="D524" s="10"/>
      <c r="E524" s="10"/>
    </row>
    <row r="525" spans="3:5" ht="13.2">
      <c r="C525" s="10"/>
      <c r="D525" s="10"/>
      <c r="E525" s="10"/>
    </row>
    <row r="526" spans="3:5" ht="13.2">
      <c r="C526" s="10"/>
      <c r="D526" s="10"/>
      <c r="E526" s="10"/>
    </row>
    <row r="527" spans="3:5" ht="13.2">
      <c r="C527" s="10"/>
      <c r="D527" s="10"/>
      <c r="E527" s="10"/>
    </row>
    <row r="528" spans="3:5" ht="13.2">
      <c r="C528" s="10"/>
      <c r="D528" s="10"/>
      <c r="E528" s="10"/>
    </row>
    <row r="529" spans="3:5" ht="13.2">
      <c r="C529" s="10"/>
      <c r="D529" s="10"/>
      <c r="E529" s="10"/>
    </row>
    <row r="530" spans="3:5" ht="13.2">
      <c r="C530" s="10"/>
      <c r="D530" s="10"/>
      <c r="E530" s="10"/>
    </row>
    <row r="531" spans="3:5" ht="13.2">
      <c r="C531" s="10"/>
      <c r="D531" s="10"/>
      <c r="E531" s="10"/>
    </row>
    <row r="532" spans="3:5" ht="13.2">
      <c r="C532" s="10"/>
      <c r="D532" s="10"/>
      <c r="E532" s="10"/>
    </row>
    <row r="533" spans="3:5" ht="13.2">
      <c r="C533" s="10"/>
      <c r="D533" s="10"/>
      <c r="E533" s="10"/>
    </row>
    <row r="534" spans="3:5" ht="13.2">
      <c r="C534" s="10"/>
      <c r="D534" s="10"/>
      <c r="E534" s="10"/>
    </row>
    <row r="535" spans="3:5" ht="13.2">
      <c r="C535" s="10"/>
      <c r="D535" s="10"/>
      <c r="E535" s="10"/>
    </row>
    <row r="536" spans="3:5" ht="13.2">
      <c r="C536" s="10"/>
      <c r="D536" s="10"/>
      <c r="E536" s="10"/>
    </row>
    <row r="537" spans="3:5" ht="13.2">
      <c r="C537" s="10"/>
      <c r="D537" s="10"/>
      <c r="E537" s="10"/>
    </row>
    <row r="538" spans="3:5" ht="13.2">
      <c r="C538" s="10"/>
      <c r="D538" s="10"/>
      <c r="E538" s="10"/>
    </row>
    <row r="539" spans="3:5" ht="13.2">
      <c r="C539" s="10"/>
      <c r="D539" s="10"/>
      <c r="E539" s="10"/>
    </row>
    <row r="540" spans="3:5" ht="13.2">
      <c r="C540" s="10"/>
      <c r="D540" s="10"/>
      <c r="E540" s="10"/>
    </row>
    <row r="541" spans="3:5" ht="13.2">
      <c r="C541" s="10"/>
      <c r="D541" s="10"/>
      <c r="E541" s="10"/>
    </row>
    <row r="542" spans="3:5" ht="13.2">
      <c r="C542" s="10"/>
      <c r="D542" s="10"/>
      <c r="E542" s="10"/>
    </row>
    <row r="543" spans="3:5" ht="13.2">
      <c r="C543" s="10"/>
      <c r="D543" s="10"/>
      <c r="E543" s="10"/>
    </row>
    <row r="544" spans="3:5" ht="13.2">
      <c r="C544" s="10"/>
      <c r="D544" s="10"/>
      <c r="E544" s="10"/>
    </row>
    <row r="545" spans="3:5" ht="13.2">
      <c r="C545" s="10"/>
      <c r="D545" s="10"/>
      <c r="E545" s="10"/>
    </row>
    <row r="546" spans="3:5" ht="13.2">
      <c r="C546" s="10"/>
      <c r="D546" s="10"/>
      <c r="E546" s="10"/>
    </row>
    <row r="547" spans="3:5" ht="13.2">
      <c r="C547" s="10"/>
      <c r="D547" s="10"/>
      <c r="E547" s="10"/>
    </row>
    <row r="548" spans="3:5" ht="13.2">
      <c r="C548" s="10"/>
      <c r="D548" s="10"/>
      <c r="E548" s="10"/>
    </row>
    <row r="549" spans="3:5" ht="13.2">
      <c r="C549" s="10"/>
      <c r="D549" s="10"/>
      <c r="E549" s="10"/>
    </row>
    <row r="550" spans="3:5" ht="13.2">
      <c r="C550" s="10"/>
      <c r="D550" s="10"/>
      <c r="E550" s="10"/>
    </row>
    <row r="551" spans="3:5" ht="13.2">
      <c r="C551" s="10"/>
      <c r="D551" s="10"/>
      <c r="E551" s="10"/>
    </row>
    <row r="552" spans="3:5" ht="13.2">
      <c r="C552" s="10"/>
      <c r="D552" s="10"/>
      <c r="E552" s="10"/>
    </row>
    <row r="553" spans="3:5" ht="13.2">
      <c r="C553" s="10"/>
      <c r="D553" s="10"/>
      <c r="E553" s="10"/>
    </row>
    <row r="554" spans="3:5" ht="13.2">
      <c r="C554" s="10"/>
      <c r="D554" s="10"/>
      <c r="E554" s="10"/>
    </row>
    <row r="555" spans="3:5" ht="13.2">
      <c r="C555" s="10"/>
      <c r="D555" s="10"/>
      <c r="E555" s="10"/>
    </row>
    <row r="556" spans="3:5" ht="13.2">
      <c r="C556" s="10"/>
      <c r="D556" s="10"/>
      <c r="E556" s="10"/>
    </row>
    <row r="557" spans="3:5" ht="13.2">
      <c r="C557" s="10"/>
      <c r="D557" s="10"/>
      <c r="E557" s="10"/>
    </row>
    <row r="558" spans="3:5" ht="13.2">
      <c r="C558" s="10"/>
      <c r="D558" s="10"/>
      <c r="E558" s="10"/>
    </row>
    <row r="559" spans="3:5" ht="13.2">
      <c r="C559" s="10"/>
      <c r="D559" s="10"/>
      <c r="E559" s="10"/>
    </row>
    <row r="560" spans="3:5" ht="13.2">
      <c r="C560" s="10"/>
      <c r="D560" s="10"/>
      <c r="E560" s="10"/>
    </row>
    <row r="561" spans="3:5" ht="13.2">
      <c r="C561" s="10"/>
      <c r="D561" s="10"/>
      <c r="E561" s="10"/>
    </row>
    <row r="562" spans="3:5" ht="13.2">
      <c r="C562" s="10"/>
      <c r="D562" s="10"/>
      <c r="E562" s="10"/>
    </row>
    <row r="563" spans="3:5" ht="13.2">
      <c r="C563" s="10"/>
      <c r="D563" s="10"/>
      <c r="E563" s="10"/>
    </row>
    <row r="564" spans="3:5" ht="13.2">
      <c r="C564" s="10"/>
      <c r="D564" s="10"/>
      <c r="E564" s="10"/>
    </row>
    <row r="565" spans="3:5" ht="13.2">
      <c r="C565" s="10"/>
      <c r="D565" s="10"/>
      <c r="E565" s="10"/>
    </row>
    <row r="566" spans="3:5" ht="13.2">
      <c r="C566" s="10"/>
      <c r="D566" s="10"/>
      <c r="E566" s="10"/>
    </row>
    <row r="567" spans="3:5" ht="13.2">
      <c r="C567" s="10"/>
      <c r="D567" s="10"/>
      <c r="E567" s="10"/>
    </row>
    <row r="568" spans="3:5" ht="13.2">
      <c r="C568" s="10"/>
      <c r="D568" s="10"/>
      <c r="E568" s="10"/>
    </row>
    <row r="569" spans="3:5" ht="13.2">
      <c r="C569" s="10"/>
      <c r="D569" s="10"/>
      <c r="E569" s="10"/>
    </row>
    <row r="570" spans="3:5" ht="13.2">
      <c r="C570" s="10"/>
      <c r="D570" s="10"/>
      <c r="E570" s="10"/>
    </row>
    <row r="571" spans="3:5" ht="13.2">
      <c r="C571" s="10"/>
      <c r="D571" s="10"/>
      <c r="E571" s="10"/>
    </row>
    <row r="572" spans="3:5" ht="13.2">
      <c r="C572" s="10"/>
      <c r="D572" s="10"/>
      <c r="E572" s="10"/>
    </row>
    <row r="573" spans="3:5" ht="13.2">
      <c r="C573" s="10"/>
      <c r="D573" s="10"/>
      <c r="E573" s="10"/>
    </row>
    <row r="574" spans="3:5" ht="13.2">
      <c r="C574" s="10"/>
      <c r="D574" s="10"/>
      <c r="E574" s="10"/>
    </row>
    <row r="575" spans="3:5" ht="13.2">
      <c r="C575" s="10"/>
      <c r="D575" s="10"/>
      <c r="E575" s="10"/>
    </row>
    <row r="576" spans="3:5" ht="13.2">
      <c r="C576" s="10"/>
      <c r="D576" s="10"/>
      <c r="E576" s="10"/>
    </row>
    <row r="577" spans="3:5" ht="13.2">
      <c r="C577" s="10"/>
      <c r="D577" s="10"/>
      <c r="E577" s="10"/>
    </row>
    <row r="578" spans="3:5" ht="13.2">
      <c r="C578" s="10"/>
      <c r="D578" s="10"/>
      <c r="E578" s="10"/>
    </row>
    <row r="579" spans="3:5" ht="13.2">
      <c r="C579" s="10"/>
      <c r="D579" s="10"/>
      <c r="E579" s="10"/>
    </row>
    <row r="580" spans="3:5" ht="13.2">
      <c r="C580" s="10"/>
      <c r="D580" s="10"/>
      <c r="E580" s="10"/>
    </row>
    <row r="581" spans="3:5" ht="13.2">
      <c r="C581" s="10"/>
      <c r="D581" s="10"/>
      <c r="E581" s="10"/>
    </row>
    <row r="582" spans="3:5" ht="13.2">
      <c r="C582" s="10"/>
      <c r="D582" s="10"/>
      <c r="E582" s="10"/>
    </row>
    <row r="583" spans="3:5" ht="13.2">
      <c r="C583" s="10"/>
      <c r="D583" s="10"/>
      <c r="E583" s="10"/>
    </row>
    <row r="584" spans="3:5" ht="13.2">
      <c r="C584" s="10"/>
      <c r="D584" s="10"/>
      <c r="E584" s="10"/>
    </row>
    <row r="585" spans="3:5" ht="13.2">
      <c r="C585" s="10"/>
      <c r="D585" s="10"/>
      <c r="E585" s="10"/>
    </row>
    <row r="586" spans="3:5" ht="13.2">
      <c r="C586" s="10"/>
      <c r="D586" s="10"/>
      <c r="E586" s="10"/>
    </row>
    <row r="587" spans="3:5" ht="13.2">
      <c r="C587" s="10"/>
      <c r="D587" s="10"/>
      <c r="E587" s="10"/>
    </row>
    <row r="588" spans="3:5" ht="13.2">
      <c r="C588" s="10"/>
      <c r="D588" s="10"/>
      <c r="E588" s="10"/>
    </row>
    <row r="589" spans="3:5" ht="13.2">
      <c r="C589" s="10"/>
      <c r="D589" s="10"/>
      <c r="E589" s="10"/>
    </row>
    <row r="590" spans="3:5" ht="13.2">
      <c r="C590" s="10"/>
      <c r="D590" s="10"/>
      <c r="E590" s="10"/>
    </row>
    <row r="591" spans="3:5" ht="13.2">
      <c r="C591" s="10"/>
      <c r="D591" s="10"/>
      <c r="E591" s="10"/>
    </row>
    <row r="592" spans="3:5" ht="13.2">
      <c r="C592" s="10"/>
      <c r="D592" s="10"/>
      <c r="E592" s="10"/>
    </row>
    <row r="593" spans="3:5" ht="13.2">
      <c r="C593" s="10"/>
      <c r="D593" s="10"/>
      <c r="E593" s="10"/>
    </row>
    <row r="594" spans="3:5" ht="13.2">
      <c r="C594" s="10"/>
      <c r="D594" s="10"/>
      <c r="E594" s="10"/>
    </row>
    <row r="595" spans="3:5" ht="13.2">
      <c r="C595" s="10"/>
      <c r="D595" s="10"/>
      <c r="E595" s="10"/>
    </row>
    <row r="596" spans="3:5" ht="13.2">
      <c r="C596" s="10"/>
      <c r="D596" s="10"/>
      <c r="E596" s="10"/>
    </row>
    <row r="597" spans="3:5" ht="13.2">
      <c r="C597" s="10"/>
      <c r="D597" s="10"/>
      <c r="E597" s="10"/>
    </row>
    <row r="598" spans="3:5" ht="13.2">
      <c r="C598" s="10"/>
      <c r="D598" s="10"/>
      <c r="E598" s="10"/>
    </row>
    <row r="599" spans="3:5" ht="13.2">
      <c r="C599" s="10"/>
      <c r="D599" s="10"/>
      <c r="E599" s="10"/>
    </row>
    <row r="600" spans="3:5" ht="13.2">
      <c r="C600" s="10"/>
      <c r="D600" s="10"/>
      <c r="E600" s="10"/>
    </row>
    <row r="601" spans="3:5" ht="13.2">
      <c r="C601" s="10"/>
      <c r="D601" s="10"/>
      <c r="E601" s="10"/>
    </row>
    <row r="602" spans="3:5" ht="13.2">
      <c r="C602" s="10"/>
      <c r="D602" s="10"/>
      <c r="E602" s="10"/>
    </row>
    <row r="603" spans="3:5" ht="13.2">
      <c r="C603" s="10"/>
      <c r="D603" s="10"/>
      <c r="E603" s="10"/>
    </row>
    <row r="604" spans="3:5" ht="13.2">
      <c r="C604" s="10"/>
      <c r="D604" s="10"/>
      <c r="E604" s="10"/>
    </row>
    <row r="605" spans="3:5" ht="13.2">
      <c r="C605" s="10"/>
      <c r="D605" s="10"/>
      <c r="E605" s="10"/>
    </row>
    <row r="606" spans="3:5" ht="13.2">
      <c r="C606" s="10"/>
      <c r="D606" s="10"/>
      <c r="E606" s="10"/>
    </row>
    <row r="607" spans="3:5" ht="13.2">
      <c r="C607" s="10"/>
      <c r="D607" s="10"/>
      <c r="E607" s="10"/>
    </row>
    <row r="608" spans="3:5" ht="13.2">
      <c r="C608" s="10"/>
      <c r="D608" s="10"/>
      <c r="E608" s="10"/>
    </row>
    <row r="609" spans="3:5" ht="13.2">
      <c r="C609" s="10"/>
      <c r="D609" s="10"/>
      <c r="E609" s="10"/>
    </row>
    <row r="610" spans="3:5" ht="13.2">
      <c r="C610" s="10"/>
      <c r="D610" s="10"/>
      <c r="E610" s="10"/>
    </row>
    <row r="611" spans="3:5" ht="13.2">
      <c r="C611" s="10"/>
      <c r="D611" s="10"/>
      <c r="E611" s="10"/>
    </row>
    <row r="612" spans="3:5" ht="13.2">
      <c r="C612" s="10"/>
      <c r="D612" s="10"/>
      <c r="E612" s="10"/>
    </row>
    <row r="613" spans="3:5" ht="13.2">
      <c r="C613" s="10"/>
      <c r="D613" s="10"/>
      <c r="E613" s="10"/>
    </row>
    <row r="614" spans="3:5" ht="13.2">
      <c r="C614" s="10"/>
      <c r="D614" s="10"/>
      <c r="E614" s="10"/>
    </row>
    <row r="615" spans="3:5" ht="13.2">
      <c r="C615" s="10"/>
      <c r="D615" s="10"/>
      <c r="E615" s="10"/>
    </row>
    <row r="616" spans="3:5" ht="13.2">
      <c r="C616" s="10"/>
      <c r="D616" s="10"/>
      <c r="E616" s="10"/>
    </row>
    <row r="617" spans="3:5" ht="13.2">
      <c r="C617" s="10"/>
      <c r="D617" s="10"/>
      <c r="E617" s="10"/>
    </row>
    <row r="618" spans="3:5" ht="13.2">
      <c r="C618" s="10"/>
      <c r="D618" s="10"/>
      <c r="E618" s="10"/>
    </row>
    <row r="619" spans="3:5" ht="13.2">
      <c r="C619" s="10"/>
      <c r="D619" s="10"/>
      <c r="E619" s="10"/>
    </row>
    <row r="620" spans="3:5" ht="13.2">
      <c r="C620" s="10"/>
      <c r="D620" s="10"/>
      <c r="E620" s="10"/>
    </row>
    <row r="621" spans="3:5" ht="13.2">
      <c r="C621" s="10"/>
      <c r="D621" s="10"/>
      <c r="E621" s="10"/>
    </row>
    <row r="622" spans="3:5" ht="13.2">
      <c r="C622" s="10"/>
      <c r="D622" s="10"/>
      <c r="E622" s="10"/>
    </row>
    <row r="623" spans="3:5" ht="13.2">
      <c r="C623" s="10"/>
      <c r="D623" s="10"/>
      <c r="E623" s="10"/>
    </row>
    <row r="624" spans="3:5" ht="13.2">
      <c r="C624" s="10"/>
      <c r="D624" s="10"/>
      <c r="E624" s="10"/>
    </row>
    <row r="625" spans="3:5" ht="13.2">
      <c r="C625" s="10"/>
      <c r="D625" s="10"/>
      <c r="E625" s="10"/>
    </row>
    <row r="626" spans="3:5" ht="13.2">
      <c r="C626" s="10"/>
      <c r="D626" s="10"/>
      <c r="E626" s="10"/>
    </row>
    <row r="627" spans="3:5" ht="13.2">
      <c r="C627" s="10"/>
      <c r="D627" s="10"/>
      <c r="E627" s="10"/>
    </row>
    <row r="628" spans="3:5" ht="13.2">
      <c r="C628" s="10"/>
      <c r="D628" s="10"/>
      <c r="E628" s="10"/>
    </row>
    <row r="629" spans="3:5" ht="13.2">
      <c r="C629" s="10"/>
      <c r="D629" s="10"/>
      <c r="E629" s="10"/>
    </row>
    <row r="630" spans="3:5" ht="13.2">
      <c r="C630" s="10"/>
      <c r="D630" s="10"/>
      <c r="E630" s="10"/>
    </row>
    <row r="631" spans="3:5" ht="13.2">
      <c r="C631" s="10"/>
      <c r="D631" s="10"/>
      <c r="E631" s="10"/>
    </row>
    <row r="632" spans="3:5" ht="13.2">
      <c r="C632" s="10"/>
      <c r="D632" s="10"/>
      <c r="E632" s="10"/>
    </row>
    <row r="633" spans="3:5" ht="13.2">
      <c r="C633" s="10"/>
      <c r="D633" s="10"/>
      <c r="E633" s="10"/>
    </row>
    <row r="634" spans="3:5" ht="13.2">
      <c r="C634" s="10"/>
      <c r="D634" s="10"/>
      <c r="E634" s="10"/>
    </row>
    <row r="635" spans="3:5" ht="13.2">
      <c r="C635" s="10"/>
      <c r="D635" s="10"/>
      <c r="E635" s="10"/>
    </row>
    <row r="636" spans="3:5" ht="13.2">
      <c r="C636" s="10"/>
      <c r="D636" s="10"/>
      <c r="E636" s="10"/>
    </row>
    <row r="637" spans="3:5" ht="13.2">
      <c r="C637" s="10"/>
      <c r="D637" s="10"/>
      <c r="E637" s="10"/>
    </row>
    <row r="638" spans="3:5" ht="13.2">
      <c r="C638" s="10"/>
      <c r="D638" s="10"/>
      <c r="E638" s="10"/>
    </row>
    <row r="639" spans="3:5" ht="13.2">
      <c r="C639" s="10"/>
      <c r="D639" s="10"/>
      <c r="E639" s="10"/>
    </row>
    <row r="640" spans="3:5" ht="13.2">
      <c r="C640" s="10"/>
      <c r="D640" s="10"/>
      <c r="E640" s="10"/>
    </row>
    <row r="641" spans="3:5" ht="13.2">
      <c r="C641" s="10"/>
      <c r="D641" s="10"/>
      <c r="E641" s="10"/>
    </row>
    <row r="642" spans="3:5" ht="13.2">
      <c r="C642" s="10"/>
      <c r="D642" s="10"/>
      <c r="E642" s="10"/>
    </row>
    <row r="643" spans="3:5" ht="13.2">
      <c r="C643" s="10"/>
      <c r="D643" s="10"/>
      <c r="E643" s="10"/>
    </row>
    <row r="644" spans="3:5" ht="13.2">
      <c r="C644" s="10"/>
      <c r="D644" s="10"/>
      <c r="E644" s="10"/>
    </row>
    <row r="645" spans="3:5" ht="13.2">
      <c r="C645" s="10"/>
      <c r="D645" s="10"/>
      <c r="E645" s="10"/>
    </row>
    <row r="646" spans="3:5" ht="13.2">
      <c r="C646" s="10"/>
      <c r="D646" s="10"/>
      <c r="E646" s="10"/>
    </row>
    <row r="647" spans="3:5" ht="13.2">
      <c r="C647" s="10"/>
      <c r="D647" s="10"/>
      <c r="E647" s="10"/>
    </row>
    <row r="648" spans="3:5" ht="13.2">
      <c r="C648" s="10"/>
      <c r="D648" s="10"/>
      <c r="E648" s="10"/>
    </row>
    <row r="649" spans="3:5" ht="13.2">
      <c r="C649" s="10"/>
      <c r="D649" s="10"/>
      <c r="E649" s="10"/>
    </row>
    <row r="650" spans="3:5" ht="13.2">
      <c r="C650" s="10"/>
      <c r="D650" s="10"/>
      <c r="E650" s="10"/>
    </row>
    <row r="651" spans="3:5" ht="13.2">
      <c r="C651" s="10"/>
      <c r="D651" s="10"/>
      <c r="E651" s="10"/>
    </row>
    <row r="652" spans="3:5" ht="13.2">
      <c r="C652" s="10"/>
      <c r="D652" s="10"/>
      <c r="E652" s="10"/>
    </row>
    <row r="653" spans="3:5" ht="13.2">
      <c r="C653" s="10"/>
      <c r="D653" s="10"/>
      <c r="E653" s="10"/>
    </row>
    <row r="654" spans="3:5" ht="13.2">
      <c r="C654" s="10"/>
      <c r="D654" s="10"/>
      <c r="E654" s="10"/>
    </row>
    <row r="655" spans="3:5" ht="13.2">
      <c r="C655" s="10"/>
      <c r="D655" s="10"/>
      <c r="E655" s="10"/>
    </row>
    <row r="656" spans="3:5" ht="13.2">
      <c r="C656" s="10"/>
      <c r="D656" s="10"/>
      <c r="E656" s="10"/>
    </row>
    <row r="657" spans="3:5" ht="13.2">
      <c r="C657" s="10"/>
      <c r="D657" s="10"/>
      <c r="E657" s="10"/>
    </row>
    <row r="658" spans="3:5" ht="13.2">
      <c r="C658" s="10"/>
      <c r="D658" s="10"/>
      <c r="E658" s="10"/>
    </row>
    <row r="659" spans="3:5" ht="13.2">
      <c r="C659" s="10"/>
      <c r="D659" s="10"/>
      <c r="E659" s="10"/>
    </row>
    <row r="660" spans="3:5" ht="13.2">
      <c r="C660" s="10"/>
      <c r="D660" s="10"/>
      <c r="E660" s="10"/>
    </row>
    <row r="661" spans="3:5" ht="13.2">
      <c r="C661" s="10"/>
      <c r="D661" s="10"/>
      <c r="E661" s="10"/>
    </row>
    <row r="662" spans="3:5" ht="13.2">
      <c r="C662" s="10"/>
      <c r="D662" s="10"/>
      <c r="E662" s="10"/>
    </row>
    <row r="663" spans="3:5" ht="13.2">
      <c r="C663" s="10"/>
      <c r="D663" s="10"/>
      <c r="E663" s="10"/>
    </row>
    <row r="664" spans="3:5" ht="13.2">
      <c r="C664" s="10"/>
      <c r="D664" s="10"/>
      <c r="E664" s="10"/>
    </row>
    <row r="665" spans="3:5" ht="13.2">
      <c r="C665" s="10"/>
      <c r="D665" s="10"/>
      <c r="E665" s="10"/>
    </row>
    <row r="666" spans="3:5" ht="13.2">
      <c r="C666" s="10"/>
      <c r="D666" s="10"/>
      <c r="E666" s="10"/>
    </row>
    <row r="667" spans="3:5" ht="13.2">
      <c r="C667" s="10"/>
      <c r="D667" s="10"/>
      <c r="E667" s="10"/>
    </row>
    <row r="668" spans="3:5" ht="13.2">
      <c r="C668" s="10"/>
      <c r="D668" s="10"/>
      <c r="E668" s="10"/>
    </row>
    <row r="669" spans="3:5" ht="13.2">
      <c r="C669" s="10"/>
      <c r="D669" s="10"/>
      <c r="E669" s="10"/>
    </row>
    <row r="670" spans="3:5" ht="13.2">
      <c r="C670" s="10"/>
      <c r="D670" s="10"/>
      <c r="E670" s="10"/>
    </row>
    <row r="671" spans="3:5" ht="13.2">
      <c r="C671" s="10"/>
      <c r="D671" s="10"/>
      <c r="E671" s="10"/>
    </row>
    <row r="672" spans="3:5" ht="13.2">
      <c r="C672" s="10"/>
      <c r="D672" s="10"/>
      <c r="E672" s="10"/>
    </row>
    <row r="673" spans="3:5" ht="13.2">
      <c r="C673" s="10"/>
      <c r="D673" s="10"/>
      <c r="E673" s="10"/>
    </row>
    <row r="674" spans="3:5" ht="13.2">
      <c r="C674" s="10"/>
      <c r="D674" s="10"/>
      <c r="E674" s="10"/>
    </row>
    <row r="675" spans="3:5" ht="13.2">
      <c r="C675" s="10"/>
      <c r="D675" s="10"/>
      <c r="E675" s="10"/>
    </row>
    <row r="676" spans="3:5" ht="13.2">
      <c r="C676" s="10"/>
      <c r="D676" s="10"/>
      <c r="E676" s="10"/>
    </row>
    <row r="677" spans="3:5" ht="13.2">
      <c r="C677" s="10"/>
      <c r="D677" s="10"/>
      <c r="E677" s="10"/>
    </row>
    <row r="678" spans="3:5" ht="13.2">
      <c r="C678" s="10"/>
      <c r="D678" s="10"/>
      <c r="E678" s="10"/>
    </row>
    <row r="679" spans="3:5" ht="13.2">
      <c r="C679" s="10"/>
      <c r="D679" s="10"/>
      <c r="E679" s="10"/>
    </row>
    <row r="680" spans="3:5" ht="13.2">
      <c r="C680" s="10"/>
      <c r="D680" s="10"/>
      <c r="E680" s="10"/>
    </row>
    <row r="681" spans="3:5" ht="13.2">
      <c r="C681" s="10"/>
      <c r="D681" s="10"/>
      <c r="E681" s="10"/>
    </row>
    <row r="682" spans="3:5" ht="13.2">
      <c r="C682" s="10"/>
      <c r="D682" s="10"/>
      <c r="E682" s="10"/>
    </row>
    <row r="683" spans="3:5" ht="13.2">
      <c r="C683" s="10"/>
      <c r="D683" s="10"/>
      <c r="E683" s="10"/>
    </row>
    <row r="684" spans="3:5" ht="13.2">
      <c r="C684" s="10"/>
      <c r="D684" s="10"/>
      <c r="E684" s="10"/>
    </row>
    <row r="685" spans="3:5" ht="13.2">
      <c r="C685" s="10"/>
      <c r="D685" s="10"/>
      <c r="E685" s="10"/>
    </row>
    <row r="686" spans="3:5" ht="13.2">
      <c r="C686" s="10"/>
      <c r="D686" s="10"/>
      <c r="E686" s="10"/>
    </row>
    <row r="687" spans="3:5" ht="13.2">
      <c r="C687" s="10"/>
      <c r="D687" s="10"/>
      <c r="E687" s="10"/>
    </row>
    <row r="688" spans="3:5" ht="13.2">
      <c r="C688" s="10"/>
      <c r="D688" s="10"/>
      <c r="E688" s="10"/>
    </row>
    <row r="689" spans="3:5" ht="13.2">
      <c r="C689" s="10"/>
      <c r="D689" s="10"/>
      <c r="E689" s="10"/>
    </row>
    <row r="690" spans="3:5" ht="13.2">
      <c r="C690" s="10"/>
      <c r="D690" s="10"/>
      <c r="E690" s="10"/>
    </row>
    <row r="691" spans="3:5" ht="13.2">
      <c r="C691" s="10"/>
      <c r="D691" s="10"/>
      <c r="E691" s="10"/>
    </row>
    <row r="692" spans="3:5" ht="13.2">
      <c r="C692" s="10"/>
      <c r="D692" s="10"/>
      <c r="E692" s="10"/>
    </row>
    <row r="693" spans="3:5" ht="13.2">
      <c r="C693" s="10"/>
      <c r="D693" s="10"/>
      <c r="E693" s="10"/>
    </row>
    <row r="694" spans="3:5" ht="13.2">
      <c r="C694" s="10"/>
      <c r="D694" s="10"/>
      <c r="E694" s="10"/>
    </row>
    <row r="695" spans="3:5" ht="13.2">
      <c r="C695" s="10"/>
      <c r="D695" s="10"/>
      <c r="E695" s="10"/>
    </row>
    <row r="696" spans="3:5" ht="13.2">
      <c r="C696" s="10"/>
      <c r="D696" s="10"/>
      <c r="E696" s="10"/>
    </row>
    <row r="697" spans="3:5" ht="13.2">
      <c r="C697" s="10"/>
      <c r="D697" s="10"/>
      <c r="E697" s="10"/>
    </row>
    <row r="698" spans="3:5" ht="13.2">
      <c r="C698" s="10"/>
      <c r="D698" s="10"/>
      <c r="E698" s="10"/>
    </row>
    <row r="699" spans="3:5" ht="13.2">
      <c r="C699" s="10"/>
      <c r="D699" s="10"/>
      <c r="E699" s="10"/>
    </row>
    <row r="700" spans="3:5" ht="13.2">
      <c r="C700" s="10"/>
      <c r="D700" s="10"/>
      <c r="E700" s="10"/>
    </row>
    <row r="701" spans="3:5" ht="13.2">
      <c r="C701" s="10"/>
      <c r="D701" s="10"/>
      <c r="E701" s="10"/>
    </row>
    <row r="702" spans="3:5" ht="13.2">
      <c r="C702" s="10"/>
      <c r="D702" s="10"/>
      <c r="E702" s="10"/>
    </row>
    <row r="703" spans="3:5" ht="13.2">
      <c r="C703" s="10"/>
      <c r="D703" s="10"/>
      <c r="E703" s="10"/>
    </row>
    <row r="704" spans="3:5" ht="13.2">
      <c r="C704" s="10"/>
      <c r="D704" s="10"/>
      <c r="E704" s="10"/>
    </row>
    <row r="705" spans="3:5" ht="13.2">
      <c r="C705" s="10"/>
      <c r="D705" s="10"/>
      <c r="E705" s="10"/>
    </row>
    <row r="706" spans="3:5" ht="13.2">
      <c r="C706" s="10"/>
      <c r="D706" s="10"/>
      <c r="E706" s="10"/>
    </row>
    <row r="707" spans="3:5" ht="13.2">
      <c r="C707" s="10"/>
      <c r="D707" s="10"/>
      <c r="E707" s="10"/>
    </row>
    <row r="708" spans="3:5" ht="13.2">
      <c r="C708" s="10"/>
      <c r="D708" s="10"/>
      <c r="E708" s="10"/>
    </row>
    <row r="709" spans="3:5" ht="13.2">
      <c r="C709" s="10"/>
      <c r="D709" s="10"/>
      <c r="E709" s="10"/>
    </row>
    <row r="710" spans="3:5" ht="13.2">
      <c r="C710" s="10"/>
      <c r="D710" s="10"/>
      <c r="E710" s="10"/>
    </row>
    <row r="711" spans="3:5" ht="13.2">
      <c r="C711" s="10"/>
      <c r="D711" s="10"/>
      <c r="E711" s="10"/>
    </row>
    <row r="712" spans="3:5" ht="13.2">
      <c r="C712" s="10"/>
      <c r="D712" s="10"/>
      <c r="E712" s="10"/>
    </row>
    <row r="713" spans="3:5" ht="13.2">
      <c r="C713" s="10"/>
      <c r="D713" s="10"/>
      <c r="E713" s="10"/>
    </row>
    <row r="714" spans="3:5" ht="13.2">
      <c r="C714" s="10"/>
      <c r="D714" s="10"/>
      <c r="E714" s="10"/>
    </row>
    <row r="715" spans="3:5" ht="13.2">
      <c r="C715" s="10"/>
      <c r="D715" s="10"/>
      <c r="E715" s="10"/>
    </row>
    <row r="716" spans="3:5" ht="13.2">
      <c r="C716" s="10"/>
      <c r="D716" s="10"/>
      <c r="E716" s="10"/>
    </row>
    <row r="717" spans="3:5" ht="13.2">
      <c r="C717" s="10"/>
      <c r="D717" s="10"/>
      <c r="E717" s="10"/>
    </row>
    <row r="718" spans="3:5" ht="13.2">
      <c r="C718" s="10"/>
      <c r="D718" s="10"/>
      <c r="E718" s="10"/>
    </row>
    <row r="719" spans="3:5" ht="13.2">
      <c r="C719" s="10"/>
      <c r="D719" s="10"/>
      <c r="E719" s="10"/>
    </row>
    <row r="720" spans="3:5" ht="13.2">
      <c r="C720" s="10"/>
      <c r="D720" s="10"/>
      <c r="E720" s="10"/>
    </row>
    <row r="721" spans="3:5" ht="13.2">
      <c r="C721" s="10"/>
      <c r="D721" s="10"/>
      <c r="E721" s="10"/>
    </row>
    <row r="722" spans="3:5" ht="13.2">
      <c r="C722" s="10"/>
      <c r="D722" s="10"/>
      <c r="E722" s="10"/>
    </row>
    <row r="723" spans="3:5" ht="13.2">
      <c r="C723" s="10"/>
      <c r="D723" s="10"/>
      <c r="E723" s="10"/>
    </row>
    <row r="724" spans="3:5" ht="13.2">
      <c r="C724" s="10"/>
      <c r="D724" s="10"/>
      <c r="E724" s="10"/>
    </row>
    <row r="725" spans="3:5" ht="13.2">
      <c r="C725" s="10"/>
      <c r="D725" s="10"/>
      <c r="E725" s="10"/>
    </row>
    <row r="726" spans="3:5" ht="13.2">
      <c r="C726" s="10"/>
      <c r="D726" s="10"/>
      <c r="E726" s="10"/>
    </row>
    <row r="727" spans="3:5" ht="13.2">
      <c r="C727" s="10"/>
      <c r="D727" s="10"/>
      <c r="E727" s="10"/>
    </row>
    <row r="728" spans="3:5" ht="13.2">
      <c r="C728" s="10"/>
      <c r="D728" s="10"/>
      <c r="E728" s="10"/>
    </row>
    <row r="729" spans="3:5" ht="13.2">
      <c r="C729" s="10"/>
      <c r="D729" s="10"/>
      <c r="E729" s="10"/>
    </row>
    <row r="730" spans="3:5" ht="13.2">
      <c r="C730" s="10"/>
      <c r="D730" s="10"/>
      <c r="E730" s="10"/>
    </row>
    <row r="731" spans="3:5" ht="13.2">
      <c r="C731" s="10"/>
      <c r="D731" s="10"/>
      <c r="E731" s="10"/>
    </row>
    <row r="732" spans="3:5" ht="13.2">
      <c r="C732" s="10"/>
      <c r="D732" s="10"/>
      <c r="E732" s="10"/>
    </row>
    <row r="733" spans="3:5" ht="13.2">
      <c r="C733" s="10"/>
      <c r="D733" s="10"/>
      <c r="E733" s="10"/>
    </row>
    <row r="734" spans="3:5" ht="13.2">
      <c r="C734" s="10"/>
      <c r="D734" s="10"/>
      <c r="E734" s="10"/>
    </row>
    <row r="735" spans="3:5" ht="13.2">
      <c r="C735" s="10"/>
      <c r="D735" s="10"/>
      <c r="E735" s="10"/>
    </row>
    <row r="736" spans="3:5" ht="13.2">
      <c r="C736" s="10"/>
      <c r="D736" s="10"/>
      <c r="E736" s="10"/>
    </row>
    <row r="737" spans="3:5" ht="13.2">
      <c r="C737" s="10"/>
      <c r="D737" s="10"/>
      <c r="E737" s="10"/>
    </row>
    <row r="738" spans="3:5" ht="13.2">
      <c r="C738" s="10"/>
      <c r="D738" s="10"/>
      <c r="E738" s="10"/>
    </row>
    <row r="739" spans="3:5" ht="13.2">
      <c r="C739" s="10"/>
      <c r="D739" s="10"/>
      <c r="E739" s="10"/>
    </row>
    <row r="740" spans="3:5" ht="13.2">
      <c r="C740" s="10"/>
      <c r="D740" s="10"/>
      <c r="E740" s="10"/>
    </row>
    <row r="741" spans="3:5" ht="13.2">
      <c r="C741" s="10"/>
      <c r="D741" s="10"/>
      <c r="E741" s="10"/>
    </row>
    <row r="742" spans="3:5" ht="13.2">
      <c r="C742" s="10"/>
      <c r="D742" s="10"/>
      <c r="E742" s="10"/>
    </row>
    <row r="743" spans="3:5" ht="13.2">
      <c r="C743" s="10"/>
      <c r="D743" s="10"/>
      <c r="E743" s="10"/>
    </row>
    <row r="744" spans="3:5" ht="13.2">
      <c r="C744" s="10"/>
      <c r="D744" s="10"/>
      <c r="E744" s="10"/>
    </row>
    <row r="745" spans="3:5" ht="13.2">
      <c r="C745" s="10"/>
      <c r="D745" s="10"/>
      <c r="E745" s="10"/>
    </row>
    <row r="746" spans="3:5" ht="13.2">
      <c r="C746" s="10"/>
      <c r="D746" s="10"/>
      <c r="E746" s="10"/>
    </row>
    <row r="747" spans="3:5" ht="13.2">
      <c r="C747" s="10"/>
      <c r="D747" s="10"/>
      <c r="E747" s="10"/>
    </row>
    <row r="748" spans="3:5" ht="13.2">
      <c r="C748" s="10"/>
      <c r="D748" s="10"/>
      <c r="E748" s="10"/>
    </row>
    <row r="749" spans="3:5" ht="13.2">
      <c r="C749" s="10"/>
      <c r="D749" s="10"/>
      <c r="E749" s="10"/>
    </row>
    <row r="750" spans="3:5" ht="13.2">
      <c r="C750" s="10"/>
      <c r="D750" s="10"/>
      <c r="E750" s="10"/>
    </row>
    <row r="751" spans="3:5" ht="13.2">
      <c r="C751" s="10"/>
      <c r="D751" s="10"/>
      <c r="E751" s="10"/>
    </row>
    <row r="752" spans="3:5" ht="13.2">
      <c r="C752" s="10"/>
      <c r="D752" s="10"/>
      <c r="E752" s="10"/>
    </row>
    <row r="753" spans="3:5" ht="13.2">
      <c r="C753" s="10"/>
      <c r="D753" s="10"/>
      <c r="E753" s="10"/>
    </row>
    <row r="754" spans="3:5" ht="13.2">
      <c r="C754" s="10"/>
      <c r="D754" s="10"/>
      <c r="E754" s="10"/>
    </row>
    <row r="755" spans="3:5" ht="13.2">
      <c r="C755" s="10"/>
      <c r="D755" s="10"/>
      <c r="E755" s="10"/>
    </row>
    <row r="756" spans="3:5" ht="13.2">
      <c r="C756" s="10"/>
      <c r="D756" s="10"/>
      <c r="E756" s="10"/>
    </row>
    <row r="757" spans="3:5" ht="13.2">
      <c r="C757" s="10"/>
      <c r="D757" s="10"/>
      <c r="E757" s="10"/>
    </row>
    <row r="758" spans="3:5" ht="13.2">
      <c r="C758" s="10"/>
      <c r="D758" s="10"/>
      <c r="E758" s="10"/>
    </row>
    <row r="759" spans="3:5" ht="13.2">
      <c r="C759" s="10"/>
      <c r="D759" s="10"/>
      <c r="E759" s="10"/>
    </row>
    <row r="760" spans="3:5" ht="13.2">
      <c r="C760" s="10"/>
      <c r="D760" s="10"/>
      <c r="E760" s="10"/>
    </row>
    <row r="761" spans="3:5" ht="13.2">
      <c r="C761" s="10"/>
      <c r="D761" s="10"/>
      <c r="E761" s="10"/>
    </row>
    <row r="762" spans="3:5" ht="13.2">
      <c r="C762" s="10"/>
      <c r="D762" s="10"/>
      <c r="E762" s="10"/>
    </row>
    <row r="763" spans="3:5" ht="13.2">
      <c r="C763" s="10"/>
      <c r="D763" s="10"/>
      <c r="E763" s="10"/>
    </row>
    <row r="764" spans="3:5" ht="13.2">
      <c r="C764" s="10"/>
      <c r="D764" s="10"/>
      <c r="E764" s="10"/>
    </row>
    <row r="765" spans="3:5" ht="13.2">
      <c r="C765" s="10"/>
      <c r="D765" s="10"/>
      <c r="E765" s="10"/>
    </row>
    <row r="766" spans="3:5" ht="13.2">
      <c r="C766" s="10"/>
      <c r="D766" s="10"/>
      <c r="E766" s="10"/>
    </row>
    <row r="767" spans="3:5" ht="13.2">
      <c r="C767" s="10"/>
      <c r="D767" s="10"/>
      <c r="E767" s="10"/>
    </row>
    <row r="768" spans="3:5" ht="13.2">
      <c r="C768" s="10"/>
      <c r="D768" s="10"/>
      <c r="E768" s="10"/>
    </row>
    <row r="769" spans="3:5" ht="13.2">
      <c r="C769" s="10"/>
      <c r="D769" s="10"/>
      <c r="E769" s="10"/>
    </row>
    <row r="770" spans="3:5" ht="13.2">
      <c r="C770" s="10"/>
      <c r="D770" s="10"/>
      <c r="E770" s="10"/>
    </row>
    <row r="771" spans="3:5" ht="13.2">
      <c r="C771" s="10"/>
      <c r="D771" s="10"/>
      <c r="E771" s="10"/>
    </row>
    <row r="772" spans="3:5" ht="13.2">
      <c r="C772" s="10"/>
      <c r="D772" s="10"/>
      <c r="E772" s="10"/>
    </row>
    <row r="773" spans="3:5" ht="13.2">
      <c r="C773" s="10"/>
      <c r="D773" s="10"/>
      <c r="E773" s="10"/>
    </row>
    <row r="774" spans="3:5" ht="13.2">
      <c r="C774" s="10"/>
      <c r="D774" s="10"/>
      <c r="E774" s="10"/>
    </row>
    <row r="775" spans="3:5" ht="13.2">
      <c r="C775" s="10"/>
      <c r="D775" s="10"/>
      <c r="E775" s="10"/>
    </row>
    <row r="776" spans="3:5" ht="13.2">
      <c r="C776" s="10"/>
      <c r="D776" s="10"/>
      <c r="E776" s="10"/>
    </row>
    <row r="777" spans="3:5" ht="13.2">
      <c r="C777" s="10"/>
      <c r="D777" s="10"/>
      <c r="E777" s="10"/>
    </row>
    <row r="778" spans="3:5" ht="13.2">
      <c r="C778" s="10"/>
      <c r="D778" s="10"/>
      <c r="E778" s="10"/>
    </row>
    <row r="779" spans="3:5" ht="13.2">
      <c r="C779" s="10"/>
      <c r="D779" s="10"/>
      <c r="E779" s="10"/>
    </row>
    <row r="780" spans="3:5" ht="13.2">
      <c r="C780" s="10"/>
      <c r="D780" s="10"/>
      <c r="E780" s="10"/>
    </row>
    <row r="781" spans="3:5" ht="13.2">
      <c r="C781" s="10"/>
      <c r="D781" s="10"/>
      <c r="E781" s="10"/>
    </row>
    <row r="782" spans="3:5" ht="13.2">
      <c r="C782" s="10"/>
      <c r="D782" s="10"/>
      <c r="E782" s="10"/>
    </row>
    <row r="783" spans="3:5" ht="13.2">
      <c r="C783" s="10"/>
      <c r="D783" s="10"/>
      <c r="E783" s="10"/>
    </row>
    <row r="784" spans="3:5" ht="13.2">
      <c r="C784" s="10"/>
      <c r="D784" s="10"/>
      <c r="E784" s="10"/>
    </row>
    <row r="785" spans="3:5" ht="13.2">
      <c r="C785" s="10"/>
      <c r="D785" s="10"/>
      <c r="E785" s="10"/>
    </row>
    <row r="786" spans="3:5" ht="13.2">
      <c r="C786" s="10"/>
      <c r="D786" s="10"/>
      <c r="E786" s="10"/>
    </row>
    <row r="787" spans="3:5" ht="13.2">
      <c r="C787" s="10"/>
      <c r="D787" s="10"/>
      <c r="E787" s="10"/>
    </row>
    <row r="788" spans="3:5" ht="13.2">
      <c r="C788" s="10"/>
      <c r="D788" s="10"/>
      <c r="E788" s="10"/>
    </row>
    <row r="789" spans="3:5" ht="13.2">
      <c r="C789" s="10"/>
      <c r="D789" s="10"/>
      <c r="E789" s="10"/>
    </row>
    <row r="790" spans="3:5" ht="13.2">
      <c r="C790" s="10"/>
      <c r="D790" s="10"/>
      <c r="E790" s="10"/>
    </row>
    <row r="791" spans="3:5" ht="13.2">
      <c r="C791" s="10"/>
      <c r="D791" s="10"/>
      <c r="E791" s="10"/>
    </row>
    <row r="792" spans="3:5" ht="13.2">
      <c r="C792" s="10"/>
      <c r="D792" s="10"/>
      <c r="E792" s="10"/>
    </row>
    <row r="793" spans="3:5" ht="13.2">
      <c r="C793" s="10"/>
      <c r="D793" s="10"/>
      <c r="E793" s="10"/>
    </row>
    <row r="794" spans="3:5" ht="13.2">
      <c r="C794" s="10"/>
      <c r="D794" s="10"/>
      <c r="E794" s="10"/>
    </row>
    <row r="795" spans="3:5" ht="13.2">
      <c r="C795" s="10"/>
      <c r="D795" s="10"/>
      <c r="E795" s="10"/>
    </row>
    <row r="796" spans="3:5" ht="13.2">
      <c r="C796" s="10"/>
      <c r="D796" s="10"/>
      <c r="E796" s="10"/>
    </row>
    <row r="797" spans="3:5" ht="13.2">
      <c r="C797" s="10"/>
      <c r="D797" s="10"/>
      <c r="E797" s="10"/>
    </row>
    <row r="798" spans="3:5" ht="13.2">
      <c r="C798" s="10"/>
      <c r="D798" s="10"/>
      <c r="E798" s="10"/>
    </row>
    <row r="799" spans="3:5" ht="13.2">
      <c r="C799" s="10"/>
      <c r="D799" s="10"/>
      <c r="E799" s="10"/>
    </row>
    <row r="800" spans="3:5" ht="13.2">
      <c r="C800" s="10"/>
      <c r="D800" s="10"/>
      <c r="E800" s="10"/>
    </row>
    <row r="801" spans="3:5" ht="13.2">
      <c r="C801" s="10"/>
      <c r="D801" s="10"/>
      <c r="E801" s="10"/>
    </row>
    <row r="802" spans="3:5" ht="13.2">
      <c r="C802" s="10"/>
      <c r="D802" s="10"/>
      <c r="E802" s="10"/>
    </row>
    <row r="803" spans="3:5" ht="13.2">
      <c r="C803" s="10"/>
      <c r="D803" s="10"/>
      <c r="E803" s="10"/>
    </row>
    <row r="804" spans="3:5" ht="13.2">
      <c r="C804" s="10"/>
      <c r="D804" s="10"/>
      <c r="E804" s="10"/>
    </row>
    <row r="805" spans="3:5" ht="13.2">
      <c r="C805" s="10"/>
      <c r="D805" s="10"/>
      <c r="E805" s="10"/>
    </row>
    <row r="806" spans="3:5" ht="13.2">
      <c r="C806" s="10"/>
      <c r="D806" s="10"/>
      <c r="E806" s="10"/>
    </row>
    <row r="807" spans="3:5" ht="13.2">
      <c r="C807" s="10"/>
      <c r="D807" s="10"/>
      <c r="E807" s="10"/>
    </row>
    <row r="808" spans="3:5" ht="13.2">
      <c r="C808" s="10"/>
      <c r="D808" s="10"/>
      <c r="E808" s="10"/>
    </row>
    <row r="809" spans="3:5" ht="13.2">
      <c r="C809" s="10"/>
      <c r="D809" s="10"/>
      <c r="E809" s="10"/>
    </row>
    <row r="810" spans="3:5" ht="13.2">
      <c r="C810" s="10"/>
      <c r="D810" s="10"/>
      <c r="E810" s="10"/>
    </row>
    <row r="811" spans="3:5" ht="13.2">
      <c r="C811" s="10"/>
      <c r="D811" s="10"/>
      <c r="E811" s="10"/>
    </row>
    <row r="812" spans="3:5" ht="13.2">
      <c r="C812" s="10"/>
      <c r="D812" s="10"/>
      <c r="E812" s="10"/>
    </row>
    <row r="813" spans="3:5" ht="13.2">
      <c r="C813" s="10"/>
      <c r="D813" s="10"/>
      <c r="E813" s="10"/>
    </row>
    <row r="814" spans="3:5" ht="13.2">
      <c r="C814" s="10"/>
      <c r="D814" s="10"/>
      <c r="E814" s="10"/>
    </row>
    <row r="815" spans="3:5" ht="13.2">
      <c r="C815" s="10"/>
      <c r="D815" s="10"/>
      <c r="E815" s="10"/>
    </row>
    <row r="816" spans="3:5" ht="13.2">
      <c r="C816" s="10"/>
      <c r="D816" s="10"/>
      <c r="E816" s="10"/>
    </row>
    <row r="817" spans="3:5" ht="13.2">
      <c r="C817" s="10"/>
      <c r="D817" s="10"/>
      <c r="E817" s="10"/>
    </row>
    <row r="818" spans="3:5" ht="13.2">
      <c r="C818" s="10"/>
      <c r="D818" s="10"/>
      <c r="E818" s="10"/>
    </row>
    <row r="819" spans="3:5" ht="13.2">
      <c r="C819" s="10"/>
      <c r="D819" s="10"/>
      <c r="E819" s="10"/>
    </row>
    <row r="820" spans="3:5" ht="13.2">
      <c r="C820" s="10"/>
      <c r="D820" s="10"/>
      <c r="E820" s="10"/>
    </row>
    <row r="821" spans="3:5" ht="13.2">
      <c r="C821" s="10"/>
      <c r="D821" s="10"/>
      <c r="E821" s="10"/>
    </row>
    <row r="822" spans="3:5" ht="13.2">
      <c r="C822" s="10"/>
      <c r="D822" s="10"/>
      <c r="E822" s="10"/>
    </row>
    <row r="823" spans="3:5" ht="13.2">
      <c r="C823" s="10"/>
      <c r="D823" s="10"/>
      <c r="E823" s="10"/>
    </row>
    <row r="824" spans="3:5" ht="13.2">
      <c r="C824" s="10"/>
      <c r="D824" s="10"/>
      <c r="E824" s="10"/>
    </row>
    <row r="825" spans="3:5" ht="13.2">
      <c r="C825" s="10"/>
      <c r="D825" s="10"/>
      <c r="E825" s="10"/>
    </row>
    <row r="826" spans="3:5" ht="13.2">
      <c r="C826" s="10"/>
      <c r="D826" s="10"/>
      <c r="E826" s="10"/>
    </row>
    <row r="827" spans="3:5" ht="13.2">
      <c r="C827" s="10"/>
      <c r="D827" s="10"/>
      <c r="E827" s="10"/>
    </row>
    <row r="828" spans="3:5" ht="13.2">
      <c r="C828" s="10"/>
      <c r="D828" s="10"/>
      <c r="E828" s="10"/>
    </row>
    <row r="829" spans="3:5" ht="13.2">
      <c r="C829" s="10"/>
      <c r="D829" s="10"/>
      <c r="E829" s="10"/>
    </row>
    <row r="830" spans="3:5" ht="13.2">
      <c r="C830" s="10"/>
      <c r="D830" s="10"/>
      <c r="E830" s="10"/>
    </row>
    <row r="831" spans="3:5" ht="13.2">
      <c r="C831" s="10"/>
      <c r="D831" s="10"/>
      <c r="E831" s="10"/>
    </row>
    <row r="832" spans="3:5" ht="13.2">
      <c r="C832" s="10"/>
      <c r="D832" s="10"/>
      <c r="E832" s="10"/>
    </row>
    <row r="833" spans="3:5" ht="13.2">
      <c r="C833" s="10"/>
      <c r="D833" s="10"/>
      <c r="E833" s="10"/>
    </row>
    <row r="834" spans="3:5" ht="13.2">
      <c r="C834" s="10"/>
      <c r="D834" s="10"/>
      <c r="E834" s="10"/>
    </row>
    <row r="835" spans="3:5" ht="13.2">
      <c r="C835" s="10"/>
      <c r="D835" s="10"/>
      <c r="E835" s="10"/>
    </row>
    <row r="836" spans="3:5" ht="13.2">
      <c r="C836" s="10"/>
      <c r="D836" s="10"/>
      <c r="E836" s="10"/>
    </row>
    <row r="837" spans="3:5" ht="13.2">
      <c r="C837" s="10"/>
      <c r="D837" s="10"/>
      <c r="E837" s="10"/>
    </row>
    <row r="838" spans="3:5" ht="13.2">
      <c r="C838" s="10"/>
      <c r="D838" s="10"/>
      <c r="E838" s="10"/>
    </row>
    <row r="839" spans="3:5" ht="13.2">
      <c r="C839" s="10"/>
      <c r="D839" s="10"/>
      <c r="E839" s="10"/>
    </row>
    <row r="840" spans="3:5" ht="13.2">
      <c r="C840" s="10"/>
      <c r="D840" s="10"/>
      <c r="E840" s="10"/>
    </row>
    <row r="841" spans="3:5" ht="13.2">
      <c r="C841" s="10"/>
      <c r="D841" s="10"/>
      <c r="E841" s="10"/>
    </row>
    <row r="842" spans="3:5" ht="13.2">
      <c r="C842" s="10"/>
      <c r="D842" s="10"/>
      <c r="E842" s="10"/>
    </row>
    <row r="843" spans="3:5" ht="13.2">
      <c r="C843" s="10"/>
      <c r="D843" s="10"/>
      <c r="E843" s="10"/>
    </row>
    <row r="844" spans="3:5" ht="13.2">
      <c r="C844" s="10"/>
      <c r="D844" s="10"/>
      <c r="E844" s="10"/>
    </row>
    <row r="845" spans="3:5" ht="13.2">
      <c r="C845" s="10"/>
      <c r="D845" s="10"/>
      <c r="E845" s="10"/>
    </row>
    <row r="846" spans="3:5" ht="13.2">
      <c r="C846" s="10"/>
      <c r="D846" s="10"/>
      <c r="E846" s="10"/>
    </row>
    <row r="847" spans="3:5" ht="13.2">
      <c r="C847" s="10"/>
      <c r="D847" s="10"/>
      <c r="E847" s="10"/>
    </row>
    <row r="848" spans="3:5" ht="13.2">
      <c r="C848" s="10"/>
      <c r="D848" s="10"/>
      <c r="E848" s="10"/>
    </row>
    <row r="849" spans="3:5" ht="13.2">
      <c r="C849" s="10"/>
      <c r="D849" s="10"/>
      <c r="E849" s="10"/>
    </row>
    <row r="850" spans="3:5" ht="13.2">
      <c r="C850" s="10"/>
      <c r="D850" s="10"/>
      <c r="E850" s="10"/>
    </row>
    <row r="851" spans="3:5" ht="13.2">
      <c r="C851" s="10"/>
      <c r="D851" s="10"/>
      <c r="E851" s="10"/>
    </row>
    <row r="852" spans="3:5" ht="13.2">
      <c r="C852" s="10"/>
      <c r="D852" s="10"/>
      <c r="E852" s="10"/>
    </row>
    <row r="853" spans="3:5" ht="13.2">
      <c r="C853" s="10"/>
      <c r="D853" s="10"/>
      <c r="E853" s="10"/>
    </row>
    <row r="854" spans="3:5" ht="13.2">
      <c r="C854" s="10"/>
      <c r="D854" s="10"/>
      <c r="E854" s="10"/>
    </row>
    <row r="855" spans="3:5" ht="13.2">
      <c r="C855" s="10"/>
      <c r="D855" s="10"/>
      <c r="E855" s="10"/>
    </row>
    <row r="856" spans="3:5" ht="13.2">
      <c r="C856" s="10"/>
      <c r="D856" s="10"/>
      <c r="E856" s="10"/>
    </row>
    <row r="857" spans="3:5" ht="13.2">
      <c r="C857" s="10"/>
      <c r="D857" s="10"/>
      <c r="E857" s="10"/>
    </row>
    <row r="858" spans="3:5" ht="13.2">
      <c r="C858" s="10"/>
      <c r="D858" s="10"/>
      <c r="E858" s="10"/>
    </row>
    <row r="859" spans="3:5" ht="13.2">
      <c r="C859" s="10"/>
      <c r="D859" s="10"/>
      <c r="E859" s="10"/>
    </row>
    <row r="860" spans="3:5" ht="13.2">
      <c r="C860" s="10"/>
      <c r="D860" s="10"/>
      <c r="E860" s="10"/>
    </row>
    <row r="861" spans="3:5" ht="13.2">
      <c r="C861" s="10"/>
      <c r="D861" s="10"/>
      <c r="E861" s="10"/>
    </row>
    <row r="862" spans="3:5" ht="13.2">
      <c r="C862" s="10"/>
      <c r="D862" s="10"/>
      <c r="E862" s="10"/>
    </row>
    <row r="863" spans="3:5" ht="13.2">
      <c r="C863" s="10"/>
      <c r="D863" s="10"/>
      <c r="E863" s="10"/>
    </row>
    <row r="864" spans="3:5" ht="13.2">
      <c r="C864" s="10"/>
      <c r="D864" s="10"/>
      <c r="E864" s="10"/>
    </row>
    <row r="865" spans="3:5" ht="13.2">
      <c r="C865" s="10"/>
      <c r="D865" s="10"/>
      <c r="E865" s="10"/>
    </row>
    <row r="866" spans="3:5" ht="13.2">
      <c r="C866" s="10"/>
      <c r="D866" s="10"/>
      <c r="E866" s="10"/>
    </row>
    <row r="867" spans="3:5" ht="13.2">
      <c r="C867" s="10"/>
      <c r="D867" s="10"/>
      <c r="E867" s="10"/>
    </row>
    <row r="868" spans="3:5" ht="13.2">
      <c r="C868" s="10"/>
      <c r="D868" s="10"/>
      <c r="E868" s="10"/>
    </row>
    <row r="869" spans="3:5" ht="13.2">
      <c r="C869" s="10"/>
      <c r="D869" s="10"/>
      <c r="E869" s="10"/>
    </row>
    <row r="870" spans="3:5" ht="13.2">
      <c r="C870" s="10"/>
      <c r="D870" s="10"/>
      <c r="E870" s="10"/>
    </row>
    <row r="871" spans="3:5" ht="13.2">
      <c r="C871" s="10"/>
      <c r="D871" s="10"/>
      <c r="E871" s="10"/>
    </row>
    <row r="872" spans="3:5" ht="13.2">
      <c r="C872" s="10"/>
      <c r="D872" s="10"/>
      <c r="E872" s="10"/>
    </row>
    <row r="873" spans="3:5" ht="13.2">
      <c r="C873" s="10"/>
      <c r="D873" s="10"/>
      <c r="E873" s="10"/>
    </row>
    <row r="874" spans="3:5" ht="13.2">
      <c r="C874" s="10"/>
      <c r="D874" s="10"/>
      <c r="E874" s="10"/>
    </row>
    <row r="875" spans="3:5" ht="13.2">
      <c r="C875" s="10"/>
      <c r="D875" s="10"/>
      <c r="E875" s="10"/>
    </row>
    <row r="876" spans="3:5" ht="13.2">
      <c r="C876" s="10"/>
      <c r="D876" s="10"/>
      <c r="E876" s="10"/>
    </row>
    <row r="877" spans="3:5" ht="13.2">
      <c r="C877" s="10"/>
      <c r="D877" s="10"/>
      <c r="E877" s="10"/>
    </row>
    <row r="878" spans="3:5" ht="13.2">
      <c r="C878" s="10"/>
      <c r="D878" s="10"/>
      <c r="E878" s="10"/>
    </row>
    <row r="879" spans="3:5" ht="13.2">
      <c r="C879" s="10"/>
      <c r="D879" s="10"/>
      <c r="E879" s="10"/>
    </row>
    <row r="880" spans="3:5" ht="13.2">
      <c r="C880" s="10"/>
      <c r="D880" s="10"/>
      <c r="E880" s="10"/>
    </row>
    <row r="881" spans="3:5" ht="13.2">
      <c r="C881" s="10"/>
      <c r="D881" s="10"/>
      <c r="E881" s="10"/>
    </row>
    <row r="882" spans="3:5" ht="13.2">
      <c r="C882" s="10"/>
      <c r="D882" s="10"/>
      <c r="E882" s="10"/>
    </row>
    <row r="883" spans="3:5" ht="13.2">
      <c r="C883" s="10"/>
      <c r="D883" s="10"/>
      <c r="E883" s="10"/>
    </row>
    <row r="884" spans="3:5" ht="13.2">
      <c r="C884" s="10"/>
      <c r="D884" s="10"/>
      <c r="E884" s="10"/>
    </row>
    <row r="885" spans="3:5" ht="13.2">
      <c r="C885" s="10"/>
      <c r="D885" s="10"/>
      <c r="E885" s="10"/>
    </row>
    <row r="886" spans="3:5" ht="13.2">
      <c r="C886" s="10"/>
      <c r="D886" s="10"/>
      <c r="E886" s="10"/>
    </row>
    <row r="887" spans="3:5" ht="13.2">
      <c r="C887" s="10"/>
      <c r="D887" s="10"/>
      <c r="E887" s="10"/>
    </row>
    <row r="888" spans="3:5" ht="13.2">
      <c r="C888" s="10"/>
      <c r="D888" s="10"/>
      <c r="E888" s="10"/>
    </row>
    <row r="889" spans="3:5" ht="13.2">
      <c r="C889" s="10"/>
      <c r="D889" s="10"/>
      <c r="E889" s="10"/>
    </row>
    <row r="890" spans="3:5" ht="13.2">
      <c r="C890" s="10"/>
      <c r="D890" s="10"/>
      <c r="E890" s="10"/>
    </row>
    <row r="891" spans="3:5" ht="13.2">
      <c r="C891" s="10"/>
      <c r="D891" s="10"/>
      <c r="E891" s="10"/>
    </row>
    <row r="892" spans="3:5" ht="13.2">
      <c r="C892" s="10"/>
      <c r="D892" s="10"/>
      <c r="E892" s="10"/>
    </row>
    <row r="893" spans="3:5" ht="13.2">
      <c r="C893" s="10"/>
      <c r="D893" s="10"/>
      <c r="E893" s="10"/>
    </row>
    <row r="894" spans="3:5" ht="13.2">
      <c r="C894" s="10"/>
      <c r="D894" s="10"/>
      <c r="E894" s="10"/>
    </row>
    <row r="895" spans="3:5" ht="13.2">
      <c r="C895" s="10"/>
      <c r="D895" s="10"/>
      <c r="E895" s="10"/>
    </row>
    <row r="896" spans="3:5" ht="13.2">
      <c r="C896" s="10"/>
      <c r="D896" s="10"/>
      <c r="E896" s="10"/>
    </row>
    <row r="897" spans="3:5" ht="13.2">
      <c r="C897" s="10"/>
      <c r="D897" s="10"/>
      <c r="E897" s="10"/>
    </row>
    <row r="898" spans="3:5" ht="13.2">
      <c r="C898" s="10"/>
      <c r="D898" s="10"/>
      <c r="E898" s="10"/>
    </row>
    <row r="899" spans="3:5" ht="13.2">
      <c r="C899" s="10"/>
      <c r="D899" s="10"/>
      <c r="E899" s="10"/>
    </row>
    <row r="900" spans="3:5" ht="13.2">
      <c r="C900" s="10"/>
      <c r="D900" s="10"/>
      <c r="E900" s="10"/>
    </row>
    <row r="901" spans="3:5" ht="13.2">
      <c r="C901" s="10"/>
      <c r="D901" s="10"/>
      <c r="E901" s="10"/>
    </row>
    <row r="902" spans="3:5" ht="13.2">
      <c r="C902" s="10"/>
      <c r="D902" s="10"/>
      <c r="E902" s="10"/>
    </row>
    <row r="903" spans="3:5" ht="13.2">
      <c r="C903" s="10"/>
      <c r="D903" s="10"/>
      <c r="E903" s="10"/>
    </row>
    <row r="904" spans="3:5" ht="13.2">
      <c r="C904" s="10"/>
      <c r="D904" s="10"/>
      <c r="E904" s="10"/>
    </row>
    <row r="905" spans="3:5" ht="13.2">
      <c r="C905" s="10"/>
      <c r="D905" s="10"/>
      <c r="E905" s="10"/>
    </row>
    <row r="906" spans="3:5" ht="13.2">
      <c r="C906" s="10"/>
      <c r="D906" s="10"/>
      <c r="E906" s="10"/>
    </row>
    <row r="907" spans="3:5" ht="13.2">
      <c r="C907" s="10"/>
      <c r="D907" s="10"/>
      <c r="E907" s="10"/>
    </row>
    <row r="908" spans="3:5" ht="13.2">
      <c r="C908" s="10"/>
      <c r="D908" s="10"/>
      <c r="E908" s="10"/>
    </row>
    <row r="909" spans="3:5" ht="13.2">
      <c r="C909" s="10"/>
      <c r="D909" s="10"/>
      <c r="E909" s="10"/>
    </row>
    <row r="910" spans="3:5" ht="13.2">
      <c r="C910" s="10"/>
      <c r="D910" s="10"/>
      <c r="E910" s="10"/>
    </row>
    <row r="911" spans="3:5" ht="13.2">
      <c r="C911" s="10"/>
      <c r="D911" s="10"/>
      <c r="E911" s="10"/>
    </row>
    <row r="912" spans="3:5" ht="13.2">
      <c r="C912" s="10"/>
      <c r="D912" s="10"/>
      <c r="E912" s="10"/>
    </row>
    <row r="913" spans="3:5" ht="13.2">
      <c r="C913" s="10"/>
      <c r="D913" s="10"/>
      <c r="E913" s="10"/>
    </row>
    <row r="914" spans="3:5" ht="13.2">
      <c r="C914" s="10"/>
      <c r="D914" s="10"/>
      <c r="E914" s="10"/>
    </row>
    <row r="915" spans="3:5" ht="13.2">
      <c r="C915" s="10"/>
      <c r="D915" s="10"/>
      <c r="E915" s="10"/>
    </row>
    <row r="916" spans="3:5" ht="13.2">
      <c r="C916" s="10"/>
      <c r="D916" s="10"/>
      <c r="E916" s="10"/>
    </row>
    <row r="917" spans="3:5" ht="13.2">
      <c r="C917" s="10"/>
      <c r="D917" s="10"/>
      <c r="E917" s="10"/>
    </row>
    <row r="918" spans="3:5" ht="13.2">
      <c r="C918" s="10"/>
      <c r="D918" s="10"/>
      <c r="E918" s="10"/>
    </row>
    <row r="919" spans="3:5" ht="13.2">
      <c r="C919" s="10"/>
      <c r="D919" s="10"/>
      <c r="E919" s="10"/>
    </row>
    <row r="920" spans="3:5" ht="13.2">
      <c r="C920" s="10"/>
      <c r="D920" s="10"/>
      <c r="E920" s="10"/>
    </row>
    <row r="921" spans="3:5" ht="13.2">
      <c r="C921" s="10"/>
      <c r="D921" s="10"/>
      <c r="E921" s="10"/>
    </row>
    <row r="922" spans="3:5" ht="13.2">
      <c r="C922" s="10"/>
      <c r="D922" s="10"/>
      <c r="E922" s="10"/>
    </row>
    <row r="923" spans="3:5" ht="13.2">
      <c r="C923" s="10"/>
      <c r="D923" s="10"/>
      <c r="E923" s="10"/>
    </row>
    <row r="924" spans="3:5" ht="13.2">
      <c r="C924" s="10"/>
      <c r="D924" s="10"/>
      <c r="E924" s="10"/>
    </row>
    <row r="925" spans="3:5" ht="13.2">
      <c r="C925" s="10"/>
      <c r="D925" s="10"/>
      <c r="E925" s="10"/>
    </row>
    <row r="926" spans="3:5" ht="13.2">
      <c r="C926" s="10"/>
      <c r="D926" s="10"/>
      <c r="E926" s="10"/>
    </row>
    <row r="927" spans="3:5" ht="13.2">
      <c r="C927" s="10"/>
      <c r="D927" s="10"/>
      <c r="E927" s="10"/>
    </row>
    <row r="928" spans="3:5" ht="13.2">
      <c r="C928" s="10"/>
      <c r="D928" s="10"/>
      <c r="E928" s="10"/>
    </row>
    <row r="929" spans="3:5" ht="13.2">
      <c r="C929" s="10"/>
      <c r="D929" s="10"/>
      <c r="E929" s="10"/>
    </row>
    <row r="930" spans="3:5" ht="13.2">
      <c r="C930" s="10"/>
      <c r="D930" s="10"/>
      <c r="E930" s="10"/>
    </row>
    <row r="931" spans="3:5" ht="13.2">
      <c r="C931" s="10"/>
      <c r="D931" s="10"/>
      <c r="E931" s="10"/>
    </row>
    <row r="932" spans="3:5" ht="13.2">
      <c r="C932" s="10"/>
      <c r="D932" s="10"/>
      <c r="E932" s="10"/>
    </row>
    <row r="933" spans="3:5" ht="13.2">
      <c r="C933" s="10"/>
      <c r="D933" s="10"/>
      <c r="E933" s="10"/>
    </row>
    <row r="934" spans="3:5" ht="13.2">
      <c r="C934" s="10"/>
      <c r="D934" s="10"/>
      <c r="E934" s="10"/>
    </row>
    <row r="935" spans="3:5" ht="13.2">
      <c r="C935" s="10"/>
      <c r="D935" s="10"/>
      <c r="E935" s="10"/>
    </row>
  </sheetData>
  <mergeCells count="14">
    <mergeCell ref="AH1:AH2"/>
    <mergeCell ref="AI1:AI2"/>
    <mergeCell ref="A1:A2"/>
    <mergeCell ref="B1:B2"/>
    <mergeCell ref="C1:C2"/>
    <mergeCell ref="D1:D2"/>
    <mergeCell ref="E1:E2"/>
    <mergeCell ref="G1:K1"/>
    <mergeCell ref="L1:O1"/>
    <mergeCell ref="P1:S1"/>
    <mergeCell ref="T1:W1"/>
    <mergeCell ref="X1:AB1"/>
    <mergeCell ref="AC1:AF1"/>
    <mergeCell ref="AG1:AG2"/>
  </mergeCells>
  <dataValidations count="1">
    <dataValidation type="list" allowBlank="1" showErrorMessage="1" sqref="F3:AF38 F39:J39 L39:AF39 F40:AF122 F123:AG127 I128:AF128" xr:uid="{00000000-0002-0000-0200-000000000000}">
      <formula1>"አለ/ች,ቀሪ,ፍቃድ"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FF"/>
    <outlinePr summaryBelow="0" summaryRight="0"/>
  </sheetPr>
  <dimension ref="A1:AF1000"/>
  <sheetViews>
    <sheetView workbookViewId="0">
      <pane xSplit="2" ySplit="3" topLeftCell="C9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6640625" defaultRowHeight="15.75" customHeight="1"/>
  <cols>
    <col min="2" max="2" width="24.44140625" customWidth="1"/>
    <col min="3" max="3" width="10" customWidth="1"/>
    <col min="4" max="4" width="9.33203125" customWidth="1"/>
    <col min="6" max="6" width="11" customWidth="1"/>
    <col min="7" max="7" width="8.88671875" customWidth="1"/>
    <col min="8" max="8" width="8.33203125" customWidth="1"/>
    <col min="9" max="9" width="9.44140625" customWidth="1"/>
  </cols>
  <sheetData>
    <row r="1" spans="1:32">
      <c r="E1" s="10"/>
    </row>
    <row r="2" spans="1:32" ht="15.75" customHeight="1">
      <c r="A2" s="329" t="s">
        <v>0</v>
      </c>
      <c r="B2" s="329" t="s">
        <v>1</v>
      </c>
      <c r="C2" s="330" t="s">
        <v>5</v>
      </c>
      <c r="D2" s="330" t="s">
        <v>7</v>
      </c>
      <c r="E2" s="330" t="s">
        <v>8</v>
      </c>
      <c r="F2" s="322" t="s">
        <v>2</v>
      </c>
      <c r="G2" s="311"/>
      <c r="H2" s="311"/>
      <c r="I2" s="312"/>
      <c r="J2" s="325" t="s">
        <v>6</v>
      </c>
      <c r="K2" s="311"/>
      <c r="L2" s="311"/>
      <c r="M2" s="311"/>
      <c r="N2" s="312"/>
      <c r="O2" s="325" t="s">
        <v>10</v>
      </c>
      <c r="P2" s="311"/>
      <c r="Q2" s="311"/>
      <c r="R2" s="311"/>
      <c r="S2" s="325" t="s">
        <v>12</v>
      </c>
      <c r="T2" s="311"/>
      <c r="U2" s="311"/>
      <c r="V2" s="311"/>
      <c r="W2" s="325" t="s">
        <v>15</v>
      </c>
      <c r="X2" s="311"/>
      <c r="Y2" s="311"/>
      <c r="Z2" s="311"/>
      <c r="AA2" s="14" t="s">
        <v>17</v>
      </c>
      <c r="AB2" s="22"/>
      <c r="AC2" s="325"/>
      <c r="AD2" s="311"/>
      <c r="AE2" s="311"/>
      <c r="AF2" s="312"/>
    </row>
    <row r="3" spans="1:32" ht="15.75" customHeight="1">
      <c r="A3" s="314"/>
      <c r="B3" s="314"/>
      <c r="C3" s="328"/>
      <c r="D3" s="328"/>
      <c r="E3" s="328"/>
      <c r="F3" s="29">
        <v>4</v>
      </c>
      <c r="G3" s="21">
        <v>11</v>
      </c>
      <c r="H3" s="21">
        <v>18</v>
      </c>
      <c r="I3" s="21">
        <v>25</v>
      </c>
      <c r="J3" s="21">
        <v>2</v>
      </c>
      <c r="K3" s="21">
        <v>9</v>
      </c>
      <c r="L3" s="24">
        <v>16</v>
      </c>
      <c r="M3" s="24">
        <v>23</v>
      </c>
      <c r="N3" s="24">
        <v>30</v>
      </c>
      <c r="O3" s="24">
        <v>7</v>
      </c>
      <c r="P3" s="24">
        <v>14</v>
      </c>
      <c r="Q3" s="24">
        <v>21</v>
      </c>
      <c r="R3" s="24">
        <v>28</v>
      </c>
      <c r="S3" s="24">
        <v>5</v>
      </c>
      <c r="T3" s="24">
        <v>12</v>
      </c>
      <c r="U3" s="27">
        <v>19</v>
      </c>
      <c r="V3" s="27">
        <v>26</v>
      </c>
      <c r="W3" s="24">
        <v>3</v>
      </c>
      <c r="X3" s="24">
        <v>10</v>
      </c>
      <c r="Y3" s="24">
        <v>17</v>
      </c>
      <c r="Z3" s="21">
        <v>24</v>
      </c>
      <c r="AA3" s="21">
        <v>1</v>
      </c>
      <c r="AB3" s="21"/>
      <c r="AC3" s="38"/>
      <c r="AD3" s="38"/>
      <c r="AE3" s="38"/>
      <c r="AF3" s="38"/>
    </row>
    <row r="4" spans="1:32">
      <c r="A4" s="41" t="s">
        <v>24</v>
      </c>
      <c r="B4" s="43" t="s">
        <v>25</v>
      </c>
      <c r="C4" s="41">
        <v>21</v>
      </c>
      <c r="D4" s="41" t="s">
        <v>26</v>
      </c>
      <c r="E4" s="41">
        <v>956440433</v>
      </c>
      <c r="F4" s="45"/>
      <c r="G4" s="42"/>
      <c r="H4" s="42"/>
      <c r="I4" s="42" t="s">
        <v>27</v>
      </c>
      <c r="J4" s="42"/>
      <c r="K4" s="42"/>
      <c r="L4" s="42" t="s">
        <v>27</v>
      </c>
      <c r="M4" s="44"/>
      <c r="N4" s="42"/>
      <c r="O4" s="42" t="s">
        <v>27</v>
      </c>
      <c r="P4" s="42" t="s">
        <v>27</v>
      </c>
      <c r="Q4" s="44"/>
      <c r="R4" s="44"/>
      <c r="S4" s="42"/>
      <c r="T4" s="42"/>
      <c r="U4" s="44"/>
      <c r="V4" s="44"/>
      <c r="W4" s="44"/>
      <c r="X4" s="44"/>
      <c r="Y4" s="44"/>
      <c r="Z4" s="44"/>
      <c r="AA4" s="44"/>
      <c r="AB4" s="44"/>
      <c r="AC4" s="44"/>
      <c r="AD4" s="42"/>
      <c r="AE4" s="44"/>
      <c r="AF4" s="44"/>
    </row>
    <row r="5" spans="1:32">
      <c r="A5" s="41" t="s">
        <v>31</v>
      </c>
      <c r="B5" s="53" t="s">
        <v>33</v>
      </c>
      <c r="C5" s="41">
        <v>19</v>
      </c>
      <c r="D5" s="41" t="s">
        <v>35</v>
      </c>
      <c r="E5" s="41">
        <v>903206441</v>
      </c>
      <c r="F5" s="45"/>
      <c r="G5" s="42"/>
      <c r="H5" s="42"/>
      <c r="I5" s="42"/>
      <c r="J5" s="42"/>
      <c r="K5" s="42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</row>
    <row r="6" spans="1:32">
      <c r="A6" s="41" t="s">
        <v>38</v>
      </c>
      <c r="B6" s="53" t="s">
        <v>39</v>
      </c>
      <c r="C6" s="41">
        <v>19</v>
      </c>
      <c r="D6" s="41" t="s">
        <v>35</v>
      </c>
      <c r="E6" s="41">
        <v>910806845</v>
      </c>
      <c r="F6" s="45"/>
      <c r="G6" s="42" t="s">
        <v>27</v>
      </c>
      <c r="H6" s="42" t="s">
        <v>27</v>
      </c>
      <c r="I6" s="42" t="s">
        <v>27</v>
      </c>
      <c r="J6" s="42" t="s">
        <v>27</v>
      </c>
      <c r="K6" s="42"/>
      <c r="L6" s="44"/>
      <c r="M6" s="44"/>
      <c r="N6" s="42"/>
      <c r="O6" s="44"/>
      <c r="P6" s="44"/>
      <c r="Q6" s="44"/>
      <c r="R6" s="42" t="s">
        <v>27</v>
      </c>
      <c r="S6" s="44"/>
      <c r="T6" s="44"/>
      <c r="U6" s="44"/>
      <c r="V6" s="44"/>
      <c r="W6" s="44"/>
      <c r="X6" s="44"/>
      <c r="Y6" s="42"/>
      <c r="Z6" s="44"/>
      <c r="AA6" s="44"/>
      <c r="AB6" s="44"/>
      <c r="AC6" s="44"/>
      <c r="AD6" s="42"/>
      <c r="AE6" s="44"/>
      <c r="AF6" s="44"/>
    </row>
    <row r="7" spans="1:32">
      <c r="A7" s="41" t="s">
        <v>42</v>
      </c>
      <c r="B7" s="53" t="s">
        <v>43</v>
      </c>
      <c r="C7" s="41">
        <v>22</v>
      </c>
      <c r="D7" s="41" t="s">
        <v>35</v>
      </c>
      <c r="E7" s="55">
        <v>983357644</v>
      </c>
      <c r="F7" s="45"/>
      <c r="G7" s="42"/>
      <c r="H7" s="42"/>
      <c r="I7" s="42"/>
      <c r="J7" s="42" t="s">
        <v>27</v>
      </c>
      <c r="K7" s="42"/>
      <c r="L7" s="44"/>
      <c r="M7" s="44"/>
      <c r="N7" s="44"/>
      <c r="O7" s="44"/>
      <c r="P7" s="44"/>
      <c r="Q7" s="44"/>
      <c r="R7" s="42" t="s">
        <v>27</v>
      </c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</row>
    <row r="8" spans="1:32">
      <c r="A8" s="41" t="s">
        <v>46</v>
      </c>
      <c r="B8" s="53" t="s">
        <v>47</v>
      </c>
      <c r="C8" s="56"/>
      <c r="D8" s="41" t="s">
        <v>35</v>
      </c>
      <c r="E8" s="57">
        <v>973794398</v>
      </c>
      <c r="F8" s="45"/>
      <c r="G8" s="42"/>
      <c r="H8" s="42"/>
      <c r="I8" s="42"/>
      <c r="J8" s="42"/>
      <c r="K8" s="42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2"/>
      <c r="AE8" s="44"/>
      <c r="AF8" s="44"/>
    </row>
    <row r="9" spans="1:32">
      <c r="A9" s="41" t="s">
        <v>52</v>
      </c>
      <c r="B9" s="53" t="s">
        <v>53</v>
      </c>
      <c r="C9" s="56"/>
      <c r="D9" s="41" t="s">
        <v>35</v>
      </c>
      <c r="E9" s="58">
        <v>977349820</v>
      </c>
      <c r="F9" s="45"/>
      <c r="G9" s="42"/>
      <c r="H9" s="42"/>
      <c r="I9" s="42"/>
      <c r="J9" s="42"/>
      <c r="K9" s="42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</row>
    <row r="10" spans="1:32">
      <c r="A10" s="41" t="s">
        <v>58</v>
      </c>
      <c r="B10" s="53" t="s">
        <v>59</v>
      </c>
      <c r="C10" s="56"/>
      <c r="D10" s="56"/>
      <c r="E10" s="59">
        <v>972854952</v>
      </c>
      <c r="F10" s="45"/>
      <c r="G10" s="42"/>
      <c r="H10" s="42"/>
      <c r="I10" s="42"/>
      <c r="J10" s="42"/>
      <c r="K10" s="42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</row>
    <row r="11" spans="1:32">
      <c r="A11" s="41" t="s">
        <v>64</v>
      </c>
      <c r="B11" s="53" t="s">
        <v>65</v>
      </c>
      <c r="C11" s="41">
        <v>23</v>
      </c>
      <c r="D11" s="41" t="s">
        <v>35</v>
      </c>
      <c r="E11" s="41">
        <v>938848647</v>
      </c>
      <c r="F11" s="45"/>
      <c r="G11" s="42" t="s">
        <v>27</v>
      </c>
      <c r="H11" s="42" t="s">
        <v>27</v>
      </c>
      <c r="I11" s="42"/>
      <c r="J11" s="42" t="s">
        <v>27</v>
      </c>
      <c r="K11" s="42"/>
      <c r="L11" s="42"/>
      <c r="M11" s="42"/>
      <c r="N11" s="42"/>
      <c r="O11" s="42"/>
      <c r="P11" s="44"/>
      <c r="Q11" s="42"/>
      <c r="R11" s="42"/>
      <c r="S11" s="42"/>
      <c r="T11" s="42"/>
      <c r="U11" s="44"/>
      <c r="V11" s="44"/>
      <c r="W11" s="42"/>
      <c r="X11" s="42"/>
      <c r="Y11" s="44"/>
      <c r="Z11" s="42"/>
      <c r="AA11" s="44"/>
      <c r="AB11" s="44"/>
      <c r="AC11" s="42"/>
      <c r="AD11" s="44"/>
      <c r="AE11" s="44"/>
      <c r="AF11" s="44"/>
    </row>
    <row r="12" spans="1:32">
      <c r="A12" s="41" t="s">
        <v>68</v>
      </c>
      <c r="B12" s="53" t="s">
        <v>69</v>
      </c>
      <c r="C12" s="56"/>
      <c r="D12" s="41" t="s">
        <v>35</v>
      </c>
      <c r="E12" s="58">
        <v>973838836</v>
      </c>
      <c r="F12" s="45"/>
      <c r="G12" s="42"/>
      <c r="H12" s="42"/>
      <c r="I12" s="42"/>
      <c r="J12" s="42"/>
      <c r="K12" s="42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</row>
    <row r="13" spans="1:32">
      <c r="A13" s="41" t="s">
        <v>74</v>
      </c>
      <c r="B13" s="53" t="s">
        <v>75</v>
      </c>
      <c r="C13" s="41">
        <v>27</v>
      </c>
      <c r="D13" s="41" t="s">
        <v>35</v>
      </c>
      <c r="E13" s="41">
        <v>932690379</v>
      </c>
      <c r="F13" s="45"/>
      <c r="G13" s="42"/>
      <c r="H13" s="42"/>
      <c r="I13" s="42"/>
      <c r="J13" s="42"/>
      <c r="K13" s="42"/>
      <c r="L13" s="42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</row>
    <row r="14" spans="1:32">
      <c r="A14" s="41" t="s">
        <v>80</v>
      </c>
      <c r="B14" s="53" t="s">
        <v>81</v>
      </c>
      <c r="C14" s="56"/>
      <c r="D14" s="41" t="s">
        <v>35</v>
      </c>
      <c r="E14" s="57">
        <v>944113844</v>
      </c>
      <c r="F14" s="45"/>
      <c r="G14" s="42"/>
      <c r="H14" s="42"/>
      <c r="I14" s="42"/>
      <c r="J14" s="42"/>
      <c r="K14" s="42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</row>
    <row r="15" spans="1:32">
      <c r="A15" s="41" t="s">
        <v>84</v>
      </c>
      <c r="B15" s="53" t="s">
        <v>86</v>
      </c>
      <c r="C15" s="56"/>
      <c r="D15" s="41" t="s">
        <v>35</v>
      </c>
      <c r="E15" s="59">
        <v>965851185</v>
      </c>
      <c r="F15" s="45"/>
      <c r="G15" s="42"/>
      <c r="H15" s="42"/>
      <c r="I15" s="42"/>
      <c r="J15" s="42"/>
      <c r="K15" s="42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</row>
    <row r="16" spans="1:32">
      <c r="A16" s="41" t="s">
        <v>90</v>
      </c>
      <c r="B16" s="53" t="s">
        <v>91</v>
      </c>
      <c r="C16" s="60">
        <v>26</v>
      </c>
      <c r="D16" s="61" t="s">
        <v>26</v>
      </c>
      <c r="E16" s="62">
        <v>946622395</v>
      </c>
      <c r="F16" s="45"/>
      <c r="G16" s="42" t="s">
        <v>19</v>
      </c>
      <c r="H16" s="42" t="s">
        <v>19</v>
      </c>
      <c r="I16" s="42" t="s">
        <v>19</v>
      </c>
      <c r="J16" s="42" t="s">
        <v>27</v>
      </c>
      <c r="K16" s="42"/>
      <c r="L16" s="44"/>
      <c r="M16" s="44"/>
      <c r="N16" s="44"/>
      <c r="O16" s="42" t="s">
        <v>27</v>
      </c>
      <c r="P16" s="42"/>
      <c r="Q16" s="44"/>
      <c r="R16" s="44"/>
      <c r="S16" s="44"/>
      <c r="T16" s="44"/>
      <c r="U16" s="44"/>
      <c r="V16" s="44"/>
      <c r="W16" s="44"/>
      <c r="X16" s="42"/>
      <c r="Y16" s="42"/>
      <c r="Z16" s="42"/>
      <c r="AA16" s="44"/>
      <c r="AB16" s="44"/>
      <c r="AC16" s="44"/>
      <c r="AD16" s="44"/>
      <c r="AE16" s="44"/>
      <c r="AF16" s="44"/>
    </row>
    <row r="17" spans="1:32">
      <c r="A17" s="41" t="s">
        <v>98</v>
      </c>
      <c r="B17" s="53" t="s">
        <v>99</v>
      </c>
      <c r="C17" s="41">
        <v>24</v>
      </c>
      <c r="D17" s="41" t="s">
        <v>26</v>
      </c>
      <c r="E17" s="41">
        <v>909539851</v>
      </c>
      <c r="F17" s="45"/>
      <c r="G17" s="42"/>
      <c r="H17" s="42"/>
      <c r="I17" s="42"/>
      <c r="J17" s="42"/>
      <c r="K17" s="42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2"/>
      <c r="AA17" s="44"/>
      <c r="AB17" s="44"/>
      <c r="AC17" s="44"/>
      <c r="AD17" s="44"/>
      <c r="AE17" s="44"/>
      <c r="AF17" s="44"/>
    </row>
    <row r="18" spans="1:32">
      <c r="A18" s="41" t="s">
        <v>104</v>
      </c>
      <c r="B18" s="53" t="s">
        <v>105</v>
      </c>
      <c r="C18" s="56"/>
      <c r="D18" s="41" t="s">
        <v>35</v>
      </c>
      <c r="E18" s="41">
        <v>911446913</v>
      </c>
      <c r="F18" s="45"/>
      <c r="G18" s="42"/>
      <c r="H18" s="42" t="s">
        <v>27</v>
      </c>
      <c r="I18" s="42" t="s">
        <v>27</v>
      </c>
      <c r="J18" s="42" t="s">
        <v>27</v>
      </c>
      <c r="K18" s="42" t="s">
        <v>27</v>
      </c>
      <c r="L18" s="44"/>
      <c r="M18" s="44"/>
      <c r="N18" s="44"/>
      <c r="O18" s="42" t="s">
        <v>27</v>
      </c>
      <c r="P18" s="44"/>
      <c r="Q18" s="44"/>
      <c r="R18" s="42" t="s">
        <v>27</v>
      </c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</row>
    <row r="19" spans="1:32">
      <c r="A19" s="41" t="s">
        <v>108</v>
      </c>
      <c r="B19" s="53" t="s">
        <v>109</v>
      </c>
      <c r="C19" s="56"/>
      <c r="D19" s="41" t="s">
        <v>35</v>
      </c>
      <c r="E19" s="41">
        <v>997169556</v>
      </c>
      <c r="F19" s="45"/>
      <c r="G19" s="42"/>
      <c r="H19" s="42"/>
      <c r="I19" s="42"/>
      <c r="J19" s="42"/>
      <c r="K19" s="42"/>
      <c r="L19" s="44"/>
      <c r="M19" s="42"/>
      <c r="N19" s="42"/>
      <c r="O19" s="42"/>
      <c r="P19" s="44"/>
      <c r="Q19" s="42"/>
      <c r="R19" s="42"/>
      <c r="S19" s="44"/>
      <c r="T19" s="42"/>
      <c r="U19" s="42"/>
      <c r="V19" s="44"/>
      <c r="W19" s="42"/>
      <c r="X19" s="42"/>
      <c r="Y19" s="44"/>
      <c r="Z19" s="44"/>
      <c r="AA19" s="44"/>
      <c r="AB19" s="44"/>
      <c r="AC19" s="44"/>
      <c r="AD19" s="42"/>
      <c r="AE19" s="44"/>
      <c r="AF19" s="44"/>
    </row>
    <row r="20" spans="1:32">
      <c r="A20" s="41" t="s">
        <v>113</v>
      </c>
      <c r="B20" s="53" t="s">
        <v>114</v>
      </c>
      <c r="C20" s="60">
        <v>25</v>
      </c>
      <c r="D20" s="61" t="s">
        <v>35</v>
      </c>
      <c r="E20" s="62">
        <v>963777371</v>
      </c>
      <c r="F20" s="45"/>
      <c r="G20" s="42"/>
      <c r="H20" s="42"/>
      <c r="I20" s="42" t="s">
        <v>27</v>
      </c>
      <c r="J20" s="42" t="s">
        <v>27</v>
      </c>
      <c r="K20" s="42"/>
      <c r="L20" s="44"/>
      <c r="M20" s="44"/>
      <c r="N20" s="44"/>
      <c r="O20" s="44"/>
      <c r="P20" s="44"/>
      <c r="Q20" s="44"/>
      <c r="R20" s="42" t="s">
        <v>27</v>
      </c>
      <c r="S20" s="44"/>
      <c r="T20" s="42"/>
      <c r="U20" s="44"/>
      <c r="V20" s="44"/>
      <c r="W20" s="42"/>
      <c r="X20" s="42"/>
      <c r="Y20" s="42"/>
      <c r="Z20" s="42"/>
      <c r="AA20" s="44"/>
      <c r="AB20" s="44"/>
      <c r="AC20" s="44"/>
      <c r="AD20" s="44"/>
      <c r="AE20" s="44"/>
      <c r="AF20" s="44"/>
    </row>
    <row r="21" spans="1:32">
      <c r="A21" s="41" t="s">
        <v>119</v>
      </c>
      <c r="B21" s="53" t="s">
        <v>120</v>
      </c>
      <c r="C21" s="56"/>
      <c r="D21" s="41" t="s">
        <v>35</v>
      </c>
      <c r="E21" s="56"/>
      <c r="F21" s="45"/>
      <c r="G21" s="42" t="s">
        <v>27</v>
      </c>
      <c r="H21" s="42" t="s">
        <v>27</v>
      </c>
      <c r="I21" s="42" t="s">
        <v>27</v>
      </c>
      <c r="J21" s="42" t="s">
        <v>27</v>
      </c>
      <c r="K21" s="42"/>
      <c r="L21" s="44"/>
      <c r="M21" s="44"/>
      <c r="N21" s="44"/>
      <c r="O21" s="44"/>
      <c r="P21" s="42" t="s">
        <v>27</v>
      </c>
      <c r="Q21" s="44"/>
      <c r="R21" s="42" t="s">
        <v>27</v>
      </c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2"/>
      <c r="AE21" s="44"/>
      <c r="AF21" s="44"/>
    </row>
    <row r="22" spans="1:32">
      <c r="A22" s="41" t="s">
        <v>125</v>
      </c>
      <c r="B22" s="53" t="s">
        <v>126</v>
      </c>
      <c r="C22" s="41">
        <v>25</v>
      </c>
      <c r="D22" s="41" t="s">
        <v>35</v>
      </c>
      <c r="E22" s="41">
        <v>942371124</v>
      </c>
      <c r="F22" s="45"/>
      <c r="G22" s="42"/>
      <c r="H22" s="42"/>
      <c r="I22" s="42"/>
      <c r="J22" s="42"/>
      <c r="K22" s="42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</row>
    <row r="23" spans="1:32">
      <c r="A23" s="41" t="s">
        <v>129</v>
      </c>
      <c r="B23" s="53" t="s">
        <v>130</v>
      </c>
      <c r="C23" s="60">
        <v>23</v>
      </c>
      <c r="D23" s="61" t="s">
        <v>26</v>
      </c>
      <c r="E23" s="62">
        <v>987076362</v>
      </c>
      <c r="F23" s="45"/>
      <c r="G23" s="42"/>
      <c r="H23" s="42" t="s">
        <v>27</v>
      </c>
      <c r="I23" s="42"/>
      <c r="J23" s="42"/>
      <c r="K23" s="42"/>
      <c r="L23" s="44"/>
      <c r="M23" s="44"/>
      <c r="N23" s="42"/>
      <c r="O23" s="42" t="s">
        <v>27</v>
      </c>
      <c r="P23" s="42"/>
      <c r="Q23" s="44"/>
      <c r="R23" s="42" t="s">
        <v>27</v>
      </c>
      <c r="S23" s="42" t="s">
        <v>27</v>
      </c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</row>
    <row r="24" spans="1:32">
      <c r="A24" s="41" t="s">
        <v>135</v>
      </c>
      <c r="B24" s="53" t="s">
        <v>136</v>
      </c>
      <c r="C24" s="60">
        <v>26</v>
      </c>
      <c r="D24" s="63" t="s">
        <v>26</v>
      </c>
      <c r="E24" s="62">
        <v>920630565</v>
      </c>
      <c r="F24" s="45"/>
      <c r="G24" s="42"/>
      <c r="H24" s="42"/>
      <c r="I24" s="42"/>
      <c r="J24" s="42"/>
      <c r="K24" s="42"/>
      <c r="L24" s="44"/>
      <c r="M24" s="44"/>
      <c r="N24" s="44"/>
      <c r="O24" s="42" t="s">
        <v>27</v>
      </c>
      <c r="P24" s="44"/>
      <c r="Q24" s="44"/>
      <c r="R24" s="42" t="s">
        <v>27</v>
      </c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</row>
    <row r="25" spans="1:32">
      <c r="A25" s="41" t="s">
        <v>139</v>
      </c>
      <c r="B25" s="53" t="s">
        <v>140</v>
      </c>
      <c r="C25" s="56"/>
      <c r="D25" s="41" t="s">
        <v>35</v>
      </c>
      <c r="E25" s="58">
        <v>930229980</v>
      </c>
      <c r="F25" s="45"/>
      <c r="G25" s="42"/>
      <c r="H25" s="42"/>
      <c r="I25" s="42"/>
      <c r="J25" s="42"/>
      <c r="K25" s="42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</row>
    <row r="26" spans="1:32">
      <c r="A26" s="41" t="s">
        <v>143</v>
      </c>
      <c r="B26" s="53" t="s">
        <v>144</v>
      </c>
      <c r="C26" s="56"/>
      <c r="D26" s="41" t="s">
        <v>35</v>
      </c>
      <c r="E26" s="56"/>
      <c r="F26" s="45"/>
      <c r="G26" s="42"/>
      <c r="H26" s="42"/>
      <c r="I26" s="42"/>
      <c r="J26" s="42"/>
      <c r="K26" s="42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</row>
    <row r="27" spans="1:32">
      <c r="A27" s="41" t="s">
        <v>149</v>
      </c>
      <c r="B27" s="53" t="s">
        <v>150</v>
      </c>
      <c r="C27" s="41">
        <v>24</v>
      </c>
      <c r="D27" s="41" t="s">
        <v>35</v>
      </c>
      <c r="E27" s="41">
        <v>954161350</v>
      </c>
      <c r="F27" s="45"/>
      <c r="G27" s="42"/>
      <c r="H27" s="42"/>
      <c r="I27" s="42" t="s">
        <v>27</v>
      </c>
      <c r="J27" s="42" t="s">
        <v>27</v>
      </c>
      <c r="K27" s="42"/>
      <c r="L27" s="44"/>
      <c r="M27" s="44"/>
      <c r="N27" s="42"/>
      <c r="O27" s="44"/>
      <c r="P27" s="44"/>
      <c r="Q27" s="44"/>
      <c r="R27" s="42" t="s">
        <v>27</v>
      </c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>
      <c r="A28" s="41" t="s">
        <v>153</v>
      </c>
      <c r="B28" s="53" t="s">
        <v>154</v>
      </c>
      <c r="C28" s="60">
        <v>22</v>
      </c>
      <c r="D28" s="61" t="s">
        <v>26</v>
      </c>
      <c r="E28" s="62">
        <v>919245284</v>
      </c>
      <c r="F28" s="45"/>
      <c r="G28" s="42"/>
      <c r="H28" s="42"/>
      <c r="I28" s="42" t="s">
        <v>27</v>
      </c>
      <c r="J28" s="42" t="s">
        <v>27</v>
      </c>
      <c r="K28" s="42"/>
      <c r="L28" s="44"/>
      <c r="M28" s="44"/>
      <c r="N28" s="44"/>
      <c r="O28" s="44"/>
      <c r="P28" s="42" t="s">
        <v>27</v>
      </c>
      <c r="Q28" s="44"/>
      <c r="R28" s="42" t="s">
        <v>27</v>
      </c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2"/>
      <c r="AD28" s="44"/>
      <c r="AE28" s="44"/>
      <c r="AF28" s="44"/>
    </row>
    <row r="29" spans="1:32">
      <c r="A29" s="41" t="s">
        <v>159</v>
      </c>
      <c r="B29" s="53" t="s">
        <v>160</v>
      </c>
      <c r="C29" s="60">
        <v>26</v>
      </c>
      <c r="D29" s="61" t="s">
        <v>26</v>
      </c>
      <c r="E29" s="62">
        <v>912019091</v>
      </c>
      <c r="F29" s="45"/>
      <c r="G29" s="42" t="s">
        <v>27</v>
      </c>
      <c r="H29" s="42"/>
      <c r="I29" s="42" t="s">
        <v>27</v>
      </c>
      <c r="J29" s="42" t="s">
        <v>27</v>
      </c>
      <c r="K29" s="42"/>
      <c r="L29" s="44"/>
      <c r="M29" s="44"/>
      <c r="N29" s="44"/>
      <c r="O29" s="42" t="s">
        <v>27</v>
      </c>
      <c r="P29" s="44"/>
      <c r="Q29" s="42"/>
      <c r="R29" s="44"/>
      <c r="S29" s="44"/>
      <c r="T29" s="44"/>
      <c r="U29" s="44"/>
      <c r="V29" s="44"/>
      <c r="W29" s="44"/>
      <c r="X29" s="42"/>
      <c r="Y29" s="42"/>
      <c r="Z29" s="42"/>
      <c r="AA29" s="44"/>
      <c r="AB29" s="44"/>
      <c r="AC29" s="44"/>
      <c r="AD29" s="44"/>
      <c r="AE29" s="44"/>
      <c r="AF29" s="44"/>
    </row>
    <row r="30" spans="1:32">
      <c r="A30" s="41" t="s">
        <v>165</v>
      </c>
      <c r="B30" s="53" t="s">
        <v>166</v>
      </c>
      <c r="C30" s="56"/>
      <c r="D30" s="41" t="s">
        <v>26</v>
      </c>
      <c r="E30" s="56"/>
      <c r="F30" s="45"/>
      <c r="G30" s="42"/>
      <c r="H30" s="42"/>
      <c r="I30" s="42"/>
      <c r="J30" s="42"/>
      <c r="K30" s="42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>
      <c r="A31" s="41" t="s">
        <v>171</v>
      </c>
      <c r="B31" s="53" t="s">
        <v>172</v>
      </c>
      <c r="C31" s="41">
        <v>25</v>
      </c>
      <c r="D31" s="41" t="s">
        <v>26</v>
      </c>
      <c r="E31" s="41">
        <v>941558553</v>
      </c>
      <c r="F31" s="45"/>
      <c r="G31" s="42" t="s">
        <v>27</v>
      </c>
      <c r="H31" s="42" t="s">
        <v>27</v>
      </c>
      <c r="I31" s="42" t="s">
        <v>27</v>
      </c>
      <c r="J31" s="42" t="s">
        <v>27</v>
      </c>
      <c r="K31" s="42" t="s">
        <v>27</v>
      </c>
      <c r="L31" s="42" t="s">
        <v>27</v>
      </c>
      <c r="M31" s="44"/>
      <c r="N31" s="44"/>
      <c r="O31" s="44"/>
      <c r="P31" s="42" t="s">
        <v>27</v>
      </c>
      <c r="Q31" s="44"/>
      <c r="R31" s="44"/>
      <c r="S31" s="44"/>
      <c r="T31" s="44"/>
      <c r="U31" s="44"/>
      <c r="V31" s="44"/>
      <c r="W31" s="44"/>
      <c r="X31" s="44"/>
      <c r="Y31" s="42"/>
      <c r="Z31" s="44"/>
      <c r="AA31" s="44"/>
      <c r="AB31" s="44"/>
      <c r="AC31" s="44"/>
      <c r="AD31" s="42"/>
      <c r="AE31" s="44"/>
      <c r="AF31" s="44"/>
    </row>
    <row r="32" spans="1:32">
      <c r="A32" s="41" t="s">
        <v>177</v>
      </c>
      <c r="B32" s="53" t="s">
        <v>178</v>
      </c>
      <c r="C32" s="41">
        <v>24</v>
      </c>
      <c r="D32" s="41" t="s">
        <v>35</v>
      </c>
      <c r="E32" s="41">
        <v>962187064</v>
      </c>
      <c r="F32" s="45"/>
      <c r="G32" s="42" t="s">
        <v>27</v>
      </c>
      <c r="H32" s="42"/>
      <c r="I32" s="42" t="s">
        <v>27</v>
      </c>
      <c r="J32" s="42" t="s">
        <v>27</v>
      </c>
      <c r="K32" s="42"/>
      <c r="L32" s="44"/>
      <c r="M32" s="44"/>
      <c r="N32" s="44"/>
      <c r="O32" s="42" t="s">
        <v>27</v>
      </c>
      <c r="P32" s="44"/>
      <c r="Q32" s="44"/>
      <c r="R32" s="44"/>
      <c r="S32" s="44"/>
      <c r="T32" s="44"/>
      <c r="U32" s="44"/>
      <c r="V32" s="44"/>
      <c r="W32" s="42" t="s">
        <v>27</v>
      </c>
      <c r="X32" s="42" t="s">
        <v>27</v>
      </c>
      <c r="Y32" s="42" t="s">
        <v>27</v>
      </c>
      <c r="Z32" s="42"/>
      <c r="AA32" s="44"/>
      <c r="AB32" s="44"/>
      <c r="AC32" s="44"/>
      <c r="AD32" s="44"/>
      <c r="AE32" s="44"/>
      <c r="AF32" s="44"/>
    </row>
    <row r="33" spans="1:32">
      <c r="A33" s="41" t="s">
        <v>183</v>
      </c>
      <c r="B33" s="53" t="s">
        <v>184</v>
      </c>
      <c r="C33" s="56"/>
      <c r="D33" s="41" t="s">
        <v>35</v>
      </c>
      <c r="E33" s="41">
        <v>940161141</v>
      </c>
      <c r="F33" s="45"/>
      <c r="G33" s="42"/>
      <c r="H33" s="42" t="s">
        <v>112</v>
      </c>
      <c r="I33" s="42" t="s">
        <v>27</v>
      </c>
      <c r="J33" s="42" t="s">
        <v>27</v>
      </c>
      <c r="K33" s="42"/>
      <c r="L33" s="42" t="s">
        <v>27</v>
      </c>
      <c r="M33" s="44"/>
      <c r="N33" s="42"/>
      <c r="O33" s="42" t="s">
        <v>27</v>
      </c>
      <c r="P33" s="44"/>
      <c r="Q33" s="44"/>
      <c r="R33" s="42" t="s">
        <v>27</v>
      </c>
      <c r="S33" s="44"/>
      <c r="T33" s="42" t="s">
        <v>27</v>
      </c>
      <c r="U33" s="44"/>
      <c r="V33" s="44"/>
      <c r="W33" s="44"/>
      <c r="X33" s="42"/>
      <c r="Y33" s="42" t="s">
        <v>27</v>
      </c>
      <c r="Z33" s="42"/>
      <c r="AA33" s="44"/>
      <c r="AB33" s="44"/>
      <c r="AC33" s="44"/>
      <c r="AD33" s="42"/>
      <c r="AE33" s="44"/>
      <c r="AF33" s="44"/>
    </row>
    <row r="34" spans="1:32" ht="13.8">
      <c r="A34" s="41" t="s">
        <v>189</v>
      </c>
      <c r="B34" s="53" t="s">
        <v>190</v>
      </c>
      <c r="C34" s="65">
        <v>24</v>
      </c>
      <c r="D34" s="66" t="s">
        <v>35</v>
      </c>
      <c r="E34" s="67">
        <v>924229931</v>
      </c>
      <c r="F34" s="45"/>
      <c r="G34" s="42"/>
      <c r="H34" s="42"/>
      <c r="I34" s="42"/>
      <c r="J34" s="42"/>
      <c r="K34" s="42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13.8">
      <c r="A35" s="41" t="s">
        <v>195</v>
      </c>
      <c r="B35" s="53" t="s">
        <v>198</v>
      </c>
      <c r="C35" s="65">
        <v>24</v>
      </c>
      <c r="D35" s="66" t="s">
        <v>35</v>
      </c>
      <c r="E35" s="67">
        <v>924229931</v>
      </c>
      <c r="F35" s="45"/>
      <c r="G35" s="42"/>
      <c r="H35" s="42"/>
      <c r="I35" s="42"/>
      <c r="J35" s="42"/>
      <c r="K35" s="42"/>
      <c r="L35" s="44"/>
      <c r="M35" s="44"/>
      <c r="N35" s="44"/>
      <c r="O35" s="44"/>
      <c r="P35" s="44"/>
      <c r="Q35" s="44"/>
      <c r="R35" s="42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13.8">
      <c r="A36" s="41" t="s">
        <v>203</v>
      </c>
      <c r="B36" s="53" t="s">
        <v>204</v>
      </c>
      <c r="C36" s="56"/>
      <c r="D36" s="41" t="s">
        <v>26</v>
      </c>
      <c r="E36" s="68">
        <v>953421272</v>
      </c>
      <c r="F36" s="45"/>
      <c r="G36" s="42"/>
      <c r="H36" s="42" t="s">
        <v>27</v>
      </c>
      <c r="I36" s="42"/>
      <c r="J36" s="42"/>
      <c r="K36" s="42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2"/>
      <c r="Y36" s="42"/>
      <c r="Z36" s="42"/>
      <c r="AA36" s="44"/>
      <c r="AB36" s="44"/>
      <c r="AC36" s="44"/>
      <c r="AD36" s="44"/>
      <c r="AE36" s="44"/>
      <c r="AF36" s="44"/>
    </row>
    <row r="37" spans="1:32" ht="13.8">
      <c r="A37" s="41" t="s">
        <v>209</v>
      </c>
      <c r="B37" s="53" t="s">
        <v>210</v>
      </c>
      <c r="C37" s="41">
        <v>19</v>
      </c>
      <c r="D37" s="41" t="s">
        <v>35</v>
      </c>
      <c r="E37" s="41">
        <v>990051191</v>
      </c>
      <c r="F37" s="45"/>
      <c r="G37" s="42"/>
      <c r="H37" s="42"/>
      <c r="I37" s="42"/>
      <c r="J37" s="42"/>
      <c r="K37" s="42"/>
      <c r="L37" s="44"/>
      <c r="M37" s="44"/>
      <c r="N37" s="42"/>
      <c r="O37" s="42"/>
      <c r="P37" s="44"/>
      <c r="Q37" s="44"/>
      <c r="R37" s="42" t="s">
        <v>27</v>
      </c>
      <c r="S37" s="44"/>
      <c r="T37" s="44"/>
      <c r="U37" s="44"/>
      <c r="V37" s="44"/>
      <c r="W37" s="44"/>
      <c r="X37" s="44"/>
      <c r="Y37" s="42"/>
      <c r="Z37" s="42"/>
      <c r="AA37" s="44"/>
      <c r="AB37" s="44"/>
      <c r="AC37" s="44"/>
      <c r="AD37" s="44"/>
      <c r="AE37" s="44"/>
      <c r="AF37" s="44"/>
    </row>
    <row r="38" spans="1:32" ht="13.8">
      <c r="A38" s="41" t="s">
        <v>213</v>
      </c>
      <c r="B38" s="53" t="s">
        <v>214</v>
      </c>
      <c r="C38" s="41">
        <v>20</v>
      </c>
      <c r="D38" s="41" t="s">
        <v>26</v>
      </c>
      <c r="E38" s="58">
        <v>953117489</v>
      </c>
      <c r="F38" s="45"/>
      <c r="G38" s="42" t="s">
        <v>27</v>
      </c>
      <c r="H38" s="42"/>
      <c r="I38" s="42"/>
      <c r="J38" s="42"/>
      <c r="K38" s="42"/>
      <c r="L38" s="44"/>
      <c r="M38" s="44"/>
      <c r="N38" s="42" t="s">
        <v>27</v>
      </c>
      <c r="O38" s="42" t="s">
        <v>27</v>
      </c>
      <c r="P38" s="44"/>
      <c r="Q38" s="44"/>
      <c r="R38" s="44"/>
      <c r="S38" s="44"/>
      <c r="T38" s="44"/>
      <c r="U38" s="44"/>
      <c r="V38" s="44"/>
      <c r="W38" s="44"/>
      <c r="X38" s="44"/>
      <c r="Y38" s="42"/>
      <c r="Z38" s="42"/>
      <c r="AA38" s="44"/>
      <c r="AB38" s="44"/>
      <c r="AC38" s="44"/>
      <c r="AD38" s="44"/>
      <c r="AE38" s="44"/>
      <c r="AF38" s="44"/>
    </row>
    <row r="39" spans="1:32" ht="13.8">
      <c r="A39" s="41" t="s">
        <v>219</v>
      </c>
      <c r="B39" s="53" t="s">
        <v>220</v>
      </c>
      <c r="C39" s="56"/>
      <c r="D39" s="41" t="s">
        <v>26</v>
      </c>
      <c r="E39" s="41">
        <v>930013140</v>
      </c>
      <c r="F39" s="45"/>
      <c r="G39" s="42"/>
      <c r="H39" s="42"/>
      <c r="I39" s="42"/>
      <c r="J39" s="42"/>
      <c r="K39" s="42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2"/>
      <c r="AA39" s="44"/>
      <c r="AB39" s="44"/>
      <c r="AC39" s="44"/>
      <c r="AD39" s="44"/>
      <c r="AE39" s="44"/>
      <c r="AF39" s="44"/>
    </row>
    <row r="40" spans="1:32" ht="13.8">
      <c r="A40" s="41" t="s">
        <v>225</v>
      </c>
      <c r="B40" s="53" t="s">
        <v>226</v>
      </c>
      <c r="C40" s="60">
        <v>23</v>
      </c>
      <c r="D40" s="75"/>
      <c r="E40" s="62">
        <v>935186453</v>
      </c>
      <c r="F40" s="45"/>
      <c r="G40" s="42"/>
      <c r="H40" s="42"/>
      <c r="I40" s="42"/>
      <c r="J40" s="42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13.8">
      <c r="A41" s="41" t="s">
        <v>233</v>
      </c>
      <c r="B41" s="53" t="s">
        <v>234</v>
      </c>
      <c r="C41" s="41">
        <v>22</v>
      </c>
      <c r="D41" s="41" t="s">
        <v>35</v>
      </c>
      <c r="E41" s="41">
        <v>904014197</v>
      </c>
      <c r="F41" s="45"/>
      <c r="G41" s="42" t="s">
        <v>27</v>
      </c>
      <c r="H41" s="42" t="s">
        <v>27</v>
      </c>
      <c r="I41" s="42" t="s">
        <v>112</v>
      </c>
      <c r="J41" s="42" t="s">
        <v>27</v>
      </c>
      <c r="K41" s="42" t="s">
        <v>27</v>
      </c>
      <c r="L41" s="42" t="s">
        <v>27</v>
      </c>
      <c r="M41" s="42" t="s">
        <v>27</v>
      </c>
      <c r="N41" s="44"/>
      <c r="O41" s="42" t="s">
        <v>27</v>
      </c>
      <c r="P41" s="42" t="s">
        <v>27</v>
      </c>
      <c r="Q41" s="44"/>
      <c r="R41" s="42" t="s">
        <v>27</v>
      </c>
      <c r="S41" s="44"/>
      <c r="T41" s="44"/>
      <c r="U41" s="44"/>
      <c r="V41" s="42"/>
      <c r="W41" s="42"/>
      <c r="X41" s="42"/>
      <c r="Y41" s="42"/>
      <c r="Z41" s="42"/>
      <c r="AA41" s="44"/>
      <c r="AB41" s="44"/>
      <c r="AC41" s="42"/>
      <c r="AD41" s="42"/>
      <c r="AE41" s="44"/>
      <c r="AF41" s="44"/>
    </row>
    <row r="42" spans="1:32" ht="13.8">
      <c r="A42" s="41" t="s">
        <v>239</v>
      </c>
      <c r="B42" s="53" t="s">
        <v>240</v>
      </c>
      <c r="C42" s="65">
        <v>22</v>
      </c>
      <c r="D42" s="66" t="s">
        <v>35</v>
      </c>
      <c r="E42" s="67">
        <v>974109938</v>
      </c>
      <c r="F42" s="45"/>
      <c r="G42" s="42"/>
      <c r="H42" s="42"/>
      <c r="I42" s="42"/>
      <c r="J42" s="42"/>
      <c r="K42" s="42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13.8">
      <c r="A43" s="41" t="s">
        <v>243</v>
      </c>
      <c r="B43" s="53" t="s">
        <v>244</v>
      </c>
      <c r="C43" s="56"/>
      <c r="D43" s="80" t="s">
        <v>35</v>
      </c>
      <c r="E43" s="62">
        <v>911418711</v>
      </c>
      <c r="F43" s="45"/>
      <c r="G43" s="42"/>
      <c r="H43" s="42"/>
      <c r="I43" s="42"/>
      <c r="J43" s="42"/>
      <c r="K43" s="42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13.8">
      <c r="A44" s="41" t="s">
        <v>249</v>
      </c>
      <c r="B44" s="53" t="s">
        <v>250</v>
      </c>
      <c r="C44" s="41">
        <v>25</v>
      </c>
      <c r="D44" s="41" t="s">
        <v>26</v>
      </c>
      <c r="E44" s="41">
        <v>925092929</v>
      </c>
      <c r="F44" s="45"/>
      <c r="G44" s="42"/>
      <c r="H44" s="42"/>
      <c r="I44" s="42"/>
      <c r="J44" s="42"/>
      <c r="K44" s="42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13.8">
      <c r="A45" s="41" t="s">
        <v>253</v>
      </c>
      <c r="B45" s="53" t="s">
        <v>254</v>
      </c>
      <c r="C45" s="82">
        <v>20</v>
      </c>
      <c r="D45" s="63" t="s">
        <v>35</v>
      </c>
      <c r="E45" s="83">
        <v>979046150</v>
      </c>
      <c r="F45" s="45"/>
      <c r="G45" s="42"/>
      <c r="H45" s="42"/>
      <c r="I45" s="42"/>
      <c r="J45" s="42"/>
      <c r="K45" s="42"/>
      <c r="L45" s="44"/>
      <c r="M45" s="44"/>
      <c r="N45" s="44"/>
      <c r="O45" s="44"/>
      <c r="P45" s="44"/>
      <c r="Q45" s="42"/>
      <c r="R45" s="42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13.8">
      <c r="A46" s="41" t="s">
        <v>259</v>
      </c>
      <c r="B46" s="53" t="s">
        <v>260</v>
      </c>
      <c r="C46" s="56"/>
      <c r="D46" s="41" t="s">
        <v>35</v>
      </c>
      <c r="E46" s="41">
        <v>908788638</v>
      </c>
      <c r="F46" s="45"/>
      <c r="G46" s="42"/>
      <c r="H46" s="42" t="s">
        <v>27</v>
      </c>
      <c r="I46" s="42" t="s">
        <v>27</v>
      </c>
      <c r="J46" s="42"/>
      <c r="K46" s="42"/>
      <c r="L46" s="44"/>
      <c r="M46" s="44"/>
      <c r="N46" s="44"/>
      <c r="O46" s="42" t="s">
        <v>27</v>
      </c>
      <c r="P46" s="44"/>
      <c r="Q46" s="44"/>
      <c r="R46" s="44"/>
      <c r="S46" s="44"/>
      <c r="T46" s="44"/>
      <c r="U46" s="44"/>
      <c r="V46" s="44"/>
      <c r="W46" s="44"/>
      <c r="X46" s="44"/>
      <c r="Y46" s="42"/>
      <c r="Z46" s="42"/>
      <c r="AA46" s="44"/>
      <c r="AB46" s="44"/>
      <c r="AC46" s="44"/>
      <c r="AD46" s="44"/>
      <c r="AE46" s="44"/>
      <c r="AF46" s="44"/>
    </row>
    <row r="47" spans="1:32" ht="13.8">
      <c r="A47" s="41" t="s">
        <v>267</v>
      </c>
      <c r="B47" s="53" t="s">
        <v>268</v>
      </c>
      <c r="C47" s="41">
        <v>29</v>
      </c>
      <c r="D47" s="41" t="s">
        <v>35</v>
      </c>
      <c r="E47" s="41">
        <v>925732130</v>
      </c>
      <c r="F47" s="45"/>
      <c r="G47" s="42" t="s">
        <v>27</v>
      </c>
      <c r="H47" s="42"/>
      <c r="I47" s="42" t="s">
        <v>27</v>
      </c>
      <c r="J47" s="42" t="s">
        <v>27</v>
      </c>
      <c r="K47" s="42"/>
      <c r="L47" s="44"/>
      <c r="M47" s="42" t="s">
        <v>27</v>
      </c>
      <c r="N47" s="44"/>
      <c r="O47" s="42" t="s">
        <v>27</v>
      </c>
      <c r="P47" s="42" t="s">
        <v>27</v>
      </c>
      <c r="Q47" s="44"/>
      <c r="R47" s="42" t="s">
        <v>27</v>
      </c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13.8">
      <c r="A48" s="41" t="s">
        <v>273</v>
      </c>
      <c r="B48" s="53" t="s">
        <v>274</v>
      </c>
      <c r="C48" s="41">
        <v>23</v>
      </c>
      <c r="D48" s="41" t="s">
        <v>35</v>
      </c>
      <c r="E48" s="41">
        <v>970802599</v>
      </c>
      <c r="F48" s="45"/>
      <c r="G48" s="42"/>
      <c r="H48" s="42"/>
      <c r="I48" s="42"/>
      <c r="J48" s="42"/>
      <c r="K48" s="42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13.8">
      <c r="A49" s="41" t="s">
        <v>277</v>
      </c>
      <c r="B49" s="53" t="s">
        <v>278</v>
      </c>
      <c r="C49" s="41">
        <v>25</v>
      </c>
      <c r="D49" s="41" t="s">
        <v>35</v>
      </c>
      <c r="E49" s="41">
        <v>980159266</v>
      </c>
      <c r="F49" s="45"/>
      <c r="G49" s="42"/>
      <c r="H49" s="42"/>
      <c r="I49" s="42"/>
      <c r="J49" s="42"/>
      <c r="K49" s="42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2"/>
      <c r="Y49" s="42"/>
      <c r="Z49" s="42"/>
      <c r="AA49" s="44"/>
      <c r="AB49" s="44"/>
      <c r="AC49" s="44"/>
      <c r="AD49" s="44"/>
      <c r="AE49" s="44"/>
      <c r="AF49" s="44"/>
    </row>
    <row r="50" spans="1:32" ht="13.8">
      <c r="A50" s="41" t="s">
        <v>281</v>
      </c>
      <c r="B50" s="53" t="s">
        <v>283</v>
      </c>
      <c r="C50" s="41">
        <v>27</v>
      </c>
      <c r="D50" s="41" t="s">
        <v>26</v>
      </c>
      <c r="E50" s="41">
        <v>973765864</v>
      </c>
      <c r="F50" s="45"/>
      <c r="G50" s="42"/>
      <c r="H50" s="42" t="s">
        <v>19</v>
      </c>
      <c r="I50" s="42" t="s">
        <v>27</v>
      </c>
      <c r="J50" s="42" t="s">
        <v>27</v>
      </c>
      <c r="K50" s="42"/>
      <c r="L50" s="44"/>
      <c r="M50" s="42" t="s">
        <v>27</v>
      </c>
      <c r="N50" s="44"/>
      <c r="O50" s="44"/>
      <c r="P50" s="44"/>
      <c r="Q50" s="44"/>
      <c r="R50" s="42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2"/>
      <c r="AE50" s="44"/>
      <c r="AF50" s="44"/>
    </row>
    <row r="51" spans="1:32" ht="13.8">
      <c r="A51" s="41" t="s">
        <v>287</v>
      </c>
      <c r="B51" s="53" t="s">
        <v>288</v>
      </c>
      <c r="C51" s="60">
        <v>22</v>
      </c>
      <c r="D51" s="61" t="s">
        <v>35</v>
      </c>
      <c r="E51" s="62">
        <v>930502585</v>
      </c>
      <c r="F51" s="45"/>
      <c r="G51" s="42" t="s">
        <v>27</v>
      </c>
      <c r="H51" s="42"/>
      <c r="I51" s="42" t="s">
        <v>27</v>
      </c>
      <c r="J51" s="42" t="s">
        <v>27</v>
      </c>
      <c r="K51" s="42"/>
      <c r="L51" s="42" t="s">
        <v>27</v>
      </c>
      <c r="M51" s="42" t="s">
        <v>27</v>
      </c>
      <c r="N51" s="44"/>
      <c r="O51" s="42" t="s">
        <v>27</v>
      </c>
      <c r="P51" s="42" t="s">
        <v>27</v>
      </c>
      <c r="Q51" s="44"/>
      <c r="R51" s="44"/>
      <c r="S51" s="44"/>
      <c r="T51" s="44"/>
      <c r="U51" s="44"/>
      <c r="V51" s="44"/>
      <c r="W51" s="44"/>
      <c r="X51" s="42" t="s">
        <v>27</v>
      </c>
      <c r="Y51" s="42" t="s">
        <v>27</v>
      </c>
      <c r="Z51" s="44"/>
      <c r="AA51" s="44"/>
      <c r="AB51" s="44"/>
      <c r="AC51" s="44"/>
      <c r="AD51" s="42"/>
      <c r="AE51" s="44"/>
      <c r="AF51" s="44"/>
    </row>
    <row r="52" spans="1:32" ht="13.8">
      <c r="A52" s="41" t="s">
        <v>293</v>
      </c>
      <c r="B52" s="95" t="s">
        <v>294</v>
      </c>
      <c r="C52" s="96">
        <v>27</v>
      </c>
      <c r="D52" s="97" t="s">
        <v>26</v>
      </c>
      <c r="E52" s="98">
        <v>944373605</v>
      </c>
      <c r="F52" s="45"/>
      <c r="G52" s="42"/>
      <c r="H52" s="42"/>
      <c r="I52" s="42"/>
      <c r="J52" s="42"/>
      <c r="K52" s="42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13.8">
      <c r="A53" s="41" t="s">
        <v>299</v>
      </c>
      <c r="B53" s="53" t="s">
        <v>300</v>
      </c>
      <c r="C53" s="99">
        <v>21</v>
      </c>
      <c r="D53" s="100" t="s">
        <v>26</v>
      </c>
      <c r="E53" s="101">
        <v>980432384</v>
      </c>
      <c r="F53" s="45"/>
      <c r="G53" s="42"/>
      <c r="H53" s="42" t="s">
        <v>27</v>
      </c>
      <c r="I53" s="42"/>
      <c r="J53" s="42"/>
      <c r="K53" s="42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2"/>
      <c r="AE53" s="44"/>
      <c r="AF53" s="44"/>
    </row>
    <row r="54" spans="1:32" ht="13.8">
      <c r="A54" s="41" t="s">
        <v>305</v>
      </c>
      <c r="B54" s="53" t="s">
        <v>306</v>
      </c>
      <c r="C54" s="41">
        <v>16</v>
      </c>
      <c r="D54" s="41" t="s">
        <v>26</v>
      </c>
      <c r="E54" s="41">
        <v>975218427</v>
      </c>
      <c r="F54" s="45"/>
      <c r="G54" s="42" t="s">
        <v>27</v>
      </c>
      <c r="H54" s="42"/>
      <c r="I54" s="42"/>
      <c r="J54" s="42"/>
      <c r="K54" s="42"/>
      <c r="L54" s="44"/>
      <c r="M54" s="44"/>
      <c r="N54" s="44"/>
      <c r="O54" s="42" t="s">
        <v>27</v>
      </c>
      <c r="P54" s="42" t="s">
        <v>27</v>
      </c>
      <c r="Q54" s="44"/>
      <c r="R54" s="44"/>
      <c r="S54" s="44"/>
      <c r="T54" s="44"/>
      <c r="U54" s="42"/>
      <c r="V54" s="44"/>
      <c r="W54" s="42" t="s">
        <v>27</v>
      </c>
      <c r="X54" s="42" t="s">
        <v>27</v>
      </c>
      <c r="Y54" s="42" t="s">
        <v>27</v>
      </c>
      <c r="Z54" s="42"/>
      <c r="AA54" s="44"/>
      <c r="AB54" s="44"/>
      <c r="AC54" s="42"/>
      <c r="AD54" s="42"/>
      <c r="AE54" s="44"/>
      <c r="AF54" s="44"/>
    </row>
    <row r="55" spans="1:32" ht="13.8">
      <c r="A55" s="41" t="s">
        <v>309</v>
      </c>
      <c r="B55" s="53" t="s">
        <v>310</v>
      </c>
      <c r="C55" s="71">
        <v>25</v>
      </c>
      <c r="D55" s="102" t="s">
        <v>35</v>
      </c>
      <c r="E55" s="98">
        <v>937932633</v>
      </c>
      <c r="F55" s="45"/>
      <c r="G55" s="42"/>
      <c r="H55" s="42"/>
      <c r="I55" s="42"/>
      <c r="J55" s="42"/>
      <c r="K55" s="42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13.8">
      <c r="A56" s="41" t="s">
        <v>315</v>
      </c>
      <c r="B56" s="53" t="s">
        <v>316</v>
      </c>
      <c r="C56" s="71">
        <v>24</v>
      </c>
      <c r="D56" s="97" t="s">
        <v>26</v>
      </c>
      <c r="E56" s="98">
        <v>993004715</v>
      </c>
      <c r="F56" s="45"/>
      <c r="G56" s="42"/>
      <c r="H56" s="42"/>
      <c r="I56" s="42"/>
      <c r="J56" s="42"/>
      <c r="K56" s="42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13.8">
      <c r="A57" s="41" t="s">
        <v>321</v>
      </c>
      <c r="B57" s="53" t="s">
        <v>322</v>
      </c>
      <c r="C57" s="41">
        <v>28</v>
      </c>
      <c r="D57" s="41" t="s">
        <v>35</v>
      </c>
      <c r="E57" s="41">
        <v>939205936</v>
      </c>
      <c r="F57" s="45"/>
      <c r="G57" s="42" t="s">
        <v>27</v>
      </c>
      <c r="H57" s="42"/>
      <c r="I57" s="42"/>
      <c r="J57" s="42" t="s">
        <v>27</v>
      </c>
      <c r="K57" s="42"/>
      <c r="L57" s="44"/>
      <c r="M57" s="42" t="s">
        <v>27</v>
      </c>
      <c r="N57" s="44"/>
      <c r="O57" s="42" t="s">
        <v>27</v>
      </c>
      <c r="P57" s="42" t="s">
        <v>27</v>
      </c>
      <c r="Q57" s="44"/>
      <c r="R57" s="42"/>
      <c r="S57" s="44"/>
      <c r="T57" s="42" t="s">
        <v>27</v>
      </c>
      <c r="U57" s="44"/>
      <c r="V57" s="44"/>
      <c r="W57" s="42" t="s">
        <v>27</v>
      </c>
      <c r="X57" s="42" t="s">
        <v>27</v>
      </c>
      <c r="Y57" s="42"/>
      <c r="Z57" s="42"/>
      <c r="AA57" s="44"/>
      <c r="AB57" s="44"/>
      <c r="AC57" s="44"/>
      <c r="AD57" s="42"/>
      <c r="AE57" s="44"/>
      <c r="AF57" s="44"/>
    </row>
    <row r="58" spans="1:32" ht="13.8">
      <c r="A58" s="41" t="s">
        <v>327</v>
      </c>
      <c r="B58" s="53" t="s">
        <v>328</v>
      </c>
      <c r="C58" s="41">
        <v>18</v>
      </c>
      <c r="D58" s="41" t="s">
        <v>35</v>
      </c>
      <c r="E58" s="41">
        <v>911762151</v>
      </c>
      <c r="F58" s="45"/>
      <c r="G58" s="42"/>
      <c r="H58" s="42"/>
      <c r="I58" s="42"/>
      <c r="J58" s="42"/>
      <c r="K58" s="42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2"/>
      <c r="Z58" s="44"/>
      <c r="AA58" s="44"/>
      <c r="AB58" s="44"/>
      <c r="AC58" s="44"/>
      <c r="AD58" s="44"/>
      <c r="AE58" s="44"/>
      <c r="AF58" s="44"/>
    </row>
    <row r="59" spans="1:32" ht="13.8">
      <c r="A59" s="41" t="s">
        <v>333</v>
      </c>
      <c r="B59" s="53" t="s">
        <v>334</v>
      </c>
      <c r="C59" s="99">
        <v>33</v>
      </c>
      <c r="D59" s="100" t="s">
        <v>26</v>
      </c>
      <c r="E59" s="101">
        <v>943540745</v>
      </c>
      <c r="F59" s="45"/>
      <c r="G59" s="42" t="s">
        <v>27</v>
      </c>
      <c r="H59" s="42" t="s">
        <v>27</v>
      </c>
      <c r="I59" s="42" t="s">
        <v>27</v>
      </c>
      <c r="J59" s="42" t="s">
        <v>27</v>
      </c>
      <c r="K59" s="42" t="s">
        <v>27</v>
      </c>
      <c r="L59" s="42" t="s">
        <v>27</v>
      </c>
      <c r="M59" s="44"/>
      <c r="N59" s="44"/>
      <c r="O59" s="42" t="s">
        <v>27</v>
      </c>
      <c r="P59" s="42" t="s">
        <v>27</v>
      </c>
      <c r="Q59" s="42"/>
      <c r="R59" s="42"/>
      <c r="S59" s="44"/>
      <c r="T59" s="44"/>
      <c r="U59" s="44"/>
      <c r="V59" s="44"/>
      <c r="W59" s="44"/>
      <c r="X59" s="42" t="s">
        <v>27</v>
      </c>
      <c r="Y59" s="42"/>
      <c r="Z59" s="42"/>
      <c r="AA59" s="44"/>
      <c r="AB59" s="44"/>
      <c r="AC59" s="42"/>
      <c r="AD59" s="42"/>
      <c r="AE59" s="44"/>
      <c r="AF59" s="44"/>
    </row>
    <row r="60" spans="1:32" ht="13.8">
      <c r="A60" s="41" t="s">
        <v>339</v>
      </c>
      <c r="B60" s="53" t="s">
        <v>340</v>
      </c>
      <c r="C60" s="56"/>
      <c r="D60" s="41" t="s">
        <v>35</v>
      </c>
      <c r="E60" s="41">
        <v>980731323</v>
      </c>
      <c r="F60" s="45"/>
      <c r="G60" s="42" t="s">
        <v>27</v>
      </c>
      <c r="H60" s="42" t="s">
        <v>27</v>
      </c>
      <c r="I60" s="42" t="s">
        <v>27</v>
      </c>
      <c r="J60" s="42"/>
      <c r="K60" s="42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13.8">
      <c r="A61" s="41" t="s">
        <v>346</v>
      </c>
      <c r="B61" s="104" t="s">
        <v>347</v>
      </c>
      <c r="C61" s="65">
        <v>24</v>
      </c>
      <c r="D61" s="66" t="s">
        <v>23</v>
      </c>
      <c r="E61" s="67">
        <v>912479769</v>
      </c>
      <c r="F61" s="105"/>
      <c r="G61" s="106"/>
      <c r="H61" s="106"/>
      <c r="I61" s="106"/>
      <c r="J61" s="106"/>
      <c r="K61" s="106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</row>
    <row r="62" spans="1:32" ht="13.2">
      <c r="A62" s="41" t="s">
        <v>352</v>
      </c>
      <c r="B62" s="108" t="s">
        <v>353</v>
      </c>
      <c r="C62" s="65">
        <v>18</v>
      </c>
      <c r="D62" s="66" t="s">
        <v>26</v>
      </c>
      <c r="E62" s="67">
        <v>954193581</v>
      </c>
      <c r="F62" s="105"/>
      <c r="G62" s="106"/>
      <c r="H62" s="106"/>
      <c r="I62" s="106" t="s">
        <v>27</v>
      </c>
      <c r="J62" s="106"/>
      <c r="K62" s="106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</row>
    <row r="63" spans="1:32" ht="13.8">
      <c r="A63" s="41" t="s">
        <v>358</v>
      </c>
      <c r="B63" s="108" t="s">
        <v>359</v>
      </c>
      <c r="C63" s="109">
        <v>22</v>
      </c>
      <c r="D63" s="110" t="s">
        <v>35</v>
      </c>
      <c r="E63" s="111">
        <v>942189434</v>
      </c>
      <c r="F63" s="105"/>
      <c r="G63" s="106" t="s">
        <v>27</v>
      </c>
      <c r="H63" s="106"/>
      <c r="I63" s="106"/>
      <c r="J63" s="106"/>
      <c r="K63" s="106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6"/>
      <c r="AA63" s="107"/>
      <c r="AB63" s="107"/>
      <c r="AC63" s="107"/>
      <c r="AD63" s="107"/>
      <c r="AE63" s="107"/>
      <c r="AF63" s="107"/>
    </row>
    <row r="64" spans="1:32" ht="13.2">
      <c r="A64" s="41" t="s">
        <v>366</v>
      </c>
      <c r="B64" s="108" t="s">
        <v>367</v>
      </c>
      <c r="C64" s="112">
        <v>17</v>
      </c>
      <c r="D64" s="112" t="s">
        <v>35</v>
      </c>
      <c r="E64" s="112">
        <v>973710605</v>
      </c>
      <c r="F64" s="105"/>
      <c r="G64" s="106"/>
      <c r="H64" s="106" t="s">
        <v>19</v>
      </c>
      <c r="I64" s="106" t="s">
        <v>27</v>
      </c>
      <c r="J64" s="106" t="s">
        <v>27</v>
      </c>
      <c r="K64" s="106"/>
      <c r="L64" s="106"/>
      <c r="M64" s="106" t="s">
        <v>27</v>
      </c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6"/>
      <c r="Z64" s="106"/>
      <c r="AA64" s="107"/>
      <c r="AB64" s="107"/>
      <c r="AC64" s="107"/>
      <c r="AD64" s="106"/>
      <c r="AE64" s="107"/>
      <c r="AF64" s="106"/>
    </row>
    <row r="65" spans="1:32" ht="13.2">
      <c r="A65" s="41" t="s">
        <v>372</v>
      </c>
      <c r="B65" s="113" t="s">
        <v>373</v>
      </c>
      <c r="C65" s="114"/>
      <c r="D65" s="112" t="s">
        <v>341</v>
      </c>
      <c r="E65" s="114"/>
      <c r="F65" s="105"/>
      <c r="G65" s="106"/>
      <c r="H65" s="106"/>
      <c r="I65" s="106"/>
      <c r="J65" s="106"/>
      <c r="K65" s="106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</row>
    <row r="66" spans="1:32" ht="13.2">
      <c r="A66" s="41" t="s">
        <v>376</v>
      </c>
      <c r="B66" s="113" t="s">
        <v>378</v>
      </c>
      <c r="C66" s="114"/>
      <c r="D66" s="112" t="s">
        <v>379</v>
      </c>
      <c r="E66" s="112">
        <v>923988460</v>
      </c>
      <c r="F66" s="105"/>
      <c r="G66" s="106" t="s">
        <v>27</v>
      </c>
      <c r="H66" s="106" t="s">
        <v>27</v>
      </c>
      <c r="I66" s="106"/>
      <c r="J66" s="106"/>
      <c r="K66" s="106"/>
      <c r="L66" s="107"/>
      <c r="M66" s="107"/>
      <c r="N66" s="107"/>
      <c r="O66" s="106" t="s">
        <v>27</v>
      </c>
      <c r="P66" s="107"/>
      <c r="Q66" s="107"/>
      <c r="R66" s="106"/>
      <c r="S66" s="107"/>
      <c r="T66" s="107"/>
      <c r="U66" s="107"/>
      <c r="V66" s="107"/>
      <c r="W66" s="107"/>
      <c r="X66" s="106"/>
      <c r="Y66" s="107"/>
      <c r="Z66" s="106"/>
      <c r="AA66" s="107"/>
      <c r="AB66" s="107"/>
      <c r="AC66" s="107"/>
      <c r="AD66" s="106"/>
      <c r="AE66" s="107"/>
      <c r="AF66" s="107"/>
    </row>
    <row r="67" spans="1:32" ht="13.2">
      <c r="A67" s="41" t="s">
        <v>381</v>
      </c>
      <c r="B67" s="113" t="s">
        <v>382</v>
      </c>
      <c r="C67" s="118"/>
      <c r="D67" s="118"/>
      <c r="E67" s="118"/>
      <c r="F67" s="105"/>
      <c r="G67" s="106"/>
      <c r="H67" s="106"/>
      <c r="I67" s="106"/>
      <c r="J67" s="106"/>
      <c r="K67" s="106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</row>
    <row r="68" spans="1:32" ht="13.8">
      <c r="A68" s="41" t="s">
        <v>385</v>
      </c>
      <c r="B68" s="113" t="s">
        <v>386</v>
      </c>
      <c r="C68" s="82">
        <v>25</v>
      </c>
      <c r="D68" s="63" t="s">
        <v>26</v>
      </c>
      <c r="E68" s="83">
        <v>922150768</v>
      </c>
      <c r="F68" s="105"/>
      <c r="G68" s="106" t="s">
        <v>27</v>
      </c>
      <c r="H68" s="106" t="s">
        <v>27</v>
      </c>
      <c r="I68" s="106"/>
      <c r="J68" s="106" t="s">
        <v>27</v>
      </c>
      <c r="K68" s="106"/>
      <c r="L68" s="106" t="s">
        <v>27</v>
      </c>
      <c r="M68" s="106" t="s">
        <v>27</v>
      </c>
      <c r="N68" s="106"/>
      <c r="O68" s="106" t="s">
        <v>27</v>
      </c>
      <c r="P68" s="106" t="s">
        <v>27</v>
      </c>
      <c r="Q68" s="107"/>
      <c r="R68" s="106" t="s">
        <v>27</v>
      </c>
      <c r="S68" s="107"/>
      <c r="T68" s="107"/>
      <c r="U68" s="107"/>
      <c r="V68" s="107"/>
      <c r="W68" s="106" t="s">
        <v>27</v>
      </c>
      <c r="X68" s="106" t="s">
        <v>27</v>
      </c>
      <c r="Y68" s="106" t="s">
        <v>27</v>
      </c>
      <c r="Z68" s="107"/>
      <c r="AA68" s="107"/>
      <c r="AB68" s="107"/>
      <c r="AC68" s="106"/>
      <c r="AD68" s="106"/>
      <c r="AE68" s="107"/>
      <c r="AF68" s="107"/>
    </row>
    <row r="69" spans="1:32" ht="13.2">
      <c r="A69" s="41" t="s">
        <v>391</v>
      </c>
      <c r="B69" s="113" t="s">
        <v>392</v>
      </c>
      <c r="C69" s="117"/>
      <c r="D69" s="58" t="s">
        <v>379</v>
      </c>
      <c r="E69" s="117"/>
      <c r="F69" s="105"/>
      <c r="G69" s="106"/>
      <c r="H69" s="106"/>
      <c r="I69" s="106"/>
      <c r="J69" s="106"/>
      <c r="K69" s="106"/>
      <c r="L69" s="107"/>
      <c r="M69" s="107"/>
      <c r="N69" s="107"/>
      <c r="O69" s="106" t="s">
        <v>27</v>
      </c>
      <c r="P69" s="106" t="s">
        <v>27</v>
      </c>
      <c r="Q69" s="107"/>
      <c r="R69" s="106" t="s">
        <v>27</v>
      </c>
      <c r="S69" s="107"/>
      <c r="T69" s="107"/>
      <c r="U69" s="107"/>
      <c r="V69" s="107"/>
      <c r="W69" s="107"/>
      <c r="X69" s="107"/>
      <c r="Y69" s="106"/>
      <c r="Z69" s="107"/>
      <c r="AA69" s="107"/>
      <c r="AB69" s="107"/>
      <c r="AC69" s="106"/>
      <c r="AD69" s="106"/>
      <c r="AE69" s="107"/>
      <c r="AF69" s="107"/>
    </row>
    <row r="70" spans="1:32" ht="13.2">
      <c r="A70" s="41" t="s">
        <v>395</v>
      </c>
      <c r="B70" s="113" t="s">
        <v>397</v>
      </c>
      <c r="C70" s="117"/>
      <c r="D70" s="58" t="s">
        <v>341</v>
      </c>
      <c r="E70" s="117"/>
      <c r="F70" s="105"/>
      <c r="G70" s="106"/>
      <c r="H70" s="106"/>
      <c r="I70" s="106"/>
      <c r="J70" s="106"/>
      <c r="K70" s="106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6"/>
      <c r="Z70" s="106"/>
      <c r="AA70" s="107"/>
      <c r="AB70" s="107"/>
      <c r="AC70" s="107"/>
      <c r="AD70" s="107"/>
      <c r="AE70" s="107"/>
      <c r="AF70" s="107"/>
    </row>
    <row r="71" spans="1:32" ht="13.2">
      <c r="A71" s="41" t="s">
        <v>401</v>
      </c>
      <c r="B71" s="113" t="s">
        <v>402</v>
      </c>
      <c r="C71" s="117"/>
      <c r="D71" s="58" t="s">
        <v>341</v>
      </c>
      <c r="E71" s="117"/>
      <c r="F71" s="105"/>
      <c r="G71" s="106"/>
      <c r="H71" s="106"/>
      <c r="I71" s="106"/>
      <c r="J71" s="106"/>
      <c r="K71" s="106"/>
      <c r="L71" s="107"/>
      <c r="M71" s="107"/>
      <c r="N71" s="107"/>
      <c r="O71" s="106" t="s">
        <v>27</v>
      </c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</row>
    <row r="72" spans="1:32" ht="13.2">
      <c r="A72" s="41" t="s">
        <v>405</v>
      </c>
      <c r="B72" s="113" t="s">
        <v>406</v>
      </c>
      <c r="C72" s="117"/>
      <c r="D72" s="58" t="s">
        <v>341</v>
      </c>
      <c r="E72" s="117"/>
      <c r="F72" s="105"/>
      <c r="G72" s="106"/>
      <c r="H72" s="106"/>
      <c r="I72" s="106"/>
      <c r="J72" s="106"/>
      <c r="K72" s="106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6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</row>
    <row r="73" spans="1:32" ht="13.8">
      <c r="A73" s="41" t="s">
        <v>409</v>
      </c>
      <c r="B73" s="113" t="s">
        <v>410</v>
      </c>
      <c r="C73" s="117"/>
      <c r="D73" s="58" t="s">
        <v>341</v>
      </c>
      <c r="E73" s="59">
        <v>963809800</v>
      </c>
      <c r="F73" s="105"/>
      <c r="G73" s="106"/>
      <c r="H73" s="106"/>
      <c r="I73" s="106"/>
      <c r="J73" s="106"/>
      <c r="K73" s="106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6"/>
      <c r="Y73" s="106"/>
      <c r="Z73" s="106"/>
      <c r="AA73" s="107"/>
      <c r="AB73" s="107"/>
      <c r="AC73" s="107"/>
      <c r="AD73" s="107"/>
      <c r="AE73" s="107"/>
      <c r="AF73" s="107"/>
    </row>
    <row r="74" spans="1:32" ht="13.8">
      <c r="A74" s="41" t="s">
        <v>413</v>
      </c>
      <c r="B74" s="113" t="s">
        <v>414</v>
      </c>
      <c r="C74" s="82">
        <v>17</v>
      </c>
      <c r="D74" s="63" t="s">
        <v>26</v>
      </c>
      <c r="E74" s="83">
        <v>944076057</v>
      </c>
      <c r="F74" s="105"/>
      <c r="G74" s="106"/>
      <c r="H74" s="106"/>
      <c r="I74" s="106"/>
      <c r="J74" s="106"/>
      <c r="K74" s="106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</row>
    <row r="75" spans="1:32" ht="13.2">
      <c r="A75" s="41" t="s">
        <v>417</v>
      </c>
      <c r="B75" s="113" t="s">
        <v>418</v>
      </c>
      <c r="C75" s="117"/>
      <c r="D75" s="58" t="s">
        <v>379</v>
      </c>
      <c r="E75" s="117"/>
      <c r="F75" s="105"/>
      <c r="G75" s="106"/>
      <c r="H75" s="106"/>
      <c r="I75" s="106"/>
      <c r="J75" s="106"/>
      <c r="K75" s="106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</row>
    <row r="76" spans="1:32" ht="13.2">
      <c r="A76" s="41" t="s">
        <v>422</v>
      </c>
      <c r="B76" s="113" t="s">
        <v>423</v>
      </c>
      <c r="C76" s="117"/>
      <c r="D76" s="58" t="s">
        <v>379</v>
      </c>
      <c r="E76" s="58">
        <v>989062716</v>
      </c>
      <c r="F76" s="105"/>
      <c r="G76" s="106"/>
      <c r="H76" s="106" t="s">
        <v>27</v>
      </c>
      <c r="I76" s="106" t="s">
        <v>27</v>
      </c>
      <c r="J76" s="106"/>
      <c r="K76" s="106"/>
      <c r="L76" s="107"/>
      <c r="M76" s="107"/>
      <c r="N76" s="106"/>
      <c r="O76" s="107"/>
      <c r="P76" s="107"/>
      <c r="Q76" s="107"/>
      <c r="R76" s="106"/>
      <c r="S76" s="107"/>
      <c r="T76" s="106"/>
      <c r="U76" s="107"/>
      <c r="V76" s="107"/>
      <c r="W76" s="107"/>
      <c r="X76" s="107"/>
      <c r="Y76" s="106"/>
      <c r="Z76" s="107"/>
      <c r="AA76" s="107"/>
      <c r="AB76" s="107"/>
      <c r="AC76" s="106"/>
      <c r="AD76" s="107"/>
      <c r="AE76" s="107"/>
      <c r="AF76" s="107"/>
    </row>
    <row r="77" spans="1:32" ht="13.2">
      <c r="A77" s="41" t="s">
        <v>427</v>
      </c>
      <c r="B77" s="113" t="s">
        <v>428</v>
      </c>
      <c r="C77" s="117"/>
      <c r="D77" s="58" t="s">
        <v>379</v>
      </c>
      <c r="E77" s="117"/>
      <c r="F77" s="105"/>
      <c r="G77" s="106"/>
      <c r="H77" s="106"/>
      <c r="I77" s="106"/>
      <c r="J77" s="106"/>
      <c r="K77" s="106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</row>
    <row r="78" spans="1:32" ht="13.2">
      <c r="A78" s="41" t="s">
        <v>431</v>
      </c>
      <c r="B78" s="113" t="s">
        <v>432</v>
      </c>
      <c r="C78" s="117"/>
      <c r="D78" s="58" t="s">
        <v>379</v>
      </c>
      <c r="E78" s="58">
        <v>950258250</v>
      </c>
      <c r="F78" s="105"/>
      <c r="G78" s="106"/>
      <c r="H78" s="106" t="s">
        <v>27</v>
      </c>
      <c r="I78" s="106"/>
      <c r="J78" s="106"/>
      <c r="K78" s="106"/>
      <c r="L78" s="107"/>
      <c r="M78" s="107"/>
      <c r="N78" s="107"/>
      <c r="O78" s="107"/>
      <c r="P78" s="107"/>
      <c r="Q78" s="107"/>
      <c r="R78" s="106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6"/>
      <c r="AE78" s="107"/>
      <c r="AF78" s="107"/>
    </row>
    <row r="79" spans="1:32" ht="13.2">
      <c r="A79" s="41" t="s">
        <v>435</v>
      </c>
      <c r="B79" s="113" t="s">
        <v>436</v>
      </c>
      <c r="C79" s="117"/>
      <c r="D79" s="58" t="s">
        <v>341</v>
      </c>
      <c r="E79" s="58">
        <v>932445325</v>
      </c>
      <c r="F79" s="105"/>
      <c r="G79" s="106"/>
      <c r="H79" s="106"/>
      <c r="I79" s="106"/>
      <c r="J79" s="106"/>
      <c r="K79" s="106"/>
      <c r="L79" s="107"/>
      <c r="M79" s="107"/>
      <c r="N79" s="106"/>
      <c r="O79" s="106"/>
      <c r="P79" s="107"/>
      <c r="Q79" s="107"/>
      <c r="R79" s="107"/>
      <c r="S79" s="107"/>
      <c r="T79" s="107"/>
      <c r="U79" s="107"/>
      <c r="V79" s="107"/>
      <c r="W79" s="106"/>
      <c r="X79" s="107"/>
      <c r="Y79" s="106"/>
      <c r="Z79" s="106"/>
      <c r="AA79" s="107"/>
      <c r="AB79" s="107"/>
      <c r="AC79" s="107"/>
      <c r="AD79" s="107"/>
      <c r="AE79" s="107"/>
      <c r="AF79" s="107"/>
    </row>
    <row r="80" spans="1:32" ht="13.2">
      <c r="A80" s="41" t="s">
        <v>439</v>
      </c>
      <c r="B80" s="113" t="s">
        <v>440</v>
      </c>
      <c r="C80" s="117"/>
      <c r="D80" s="58" t="s">
        <v>379</v>
      </c>
      <c r="E80" s="117"/>
      <c r="F80" s="105"/>
      <c r="G80" s="106"/>
      <c r="H80" s="106" t="s">
        <v>27</v>
      </c>
      <c r="I80" s="106" t="s">
        <v>27</v>
      </c>
      <c r="J80" s="106" t="s">
        <v>27</v>
      </c>
      <c r="K80" s="106"/>
      <c r="L80" s="107"/>
      <c r="M80" s="107"/>
      <c r="N80" s="107"/>
      <c r="O80" s="106" t="s">
        <v>27</v>
      </c>
      <c r="P80" s="107"/>
      <c r="Q80" s="107"/>
      <c r="R80" s="107"/>
      <c r="S80" s="107"/>
      <c r="T80" s="107"/>
      <c r="U80" s="107"/>
      <c r="V80" s="107"/>
      <c r="W80" s="107"/>
      <c r="X80" s="107"/>
      <c r="Y80" s="106"/>
      <c r="Z80" s="106"/>
      <c r="AA80" s="107"/>
      <c r="AB80" s="107"/>
      <c r="AC80" s="106"/>
      <c r="AD80" s="107"/>
      <c r="AE80" s="107"/>
      <c r="AF80" s="107"/>
    </row>
    <row r="81" spans="1:32" ht="13.2">
      <c r="A81" s="41" t="s">
        <v>443</v>
      </c>
      <c r="B81" s="113" t="s">
        <v>444</v>
      </c>
      <c r="C81" s="117"/>
      <c r="D81" s="58" t="s">
        <v>379</v>
      </c>
      <c r="E81" s="117"/>
      <c r="F81" s="105"/>
      <c r="G81" s="106" t="s">
        <v>27</v>
      </c>
      <c r="H81" s="106" t="s">
        <v>27</v>
      </c>
      <c r="I81" s="106" t="s">
        <v>27</v>
      </c>
      <c r="J81" s="106" t="s">
        <v>27</v>
      </c>
      <c r="K81" s="106"/>
      <c r="L81" s="106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6"/>
      <c r="Z81" s="106"/>
      <c r="AA81" s="107"/>
      <c r="AB81" s="107"/>
      <c r="AC81" s="107"/>
      <c r="AD81" s="106"/>
      <c r="AE81" s="107"/>
      <c r="AF81" s="107"/>
    </row>
    <row r="82" spans="1:32" ht="13.2">
      <c r="A82" s="41" t="s">
        <v>447</v>
      </c>
      <c r="B82" s="113" t="s">
        <v>448</v>
      </c>
      <c r="C82" s="117"/>
      <c r="D82" s="58" t="s">
        <v>341</v>
      </c>
      <c r="E82" s="58">
        <v>985644835</v>
      </c>
      <c r="F82" s="105"/>
      <c r="G82" s="106"/>
      <c r="H82" s="106" t="s">
        <v>27</v>
      </c>
      <c r="I82" s="106"/>
      <c r="J82" s="106" t="s">
        <v>27</v>
      </c>
      <c r="K82" s="106" t="s">
        <v>112</v>
      </c>
      <c r="L82" s="107"/>
      <c r="M82" s="106"/>
      <c r="N82" s="106"/>
      <c r="O82" s="107"/>
      <c r="P82" s="107"/>
      <c r="Q82" s="107"/>
      <c r="R82" s="106" t="s">
        <v>27</v>
      </c>
      <c r="S82" s="107"/>
      <c r="T82" s="107"/>
      <c r="U82" s="107"/>
      <c r="V82" s="107"/>
      <c r="W82" s="106"/>
      <c r="X82" s="106"/>
      <c r="Y82" s="106"/>
      <c r="Z82" s="106"/>
      <c r="AA82" s="107"/>
      <c r="AB82" s="107"/>
      <c r="AC82" s="107"/>
      <c r="AD82" s="107"/>
      <c r="AE82" s="107"/>
      <c r="AF82" s="107"/>
    </row>
    <row r="83" spans="1:32" ht="13.2">
      <c r="A83" s="41" t="s">
        <v>451</v>
      </c>
      <c r="B83" s="113" t="s">
        <v>452</v>
      </c>
      <c r="C83" s="117"/>
      <c r="D83" s="58" t="s">
        <v>341</v>
      </c>
      <c r="E83" s="117"/>
      <c r="F83" s="105"/>
      <c r="G83" s="106"/>
      <c r="H83" s="106"/>
      <c r="I83" s="106"/>
      <c r="J83" s="106"/>
      <c r="K83" s="106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</row>
    <row r="84" spans="1:32" ht="13.2">
      <c r="A84" s="41" t="s">
        <v>457</v>
      </c>
      <c r="B84" s="113" t="s">
        <v>458</v>
      </c>
      <c r="C84" s="117"/>
      <c r="D84" s="58" t="s">
        <v>341</v>
      </c>
      <c r="E84" s="58">
        <v>973141588</v>
      </c>
      <c r="F84" s="105"/>
      <c r="G84" s="106" t="s">
        <v>27</v>
      </c>
      <c r="H84" s="106" t="s">
        <v>27</v>
      </c>
      <c r="I84" s="106"/>
      <c r="J84" s="106"/>
      <c r="K84" s="106"/>
      <c r="L84" s="107"/>
      <c r="M84" s="107"/>
      <c r="N84" s="107"/>
      <c r="O84" s="106" t="s">
        <v>27</v>
      </c>
      <c r="P84" s="106" t="s">
        <v>27</v>
      </c>
      <c r="Q84" s="107"/>
      <c r="R84" s="107"/>
      <c r="S84" s="107"/>
      <c r="T84" s="107"/>
      <c r="U84" s="107"/>
      <c r="V84" s="107"/>
      <c r="W84" s="107"/>
      <c r="X84" s="106"/>
      <c r="Y84" s="107"/>
      <c r="Z84" s="106"/>
      <c r="AA84" s="107"/>
      <c r="AB84" s="107"/>
      <c r="AC84" s="107"/>
      <c r="AD84" s="107"/>
      <c r="AE84" s="107"/>
      <c r="AF84" s="107"/>
    </row>
    <row r="85" spans="1:32" ht="13.2">
      <c r="A85" s="41" t="s">
        <v>461</v>
      </c>
      <c r="B85" s="113" t="s">
        <v>462</v>
      </c>
      <c r="C85" s="60">
        <v>23</v>
      </c>
      <c r="D85" s="61" t="s">
        <v>26</v>
      </c>
      <c r="E85" s="62">
        <v>987076362</v>
      </c>
      <c r="F85" s="105"/>
      <c r="G85" s="106"/>
      <c r="H85" s="106"/>
      <c r="I85" s="106"/>
      <c r="J85" s="106"/>
      <c r="K85" s="106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</row>
    <row r="86" spans="1:32" ht="13.2">
      <c r="A86" s="41" t="s">
        <v>465</v>
      </c>
      <c r="B86" s="113" t="s">
        <v>466</v>
      </c>
      <c r="C86" s="117"/>
      <c r="D86" s="58" t="s">
        <v>379</v>
      </c>
      <c r="E86" s="117"/>
      <c r="F86" s="105"/>
      <c r="G86" s="106"/>
      <c r="H86" s="106"/>
      <c r="I86" s="106"/>
      <c r="J86" s="106"/>
      <c r="K86" s="106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</row>
    <row r="87" spans="1:32" ht="13.2">
      <c r="A87" s="41" t="s">
        <v>469</v>
      </c>
      <c r="B87" s="113" t="s">
        <v>470</v>
      </c>
      <c r="C87" s="117"/>
      <c r="D87" s="58" t="s">
        <v>341</v>
      </c>
      <c r="E87" s="58">
        <v>968315661</v>
      </c>
      <c r="F87" s="105"/>
      <c r="G87" s="106" t="s">
        <v>27</v>
      </c>
      <c r="H87" s="106"/>
      <c r="I87" s="106" t="s">
        <v>27</v>
      </c>
      <c r="J87" s="106" t="s">
        <v>27</v>
      </c>
      <c r="K87" s="106"/>
      <c r="L87" s="107"/>
      <c r="M87" s="107"/>
      <c r="N87" s="107"/>
      <c r="O87" s="106" t="s">
        <v>27</v>
      </c>
      <c r="P87" s="106" t="s">
        <v>27</v>
      </c>
      <c r="Q87" s="107"/>
      <c r="R87" s="107"/>
      <c r="S87" s="107"/>
      <c r="T87" s="107"/>
      <c r="U87" s="107"/>
      <c r="V87" s="107"/>
      <c r="W87" s="107"/>
      <c r="X87" s="106" t="s">
        <v>27</v>
      </c>
      <c r="Y87" s="107"/>
      <c r="Z87" s="107"/>
      <c r="AA87" s="107"/>
      <c r="AB87" s="107"/>
      <c r="AC87" s="107"/>
      <c r="AD87" s="107"/>
      <c r="AE87" s="107"/>
      <c r="AF87" s="107"/>
    </row>
    <row r="88" spans="1:32" ht="13.2">
      <c r="A88" s="41" t="s">
        <v>475</v>
      </c>
      <c r="B88" s="113" t="s">
        <v>476</v>
      </c>
      <c r="C88" s="117"/>
      <c r="D88" s="58" t="s">
        <v>341</v>
      </c>
      <c r="E88" s="117"/>
      <c r="F88" s="105"/>
      <c r="G88" s="106"/>
      <c r="H88" s="106"/>
      <c r="I88" s="106"/>
      <c r="J88" s="106"/>
      <c r="K88" s="106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</row>
    <row r="89" spans="1:32" ht="13.2">
      <c r="A89" s="41" t="s">
        <v>479</v>
      </c>
      <c r="B89" s="113" t="s">
        <v>480</v>
      </c>
      <c r="C89" s="117"/>
      <c r="D89" s="117"/>
      <c r="E89" s="58">
        <v>983798959</v>
      </c>
      <c r="F89" s="105"/>
      <c r="G89" s="106"/>
      <c r="H89" s="106"/>
      <c r="I89" s="106"/>
      <c r="J89" s="106"/>
      <c r="K89" s="106"/>
      <c r="L89" s="107"/>
      <c r="M89" s="107"/>
      <c r="N89" s="107"/>
      <c r="O89" s="107"/>
      <c r="P89" s="107"/>
      <c r="Q89" s="107"/>
      <c r="R89" s="106"/>
      <c r="S89" s="107"/>
      <c r="T89" s="107"/>
      <c r="U89" s="107"/>
      <c r="V89" s="107"/>
      <c r="W89" s="107"/>
      <c r="X89" s="106"/>
      <c r="Y89" s="106"/>
      <c r="Z89" s="106"/>
      <c r="AA89" s="107"/>
      <c r="AB89" s="107"/>
      <c r="AC89" s="107"/>
      <c r="AD89" s="107"/>
      <c r="AE89" s="107"/>
      <c r="AF89" s="107"/>
    </row>
    <row r="90" spans="1:32" ht="13.2">
      <c r="A90" s="41" t="s">
        <v>483</v>
      </c>
      <c r="B90" s="113" t="s">
        <v>484</v>
      </c>
      <c r="C90" s="117"/>
      <c r="D90" s="58" t="s">
        <v>379</v>
      </c>
      <c r="E90" s="117"/>
      <c r="F90" s="105"/>
      <c r="G90" s="106"/>
      <c r="H90" s="106"/>
      <c r="I90" s="106"/>
      <c r="J90" s="106"/>
      <c r="K90" s="106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</row>
    <row r="91" spans="1:32" ht="13.2">
      <c r="A91" s="41" t="s">
        <v>489</v>
      </c>
      <c r="B91" s="113" t="s">
        <v>490</v>
      </c>
      <c r="C91" s="117"/>
      <c r="D91" s="58" t="s">
        <v>341</v>
      </c>
      <c r="E91" s="117"/>
      <c r="F91" s="105"/>
      <c r="G91" s="106"/>
      <c r="H91" s="106"/>
      <c r="I91" s="106"/>
      <c r="J91" s="106"/>
      <c r="K91" s="106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</row>
    <row r="92" spans="1:32" ht="13.2">
      <c r="A92" s="41" t="s">
        <v>493</v>
      </c>
      <c r="B92" s="113" t="s">
        <v>494</v>
      </c>
      <c r="C92" s="117"/>
      <c r="D92" s="58" t="s">
        <v>379</v>
      </c>
      <c r="E92" s="117"/>
      <c r="F92" s="105"/>
      <c r="G92" s="106"/>
      <c r="H92" s="106"/>
      <c r="I92" s="106"/>
      <c r="J92" s="106"/>
      <c r="K92" s="106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</row>
    <row r="93" spans="1:32" ht="13.2">
      <c r="A93" s="41" t="s">
        <v>497</v>
      </c>
      <c r="B93" s="113" t="s">
        <v>498</v>
      </c>
      <c r="C93" s="117"/>
      <c r="D93" s="58" t="s">
        <v>379</v>
      </c>
      <c r="E93" s="117"/>
      <c r="F93" s="105"/>
      <c r="G93" s="106"/>
      <c r="H93" s="106"/>
      <c r="I93" s="106"/>
      <c r="J93" s="106"/>
      <c r="K93" s="106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</row>
    <row r="94" spans="1:32" ht="13.2">
      <c r="A94" s="41" t="s">
        <v>502</v>
      </c>
      <c r="B94" s="113" t="s">
        <v>504</v>
      </c>
      <c r="C94" s="117"/>
      <c r="D94" s="117"/>
      <c r="E94" s="117"/>
      <c r="F94" s="105"/>
      <c r="G94" s="106"/>
      <c r="H94" s="106"/>
      <c r="I94" s="106"/>
      <c r="J94" s="106"/>
      <c r="K94" s="106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</row>
    <row r="95" spans="1:32" ht="13.2">
      <c r="A95" s="41" t="s">
        <v>507</v>
      </c>
      <c r="B95" s="113" t="s">
        <v>508</v>
      </c>
      <c r="C95" s="117"/>
      <c r="D95" s="58" t="s">
        <v>379</v>
      </c>
      <c r="E95" s="117"/>
      <c r="F95" s="105"/>
      <c r="G95" s="106"/>
      <c r="H95" s="106"/>
      <c r="I95" s="106"/>
      <c r="J95" s="106"/>
      <c r="K95" s="106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6"/>
      <c r="Y95" s="106"/>
      <c r="Z95" s="106"/>
      <c r="AA95" s="107"/>
      <c r="AB95" s="107"/>
      <c r="AC95" s="106"/>
      <c r="AD95" s="107"/>
      <c r="AE95" s="107"/>
      <c r="AF95" s="107"/>
    </row>
    <row r="96" spans="1:32" ht="13.2">
      <c r="A96" s="41" t="s">
        <v>513</v>
      </c>
      <c r="B96" s="113" t="s">
        <v>514</v>
      </c>
      <c r="C96" s="117"/>
      <c r="D96" s="58" t="s">
        <v>341</v>
      </c>
      <c r="E96" s="58">
        <v>919959278</v>
      </c>
      <c r="F96" s="105"/>
      <c r="G96" s="106" t="s">
        <v>27</v>
      </c>
      <c r="H96" s="106" t="s">
        <v>27</v>
      </c>
      <c r="I96" s="106" t="s">
        <v>27</v>
      </c>
      <c r="J96" s="106"/>
      <c r="K96" s="106"/>
      <c r="L96" s="107"/>
      <c r="M96" s="106" t="s">
        <v>27</v>
      </c>
      <c r="N96" s="107"/>
      <c r="O96" s="106" t="s">
        <v>27</v>
      </c>
      <c r="P96" s="107"/>
      <c r="Q96" s="107"/>
      <c r="R96" s="106" t="s">
        <v>27</v>
      </c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6"/>
      <c r="AD96" s="107"/>
      <c r="AE96" s="107"/>
      <c r="AF96" s="107"/>
    </row>
    <row r="97" spans="1:32" ht="13.2">
      <c r="A97" s="41" t="s">
        <v>517</v>
      </c>
      <c r="B97" s="113" t="s">
        <v>518</v>
      </c>
      <c r="C97" s="117"/>
      <c r="D97" s="58" t="s">
        <v>379</v>
      </c>
      <c r="E97" s="117"/>
      <c r="F97" s="105"/>
      <c r="G97" s="106"/>
      <c r="H97" s="106"/>
      <c r="I97" s="106"/>
      <c r="J97" s="106"/>
      <c r="K97" s="106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</row>
    <row r="98" spans="1:32" ht="13.2">
      <c r="A98" s="41" t="s">
        <v>521</v>
      </c>
      <c r="B98" s="113" t="s">
        <v>522</v>
      </c>
      <c r="C98" s="117"/>
      <c r="D98" s="58" t="s">
        <v>379</v>
      </c>
      <c r="E98" s="117"/>
      <c r="F98" s="105"/>
      <c r="G98" s="106"/>
      <c r="H98" s="106"/>
      <c r="I98" s="106"/>
      <c r="J98" s="106"/>
      <c r="K98" s="106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</row>
    <row r="99" spans="1:32" ht="13.2">
      <c r="A99" s="41" t="s">
        <v>527</v>
      </c>
      <c r="B99" s="113" t="s">
        <v>528</v>
      </c>
      <c r="C99" s="117"/>
      <c r="D99" s="58" t="s">
        <v>341</v>
      </c>
      <c r="E99" s="117"/>
      <c r="F99" s="105"/>
      <c r="G99" s="106"/>
      <c r="H99" s="106"/>
      <c r="I99" s="106"/>
      <c r="J99" s="106"/>
      <c r="K99" s="106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</row>
    <row r="100" spans="1:32" ht="13.2">
      <c r="A100" s="41" t="s">
        <v>531</v>
      </c>
      <c r="B100" s="113" t="s">
        <v>533</v>
      </c>
      <c r="C100" s="117"/>
      <c r="D100" s="58" t="s">
        <v>379</v>
      </c>
      <c r="E100" s="117"/>
      <c r="F100" s="105"/>
      <c r="G100" s="106"/>
      <c r="H100" s="106"/>
      <c r="I100" s="106"/>
      <c r="J100" s="106"/>
      <c r="K100" s="106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</row>
    <row r="101" spans="1:32" ht="13.2">
      <c r="A101" s="41" t="s">
        <v>537</v>
      </c>
      <c r="B101" s="113" t="s">
        <v>538</v>
      </c>
      <c r="C101" s="117"/>
      <c r="D101" s="58" t="s">
        <v>379</v>
      </c>
      <c r="E101" s="117"/>
      <c r="F101" s="105"/>
      <c r="G101" s="106"/>
      <c r="H101" s="106"/>
      <c r="I101" s="106"/>
      <c r="J101" s="106"/>
      <c r="K101" s="106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</row>
    <row r="102" spans="1:32" ht="13.2">
      <c r="A102" s="41" t="s">
        <v>543</v>
      </c>
      <c r="B102" s="113" t="s">
        <v>544</v>
      </c>
      <c r="C102" s="117"/>
      <c r="D102" s="58" t="s">
        <v>341</v>
      </c>
      <c r="E102" s="117"/>
      <c r="F102" s="105"/>
      <c r="G102" s="106"/>
      <c r="H102" s="106"/>
      <c r="I102" s="106"/>
      <c r="J102" s="106"/>
      <c r="K102" s="106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</row>
    <row r="103" spans="1:32" ht="13.2">
      <c r="A103" s="41" t="s">
        <v>547</v>
      </c>
      <c r="B103" s="113" t="s">
        <v>548</v>
      </c>
      <c r="C103" s="117"/>
      <c r="D103" s="58" t="s">
        <v>341</v>
      </c>
      <c r="E103" s="117"/>
      <c r="F103" s="105"/>
      <c r="G103" s="106"/>
      <c r="H103" s="106"/>
      <c r="I103" s="106"/>
      <c r="J103" s="106"/>
      <c r="K103" s="106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</row>
    <row r="104" spans="1:32" ht="13.2">
      <c r="A104" s="41" t="s">
        <v>551</v>
      </c>
      <c r="B104" s="113" t="s">
        <v>552</v>
      </c>
      <c r="C104" s="117"/>
      <c r="D104" s="58" t="s">
        <v>341</v>
      </c>
      <c r="E104" s="117"/>
      <c r="F104" s="105"/>
      <c r="G104" s="106"/>
      <c r="H104" s="106"/>
      <c r="I104" s="106"/>
      <c r="J104" s="106"/>
      <c r="K104" s="106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</row>
    <row r="105" spans="1:32" ht="13.2">
      <c r="A105" s="41" t="s">
        <v>557</v>
      </c>
      <c r="B105" s="113" t="s">
        <v>558</v>
      </c>
      <c r="C105" s="117"/>
      <c r="D105" s="58" t="s">
        <v>341</v>
      </c>
      <c r="E105" s="117"/>
      <c r="F105" s="105"/>
      <c r="G105" s="106"/>
      <c r="H105" s="106"/>
      <c r="I105" s="106"/>
      <c r="J105" s="106"/>
      <c r="K105" s="106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</row>
    <row r="106" spans="1:32" ht="13.2">
      <c r="A106" s="41" t="s">
        <v>561</v>
      </c>
      <c r="B106" s="113" t="s">
        <v>563</v>
      </c>
      <c r="C106" s="117"/>
      <c r="D106" s="58" t="s">
        <v>379</v>
      </c>
      <c r="E106" s="117"/>
      <c r="F106" s="105"/>
      <c r="G106" s="106"/>
      <c r="H106" s="106"/>
      <c r="I106" s="106"/>
      <c r="J106" s="106"/>
      <c r="K106" s="106"/>
      <c r="L106" s="106"/>
      <c r="M106" s="106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</row>
    <row r="107" spans="1:32" ht="13.2">
      <c r="A107" s="41" t="s">
        <v>567</v>
      </c>
      <c r="B107" s="113" t="s">
        <v>568</v>
      </c>
      <c r="C107" s="117"/>
      <c r="D107" s="117"/>
      <c r="E107" s="117"/>
      <c r="F107" s="105"/>
      <c r="G107" s="106"/>
      <c r="H107" s="106"/>
      <c r="I107" s="106"/>
      <c r="J107" s="106"/>
      <c r="K107" s="106"/>
      <c r="L107" s="106"/>
      <c r="M107" s="106"/>
      <c r="N107" s="106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</row>
    <row r="108" spans="1:32" ht="13.2">
      <c r="A108" s="41" t="s">
        <v>574</v>
      </c>
      <c r="B108" s="113" t="s">
        <v>575</v>
      </c>
      <c r="C108" s="58">
        <v>18</v>
      </c>
      <c r="D108" s="58" t="s">
        <v>379</v>
      </c>
      <c r="E108" s="58">
        <v>900305094</v>
      </c>
      <c r="F108" s="105"/>
      <c r="G108" s="106"/>
      <c r="H108" s="106"/>
      <c r="I108" s="106"/>
      <c r="J108" s="106"/>
      <c r="K108" s="106"/>
      <c r="L108" s="106"/>
      <c r="M108" s="106"/>
      <c r="N108" s="106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6"/>
      <c r="AA108" s="107"/>
      <c r="AB108" s="107"/>
      <c r="AC108" s="107"/>
      <c r="AD108" s="107"/>
      <c r="AE108" s="107"/>
      <c r="AF108" s="107"/>
    </row>
    <row r="109" spans="1:32" ht="13.2">
      <c r="A109" s="41" t="s">
        <v>580</v>
      </c>
      <c r="B109" s="113" t="s">
        <v>581</v>
      </c>
      <c r="C109" s="117"/>
      <c r="D109" s="58" t="s">
        <v>379</v>
      </c>
      <c r="E109" s="58">
        <v>977381406</v>
      </c>
      <c r="F109" s="105"/>
      <c r="G109" s="106"/>
      <c r="H109" s="106"/>
      <c r="I109" s="106"/>
      <c r="J109" s="106"/>
      <c r="K109" s="106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6"/>
      <c r="Y109" s="106"/>
      <c r="Z109" s="106"/>
      <c r="AA109" s="107"/>
      <c r="AB109" s="107"/>
      <c r="AC109" s="107"/>
      <c r="AD109" s="107"/>
      <c r="AE109" s="107"/>
      <c r="AF109" s="107"/>
    </row>
    <row r="110" spans="1:32" ht="13.2">
      <c r="A110" s="41" t="s">
        <v>586</v>
      </c>
      <c r="B110" s="113" t="s">
        <v>587</v>
      </c>
      <c r="C110" s="117"/>
      <c r="D110" s="58" t="s">
        <v>341</v>
      </c>
      <c r="E110" s="117"/>
      <c r="F110" s="105"/>
      <c r="G110" s="106"/>
      <c r="H110" s="106"/>
      <c r="I110" s="106"/>
      <c r="J110" s="106"/>
      <c r="K110" s="106"/>
      <c r="L110" s="106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6"/>
      <c r="Y110" s="106"/>
      <c r="Z110" s="106"/>
      <c r="AA110" s="107"/>
      <c r="AB110" s="107"/>
      <c r="AC110" s="107"/>
      <c r="AD110" s="107"/>
      <c r="AE110" s="107"/>
      <c r="AF110" s="107"/>
    </row>
    <row r="111" spans="1:32" ht="13.2">
      <c r="A111" s="41" t="s">
        <v>592</v>
      </c>
      <c r="B111" s="113" t="s">
        <v>593</v>
      </c>
      <c r="C111" s="117"/>
      <c r="D111" s="58" t="s">
        <v>379</v>
      </c>
      <c r="E111" s="58">
        <v>972712206</v>
      </c>
      <c r="F111" s="105"/>
      <c r="G111" s="106"/>
      <c r="H111" s="106" t="s">
        <v>27</v>
      </c>
      <c r="I111" s="106"/>
      <c r="J111" s="106"/>
      <c r="K111" s="106"/>
      <c r="L111" s="107"/>
      <c r="M111" s="107"/>
      <c r="N111" s="107"/>
      <c r="O111" s="107"/>
      <c r="P111" s="107"/>
      <c r="Q111" s="107"/>
      <c r="R111" s="106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</row>
    <row r="112" spans="1:32" ht="13.2">
      <c r="A112" s="41" t="s">
        <v>598</v>
      </c>
      <c r="B112" s="113" t="s">
        <v>599</v>
      </c>
      <c r="C112" s="58">
        <v>20</v>
      </c>
      <c r="D112" s="58" t="s">
        <v>379</v>
      </c>
      <c r="E112" s="58">
        <v>927698166</v>
      </c>
      <c r="F112" s="45"/>
      <c r="G112" s="42"/>
      <c r="H112" s="42"/>
      <c r="I112" s="42"/>
      <c r="J112" s="42"/>
      <c r="K112" s="106"/>
      <c r="L112" s="106"/>
      <c r="M112" s="106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</row>
    <row r="113" spans="1:32" ht="13.2">
      <c r="A113" s="41" t="s">
        <v>602</v>
      </c>
      <c r="B113" s="113" t="s">
        <v>603</v>
      </c>
      <c r="C113" s="58">
        <v>18</v>
      </c>
      <c r="D113" s="58" t="s">
        <v>35</v>
      </c>
      <c r="E113" s="58">
        <v>917151544</v>
      </c>
      <c r="F113" s="45"/>
      <c r="G113" s="42"/>
      <c r="H113" s="42"/>
      <c r="I113" s="42"/>
      <c r="J113" s="42"/>
      <c r="K113" s="106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</row>
    <row r="114" spans="1:32" ht="13.2">
      <c r="A114" s="41" t="s">
        <v>606</v>
      </c>
      <c r="B114" s="144" t="s">
        <v>609</v>
      </c>
      <c r="C114" s="117"/>
      <c r="D114" s="58" t="s">
        <v>35</v>
      </c>
      <c r="E114" s="58">
        <v>913817719</v>
      </c>
      <c r="F114" s="45"/>
      <c r="G114" s="42"/>
      <c r="H114" s="42"/>
      <c r="I114" s="42"/>
      <c r="J114" s="42" t="s">
        <v>27</v>
      </c>
      <c r="K114" s="106"/>
      <c r="L114" s="107"/>
      <c r="M114" s="107"/>
      <c r="N114" s="107"/>
      <c r="O114" s="107"/>
      <c r="P114" s="106" t="s">
        <v>27</v>
      </c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</row>
    <row r="115" spans="1:32" ht="13.2">
      <c r="A115" s="41" t="s">
        <v>612</v>
      </c>
      <c r="B115" s="145" t="s">
        <v>615</v>
      </c>
      <c r="C115" s="121">
        <v>30</v>
      </c>
      <c r="D115" s="121" t="s">
        <v>26</v>
      </c>
      <c r="E115" s="121">
        <v>921728498</v>
      </c>
      <c r="F115" s="45"/>
      <c r="G115" s="42"/>
      <c r="H115" s="42"/>
      <c r="I115" s="42"/>
      <c r="J115" s="42"/>
      <c r="K115" s="106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</row>
    <row r="116" spans="1:32" ht="13.2">
      <c r="A116" s="41" t="s">
        <v>618</v>
      </c>
      <c r="B116" s="108" t="s">
        <v>619</v>
      </c>
      <c r="C116" s="112">
        <v>21</v>
      </c>
      <c r="D116" s="114"/>
      <c r="E116" s="112">
        <v>970512017</v>
      </c>
      <c r="F116" s="146"/>
      <c r="G116" s="42"/>
      <c r="H116" s="42"/>
      <c r="I116" s="42"/>
      <c r="J116" s="42"/>
      <c r="K116" s="106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</row>
    <row r="117" spans="1:32" ht="13.2">
      <c r="A117" s="41" t="s">
        <v>624</v>
      </c>
      <c r="B117" s="108" t="s">
        <v>625</v>
      </c>
      <c r="C117" s="112">
        <v>32</v>
      </c>
      <c r="D117" s="114"/>
      <c r="E117" s="112">
        <v>902432420</v>
      </c>
      <c r="F117" s="147"/>
      <c r="G117" s="42"/>
      <c r="H117" s="42" t="s">
        <v>27</v>
      </c>
      <c r="I117" s="42" t="s">
        <v>19</v>
      </c>
      <c r="J117" s="42" t="s">
        <v>27</v>
      </c>
      <c r="K117" s="106"/>
      <c r="L117" s="106" t="s">
        <v>27</v>
      </c>
      <c r="M117" s="107"/>
      <c r="N117" s="106"/>
      <c r="O117" s="106" t="s">
        <v>27</v>
      </c>
      <c r="P117" s="106" t="s">
        <v>27</v>
      </c>
      <c r="Q117" s="107"/>
      <c r="R117" s="107"/>
      <c r="S117" s="107"/>
      <c r="T117" s="107"/>
      <c r="U117" s="107"/>
      <c r="V117" s="107"/>
      <c r="W117" s="107"/>
      <c r="X117" s="106" t="s">
        <v>27</v>
      </c>
      <c r="Y117" s="106" t="s">
        <v>27</v>
      </c>
      <c r="Z117" s="106"/>
      <c r="AA117" s="107"/>
      <c r="AB117" s="107"/>
      <c r="AC117" s="107"/>
      <c r="AD117" s="107"/>
      <c r="AE117" s="107"/>
      <c r="AF117" s="107"/>
    </row>
    <row r="118" spans="1:32" ht="13.2">
      <c r="A118" s="41" t="s">
        <v>628</v>
      </c>
      <c r="B118" s="108" t="s">
        <v>631</v>
      </c>
      <c r="C118" s="112">
        <v>16</v>
      </c>
      <c r="D118" s="114"/>
      <c r="E118" s="112">
        <v>913871318</v>
      </c>
      <c r="F118" s="146"/>
      <c r="G118" s="44"/>
      <c r="H118" s="44"/>
      <c r="I118" s="42"/>
      <c r="J118" s="42"/>
      <c r="K118" s="106"/>
      <c r="L118" s="106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6"/>
      <c r="AD118" s="107"/>
      <c r="AE118" s="107"/>
      <c r="AF118" s="107"/>
    </row>
    <row r="119" spans="1:32" ht="13.2">
      <c r="A119" s="41" t="s">
        <v>636</v>
      </c>
      <c r="B119" s="125" t="s">
        <v>637</v>
      </c>
      <c r="C119" s="126">
        <v>22</v>
      </c>
      <c r="D119" s="118"/>
      <c r="E119" s="126">
        <v>965927649</v>
      </c>
      <c r="F119" s="146"/>
      <c r="G119" s="44"/>
      <c r="H119" s="44"/>
      <c r="I119" s="44"/>
      <c r="J119" s="44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</row>
    <row r="120" spans="1:32" ht="13.2">
      <c r="A120" s="41" t="s">
        <v>642</v>
      </c>
      <c r="B120" s="113" t="s">
        <v>643</v>
      </c>
      <c r="C120" s="58">
        <v>27</v>
      </c>
      <c r="D120" s="117"/>
      <c r="E120" s="58">
        <v>984628476</v>
      </c>
      <c r="F120" s="147"/>
      <c r="G120" s="129"/>
      <c r="H120" s="129"/>
      <c r="I120" s="129"/>
      <c r="J120" s="129"/>
      <c r="K120" s="129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129"/>
      <c r="Y120" s="129"/>
      <c r="Z120" s="129"/>
      <c r="AA120" s="75"/>
      <c r="AB120" s="75"/>
      <c r="AC120" s="75"/>
      <c r="AD120" s="75"/>
      <c r="AE120" s="75"/>
      <c r="AF120" s="75"/>
    </row>
    <row r="121" spans="1:32" ht="13.2">
      <c r="A121" s="41" t="s">
        <v>648</v>
      </c>
      <c r="B121" s="113" t="s">
        <v>649</v>
      </c>
      <c r="C121" s="58">
        <v>17</v>
      </c>
      <c r="D121" s="117"/>
      <c r="E121" s="58">
        <v>983356607</v>
      </c>
      <c r="F121" s="146"/>
      <c r="G121" s="75"/>
      <c r="H121" s="129" t="s">
        <v>27</v>
      </c>
      <c r="I121" s="75"/>
      <c r="J121" s="129"/>
      <c r="K121" s="75"/>
      <c r="L121" s="75"/>
      <c r="M121" s="75"/>
      <c r="N121" s="75"/>
      <c r="O121" s="129" t="s">
        <v>27</v>
      </c>
      <c r="P121" s="129" t="s">
        <v>27</v>
      </c>
      <c r="Q121" s="75"/>
      <c r="R121" s="75"/>
      <c r="S121" s="75"/>
      <c r="T121" s="75"/>
      <c r="U121" s="75"/>
      <c r="V121" s="75"/>
      <c r="W121" s="75"/>
      <c r="X121" s="75"/>
      <c r="Y121" s="75"/>
      <c r="Z121" s="129"/>
      <c r="AA121" s="75"/>
      <c r="AB121" s="75"/>
      <c r="AC121" s="75"/>
      <c r="AD121" s="75"/>
      <c r="AE121" s="75"/>
      <c r="AF121" s="75"/>
    </row>
    <row r="122" spans="1:32" ht="13.2">
      <c r="A122" s="41" t="s">
        <v>652</v>
      </c>
      <c r="B122" s="139" t="s">
        <v>653</v>
      </c>
      <c r="C122" s="140">
        <v>18</v>
      </c>
      <c r="D122" s="141"/>
      <c r="E122" s="58">
        <v>921973565</v>
      </c>
      <c r="F122" s="147"/>
      <c r="G122" s="129"/>
      <c r="H122" s="129"/>
      <c r="I122" s="129"/>
      <c r="J122" s="129"/>
      <c r="K122" s="129"/>
      <c r="L122" s="129" t="s">
        <v>27</v>
      </c>
      <c r="M122" s="75"/>
      <c r="N122" s="75"/>
      <c r="O122" s="75"/>
      <c r="P122" s="75"/>
      <c r="Q122" s="75"/>
      <c r="R122" s="129"/>
      <c r="S122" s="75"/>
      <c r="T122" s="75"/>
      <c r="U122" s="75"/>
      <c r="V122" s="75"/>
      <c r="W122" s="75"/>
      <c r="X122" s="75"/>
      <c r="Y122" s="129"/>
      <c r="Z122" s="129"/>
      <c r="AA122" s="75"/>
      <c r="AB122" s="75"/>
      <c r="AC122" s="75"/>
      <c r="AD122" s="75"/>
      <c r="AE122" s="75"/>
      <c r="AF122" s="75"/>
    </row>
    <row r="123" spans="1:32" ht="13.2">
      <c r="A123" s="41" t="s">
        <v>657</v>
      </c>
      <c r="B123" s="148" t="s">
        <v>658</v>
      </c>
      <c r="C123" s="149">
        <v>18</v>
      </c>
      <c r="D123" s="10"/>
      <c r="E123" s="58">
        <v>978121236</v>
      </c>
      <c r="F123" s="45"/>
      <c r="G123" s="42"/>
      <c r="H123" s="42"/>
      <c r="I123" s="42" t="s">
        <v>27</v>
      </c>
      <c r="J123" s="42" t="s">
        <v>27</v>
      </c>
      <c r="K123" s="42"/>
      <c r="L123" s="44"/>
      <c r="M123" s="42"/>
      <c r="N123" s="42"/>
      <c r="O123" s="44"/>
      <c r="P123" s="42" t="s">
        <v>27</v>
      </c>
      <c r="Q123" s="44"/>
      <c r="R123" s="42" t="s">
        <v>27</v>
      </c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2"/>
      <c r="AD123" s="44"/>
      <c r="AE123" s="44"/>
      <c r="AF123" s="44"/>
    </row>
    <row r="124" spans="1:32" ht="13.2">
      <c r="A124" s="41" t="s">
        <v>659</v>
      </c>
      <c r="B124" s="139" t="s">
        <v>660</v>
      </c>
      <c r="C124" s="141"/>
      <c r="D124" s="141"/>
      <c r="E124" s="58">
        <v>913476458</v>
      </c>
      <c r="F124" s="150"/>
      <c r="G124" s="44"/>
      <c r="H124" s="44"/>
      <c r="I124" s="44"/>
      <c r="J124" s="44"/>
      <c r="K124" s="44"/>
      <c r="L124" s="44"/>
      <c r="M124" s="44"/>
      <c r="N124" s="44"/>
      <c r="O124" s="42" t="s">
        <v>27</v>
      </c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</row>
    <row r="125" spans="1:32" ht="13.2">
      <c r="A125" s="41" t="s">
        <v>661</v>
      </c>
      <c r="B125" s="139" t="s">
        <v>662</v>
      </c>
      <c r="C125" s="141"/>
      <c r="D125" s="141"/>
      <c r="E125" s="117"/>
      <c r="F125" s="150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</row>
    <row r="126" spans="1:32" ht="13.2">
      <c r="A126" s="41" t="s">
        <v>663</v>
      </c>
      <c r="B126" s="139" t="s">
        <v>664</v>
      </c>
      <c r="C126" s="141"/>
      <c r="D126" s="141"/>
      <c r="E126" s="117"/>
      <c r="F126" s="150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</row>
    <row r="127" spans="1:32" ht="13.2">
      <c r="A127" s="41" t="s">
        <v>665</v>
      </c>
      <c r="B127" s="139" t="s">
        <v>666</v>
      </c>
      <c r="C127" s="141"/>
      <c r="D127" s="141"/>
      <c r="E127" s="58">
        <v>973445573</v>
      </c>
      <c r="F127" s="150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2" t="s">
        <v>27</v>
      </c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</row>
    <row r="128" spans="1:32" ht="13.2">
      <c r="A128" s="41" t="s">
        <v>667</v>
      </c>
      <c r="B128" s="139" t="s">
        <v>668</v>
      </c>
      <c r="C128" s="140">
        <v>22</v>
      </c>
      <c r="D128" s="140" t="s">
        <v>26</v>
      </c>
      <c r="E128" s="58">
        <v>964175205</v>
      </c>
      <c r="F128" s="150"/>
      <c r="G128" s="44"/>
      <c r="H128" s="42" t="s">
        <v>27</v>
      </c>
      <c r="I128" s="42" t="s">
        <v>27</v>
      </c>
      <c r="J128" s="42" t="s">
        <v>27</v>
      </c>
      <c r="K128" s="44"/>
      <c r="L128" s="44"/>
      <c r="M128" s="42" t="s">
        <v>27</v>
      </c>
      <c r="N128" s="44"/>
      <c r="O128" s="42" t="s">
        <v>27</v>
      </c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</row>
    <row r="129" spans="1:32" ht="13.2">
      <c r="A129" s="41" t="s">
        <v>669</v>
      </c>
      <c r="B129" s="139" t="s">
        <v>670</v>
      </c>
      <c r="C129" s="140">
        <v>21</v>
      </c>
      <c r="D129" s="140" t="s">
        <v>26</v>
      </c>
      <c r="E129" s="117"/>
      <c r="F129" s="151"/>
      <c r="G129" s="131"/>
      <c r="H129" s="13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2"/>
      <c r="AF129" s="44"/>
    </row>
    <row r="130" spans="1:32" ht="13.2">
      <c r="A130" s="119" t="s">
        <v>671</v>
      </c>
      <c r="B130" s="148" t="s">
        <v>672</v>
      </c>
      <c r="C130" s="148">
        <v>28</v>
      </c>
      <c r="D130" s="148" t="s">
        <v>35</v>
      </c>
      <c r="E130" s="152">
        <v>975128392</v>
      </c>
      <c r="F130" s="151"/>
      <c r="G130" s="132" t="s">
        <v>27</v>
      </c>
      <c r="H130" s="131"/>
      <c r="I130" s="132" t="s">
        <v>27</v>
      </c>
      <c r="J130" s="132" t="s">
        <v>27</v>
      </c>
      <c r="K130" s="131"/>
      <c r="L130" s="132" t="s">
        <v>27</v>
      </c>
      <c r="M130" s="132" t="s">
        <v>27</v>
      </c>
      <c r="N130" s="131"/>
      <c r="O130" s="132" t="s">
        <v>27</v>
      </c>
      <c r="P130" s="132" t="s">
        <v>112</v>
      </c>
      <c r="Q130" s="131"/>
      <c r="R130" s="131"/>
      <c r="S130" s="131"/>
      <c r="T130" s="131"/>
      <c r="U130" s="131"/>
      <c r="V130" s="131"/>
      <c r="W130" s="132" t="s">
        <v>27</v>
      </c>
      <c r="X130" s="132" t="s">
        <v>27</v>
      </c>
      <c r="Y130" s="132" t="s">
        <v>27</v>
      </c>
      <c r="Z130" s="131"/>
      <c r="AA130" s="131"/>
      <c r="AB130" s="131"/>
      <c r="AC130" s="131"/>
      <c r="AD130" s="131"/>
      <c r="AE130" s="131"/>
      <c r="AF130" s="131"/>
    </row>
    <row r="131" spans="1:32" ht="13.2">
      <c r="A131" s="119" t="s">
        <v>673</v>
      </c>
      <c r="B131" s="148" t="s">
        <v>674</v>
      </c>
      <c r="C131" s="148">
        <v>18</v>
      </c>
      <c r="D131" s="148" t="s">
        <v>34</v>
      </c>
      <c r="E131" s="152">
        <v>980731323</v>
      </c>
      <c r="F131" s="15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2" t="s">
        <v>27</v>
      </c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</row>
    <row r="132" spans="1:32" ht="13.2">
      <c r="E132" s="10"/>
      <c r="F132" s="153"/>
    </row>
    <row r="133" spans="1:32" ht="13.2">
      <c r="E133" s="10"/>
      <c r="F133" s="153"/>
    </row>
    <row r="134" spans="1:32" ht="13.2">
      <c r="E134" s="10"/>
    </row>
    <row r="135" spans="1:32" ht="13.2">
      <c r="E135" s="10"/>
    </row>
    <row r="136" spans="1:32" ht="13.2">
      <c r="E136" s="10"/>
    </row>
    <row r="137" spans="1:32" ht="13.2">
      <c r="E137" s="10"/>
    </row>
    <row r="138" spans="1:32" ht="13.2">
      <c r="E138" s="10"/>
    </row>
    <row r="139" spans="1:32" ht="13.2">
      <c r="E139" s="10"/>
    </row>
    <row r="140" spans="1:32" ht="13.2">
      <c r="E140" s="10"/>
    </row>
    <row r="141" spans="1:32" ht="13.2">
      <c r="E141" s="10"/>
    </row>
    <row r="142" spans="1:32" ht="13.2">
      <c r="E142" s="10"/>
    </row>
    <row r="143" spans="1:32" ht="13.2">
      <c r="E143" s="10"/>
    </row>
    <row r="144" spans="1:32" ht="13.2">
      <c r="E144" s="10"/>
    </row>
    <row r="145" spans="5:5" ht="13.2">
      <c r="E145" s="10"/>
    </row>
    <row r="146" spans="5:5" ht="13.2">
      <c r="E146" s="10"/>
    </row>
    <row r="147" spans="5:5" ht="13.2">
      <c r="E147" s="10"/>
    </row>
    <row r="148" spans="5:5" ht="13.2">
      <c r="E148" s="10"/>
    </row>
    <row r="149" spans="5:5" ht="13.2">
      <c r="E149" s="10"/>
    </row>
    <row r="150" spans="5:5" ht="13.2">
      <c r="E150" s="10"/>
    </row>
    <row r="151" spans="5:5" ht="13.2">
      <c r="E151" s="10"/>
    </row>
    <row r="152" spans="5:5" ht="13.2">
      <c r="E152" s="10"/>
    </row>
    <row r="153" spans="5:5" ht="13.2">
      <c r="E153" s="10"/>
    </row>
    <row r="154" spans="5:5" ht="13.2">
      <c r="E154" s="10"/>
    </row>
    <row r="155" spans="5:5" ht="13.2">
      <c r="E155" s="10"/>
    </row>
    <row r="156" spans="5:5" ht="13.2">
      <c r="E156" s="10"/>
    </row>
    <row r="157" spans="5:5" ht="13.2">
      <c r="E157" s="10"/>
    </row>
    <row r="158" spans="5:5" ht="13.2">
      <c r="E158" s="10"/>
    </row>
    <row r="159" spans="5:5" ht="13.2">
      <c r="E159" s="10"/>
    </row>
    <row r="160" spans="5:5" ht="13.2">
      <c r="E160" s="10"/>
    </row>
    <row r="161" spans="5:5" ht="13.2">
      <c r="E161" s="10"/>
    </row>
    <row r="162" spans="5:5" ht="13.2">
      <c r="E162" s="10"/>
    </row>
    <row r="163" spans="5:5" ht="13.2">
      <c r="E163" s="10"/>
    </row>
    <row r="164" spans="5:5" ht="13.2">
      <c r="E164" s="10"/>
    </row>
    <row r="165" spans="5:5" ht="13.2">
      <c r="E165" s="10"/>
    </row>
    <row r="166" spans="5:5" ht="13.2">
      <c r="E166" s="10"/>
    </row>
    <row r="167" spans="5:5" ht="13.2">
      <c r="E167" s="10"/>
    </row>
    <row r="168" spans="5:5" ht="13.2">
      <c r="E168" s="10"/>
    </row>
    <row r="169" spans="5:5" ht="13.2">
      <c r="E169" s="10"/>
    </row>
    <row r="170" spans="5:5" ht="13.2">
      <c r="E170" s="10"/>
    </row>
    <row r="171" spans="5:5" ht="13.2">
      <c r="E171" s="10"/>
    </row>
    <row r="172" spans="5:5" ht="13.2">
      <c r="E172" s="10"/>
    </row>
    <row r="173" spans="5:5" ht="13.2">
      <c r="E173" s="10"/>
    </row>
    <row r="174" spans="5:5" ht="13.2">
      <c r="E174" s="10"/>
    </row>
    <row r="175" spans="5:5" ht="13.2">
      <c r="E175" s="10"/>
    </row>
    <row r="176" spans="5:5" ht="13.2">
      <c r="E176" s="10"/>
    </row>
    <row r="177" spans="5:5" ht="13.2">
      <c r="E177" s="10"/>
    </row>
    <row r="178" spans="5:5" ht="13.2">
      <c r="E178" s="10"/>
    </row>
    <row r="179" spans="5:5" ht="13.2">
      <c r="E179" s="10"/>
    </row>
    <row r="180" spans="5:5" ht="13.2">
      <c r="E180" s="10"/>
    </row>
    <row r="181" spans="5:5" ht="13.2">
      <c r="E181" s="10"/>
    </row>
    <row r="182" spans="5:5" ht="13.2">
      <c r="E182" s="10"/>
    </row>
    <row r="183" spans="5:5" ht="13.2">
      <c r="E183" s="10"/>
    </row>
    <row r="184" spans="5:5" ht="13.2">
      <c r="E184" s="10"/>
    </row>
    <row r="185" spans="5:5" ht="13.2">
      <c r="E185" s="10"/>
    </row>
    <row r="186" spans="5:5" ht="13.2">
      <c r="E186" s="10"/>
    </row>
    <row r="187" spans="5:5" ht="13.2">
      <c r="E187" s="10"/>
    </row>
    <row r="188" spans="5:5" ht="13.2">
      <c r="E188" s="10"/>
    </row>
    <row r="189" spans="5:5" ht="13.2">
      <c r="E189" s="10"/>
    </row>
    <row r="190" spans="5:5" ht="13.2">
      <c r="E190" s="10"/>
    </row>
    <row r="191" spans="5:5" ht="13.2">
      <c r="E191" s="10"/>
    </row>
    <row r="192" spans="5:5" ht="13.2">
      <c r="E192" s="10"/>
    </row>
    <row r="193" spans="5:5" ht="13.2">
      <c r="E193" s="10"/>
    </row>
    <row r="194" spans="5:5" ht="13.2">
      <c r="E194" s="10"/>
    </row>
    <row r="195" spans="5:5" ht="13.2">
      <c r="E195" s="10"/>
    </row>
    <row r="196" spans="5:5" ht="13.2">
      <c r="E196" s="10"/>
    </row>
    <row r="197" spans="5:5" ht="13.2">
      <c r="E197" s="10"/>
    </row>
    <row r="198" spans="5:5" ht="13.2">
      <c r="E198" s="10"/>
    </row>
    <row r="199" spans="5:5" ht="13.2">
      <c r="E199" s="10"/>
    </row>
    <row r="200" spans="5:5" ht="13.2">
      <c r="E200" s="10"/>
    </row>
    <row r="201" spans="5:5" ht="13.2">
      <c r="E201" s="10"/>
    </row>
    <row r="202" spans="5:5" ht="13.2">
      <c r="E202" s="10"/>
    </row>
    <row r="203" spans="5:5" ht="13.2">
      <c r="E203" s="10"/>
    </row>
    <row r="204" spans="5:5" ht="13.2">
      <c r="E204" s="10"/>
    </row>
    <row r="205" spans="5:5" ht="13.2">
      <c r="E205" s="10"/>
    </row>
    <row r="206" spans="5:5" ht="13.2">
      <c r="E206" s="10"/>
    </row>
    <row r="207" spans="5:5" ht="13.2">
      <c r="E207" s="10"/>
    </row>
    <row r="208" spans="5:5" ht="13.2">
      <c r="E208" s="10"/>
    </row>
    <row r="209" spans="5:5" ht="13.2">
      <c r="E209" s="10"/>
    </row>
    <row r="210" spans="5:5" ht="13.2">
      <c r="E210" s="10"/>
    </row>
    <row r="211" spans="5:5" ht="13.2">
      <c r="E211" s="10"/>
    </row>
    <row r="212" spans="5:5" ht="13.2">
      <c r="E212" s="10"/>
    </row>
    <row r="213" spans="5:5" ht="13.2">
      <c r="E213" s="10"/>
    </row>
    <row r="214" spans="5:5" ht="13.2">
      <c r="E214" s="10"/>
    </row>
    <row r="215" spans="5:5" ht="13.2">
      <c r="E215" s="10"/>
    </row>
    <row r="216" spans="5:5" ht="13.2">
      <c r="E216" s="10"/>
    </row>
    <row r="217" spans="5:5" ht="13.2">
      <c r="E217" s="10"/>
    </row>
    <row r="218" spans="5:5" ht="13.2">
      <c r="E218" s="10"/>
    </row>
    <row r="219" spans="5:5" ht="13.2">
      <c r="E219" s="10"/>
    </row>
    <row r="220" spans="5:5" ht="13.2">
      <c r="E220" s="10"/>
    </row>
    <row r="221" spans="5:5" ht="13.2">
      <c r="E221" s="10"/>
    </row>
    <row r="222" spans="5:5" ht="13.2">
      <c r="E222" s="10"/>
    </row>
    <row r="223" spans="5:5" ht="13.2">
      <c r="E223" s="10"/>
    </row>
    <row r="224" spans="5:5" ht="13.2">
      <c r="E224" s="10"/>
    </row>
    <row r="225" spans="5:5" ht="13.2">
      <c r="E225" s="10"/>
    </row>
    <row r="226" spans="5:5" ht="13.2">
      <c r="E226" s="10"/>
    </row>
    <row r="227" spans="5:5" ht="13.2">
      <c r="E227" s="10"/>
    </row>
    <row r="228" spans="5:5" ht="13.2">
      <c r="E228" s="10"/>
    </row>
    <row r="229" spans="5:5" ht="13.2">
      <c r="E229" s="10"/>
    </row>
    <row r="230" spans="5:5" ht="13.2">
      <c r="E230" s="10"/>
    </row>
    <row r="231" spans="5:5" ht="13.2">
      <c r="E231" s="10"/>
    </row>
    <row r="232" spans="5:5" ht="13.2">
      <c r="E232" s="10"/>
    </row>
    <row r="233" spans="5:5" ht="13.2">
      <c r="E233" s="10"/>
    </row>
    <row r="234" spans="5:5" ht="13.2">
      <c r="E234" s="10"/>
    </row>
    <row r="235" spans="5:5" ht="13.2">
      <c r="E235" s="10"/>
    </row>
    <row r="236" spans="5:5" ht="13.2">
      <c r="E236" s="10"/>
    </row>
    <row r="237" spans="5:5" ht="13.2">
      <c r="E237" s="10"/>
    </row>
    <row r="238" spans="5:5" ht="13.2">
      <c r="E238" s="10"/>
    </row>
    <row r="239" spans="5:5" ht="13.2">
      <c r="E239" s="10"/>
    </row>
    <row r="240" spans="5:5" ht="13.2">
      <c r="E240" s="10"/>
    </row>
    <row r="241" spans="5:5" ht="13.2">
      <c r="E241" s="10"/>
    </row>
    <row r="242" spans="5:5" ht="13.2">
      <c r="E242" s="10"/>
    </row>
    <row r="243" spans="5:5" ht="13.2">
      <c r="E243" s="10"/>
    </row>
    <row r="244" spans="5:5" ht="13.2">
      <c r="E244" s="10"/>
    </row>
    <row r="245" spans="5:5" ht="13.2">
      <c r="E245" s="10"/>
    </row>
    <row r="246" spans="5:5" ht="13.2">
      <c r="E246" s="10"/>
    </row>
    <row r="247" spans="5:5" ht="13.2">
      <c r="E247" s="10"/>
    </row>
    <row r="248" spans="5:5" ht="13.2">
      <c r="E248" s="10"/>
    </row>
    <row r="249" spans="5:5" ht="13.2">
      <c r="E249" s="10"/>
    </row>
    <row r="250" spans="5:5" ht="13.2">
      <c r="E250" s="10"/>
    </row>
    <row r="251" spans="5:5" ht="13.2">
      <c r="E251" s="10"/>
    </row>
    <row r="252" spans="5:5" ht="13.2">
      <c r="E252" s="10"/>
    </row>
    <row r="253" spans="5:5" ht="13.2">
      <c r="E253" s="10"/>
    </row>
    <row r="254" spans="5:5" ht="13.2">
      <c r="E254" s="10"/>
    </row>
    <row r="255" spans="5:5" ht="13.2">
      <c r="E255" s="10"/>
    </row>
    <row r="256" spans="5:5" ht="13.2">
      <c r="E256" s="10"/>
    </row>
    <row r="257" spans="5:5" ht="13.2">
      <c r="E257" s="10"/>
    </row>
    <row r="258" spans="5:5" ht="13.2">
      <c r="E258" s="10"/>
    </row>
    <row r="259" spans="5:5" ht="13.2">
      <c r="E259" s="10"/>
    </row>
    <row r="260" spans="5:5" ht="13.2">
      <c r="E260" s="10"/>
    </row>
    <row r="261" spans="5:5" ht="13.2">
      <c r="E261" s="10"/>
    </row>
    <row r="262" spans="5:5" ht="13.2">
      <c r="E262" s="10"/>
    </row>
    <row r="263" spans="5:5" ht="13.2">
      <c r="E263" s="10"/>
    </row>
    <row r="264" spans="5:5" ht="13.2">
      <c r="E264" s="10"/>
    </row>
    <row r="265" spans="5:5" ht="13.2">
      <c r="E265" s="10"/>
    </row>
    <row r="266" spans="5:5" ht="13.2">
      <c r="E266" s="10"/>
    </row>
    <row r="267" spans="5:5" ht="13.2">
      <c r="E267" s="10"/>
    </row>
    <row r="268" spans="5:5" ht="13.2">
      <c r="E268" s="10"/>
    </row>
    <row r="269" spans="5:5" ht="13.2">
      <c r="E269" s="10"/>
    </row>
    <row r="270" spans="5:5" ht="13.2">
      <c r="E270" s="10"/>
    </row>
    <row r="271" spans="5:5" ht="13.2">
      <c r="E271" s="10"/>
    </row>
    <row r="272" spans="5:5" ht="13.2">
      <c r="E272" s="10"/>
    </row>
    <row r="273" spans="5:5" ht="13.2">
      <c r="E273" s="10"/>
    </row>
    <row r="274" spans="5:5" ht="13.2">
      <c r="E274" s="10"/>
    </row>
    <row r="275" spans="5:5" ht="13.2">
      <c r="E275" s="10"/>
    </row>
    <row r="276" spans="5:5" ht="13.2">
      <c r="E276" s="10"/>
    </row>
    <row r="277" spans="5:5" ht="13.2">
      <c r="E277" s="10"/>
    </row>
    <row r="278" spans="5:5" ht="13.2">
      <c r="E278" s="10"/>
    </row>
    <row r="279" spans="5:5" ht="13.2">
      <c r="E279" s="10"/>
    </row>
    <row r="280" spans="5:5" ht="13.2">
      <c r="E280" s="10"/>
    </row>
    <row r="281" spans="5:5" ht="13.2">
      <c r="E281" s="10"/>
    </row>
    <row r="282" spans="5:5" ht="13.2">
      <c r="E282" s="10"/>
    </row>
    <row r="283" spans="5:5" ht="13.2">
      <c r="E283" s="10"/>
    </row>
    <row r="284" spans="5:5" ht="13.2">
      <c r="E284" s="10"/>
    </row>
    <row r="285" spans="5:5" ht="13.2">
      <c r="E285" s="10"/>
    </row>
    <row r="286" spans="5:5" ht="13.2">
      <c r="E286" s="10"/>
    </row>
    <row r="287" spans="5:5" ht="13.2">
      <c r="E287" s="10"/>
    </row>
    <row r="288" spans="5:5" ht="13.2">
      <c r="E288" s="10"/>
    </row>
    <row r="289" spans="5:5" ht="13.2">
      <c r="E289" s="10"/>
    </row>
    <row r="290" spans="5:5" ht="13.2">
      <c r="E290" s="10"/>
    </row>
    <row r="291" spans="5:5" ht="13.2">
      <c r="E291" s="10"/>
    </row>
    <row r="292" spans="5:5" ht="13.2">
      <c r="E292" s="10"/>
    </row>
    <row r="293" spans="5:5" ht="13.2">
      <c r="E293" s="10"/>
    </row>
    <row r="294" spans="5:5" ht="13.2">
      <c r="E294" s="10"/>
    </row>
    <row r="295" spans="5:5" ht="13.2">
      <c r="E295" s="10"/>
    </row>
    <row r="296" spans="5:5" ht="13.2">
      <c r="E296" s="10"/>
    </row>
    <row r="297" spans="5:5" ht="13.2">
      <c r="E297" s="10"/>
    </row>
    <row r="298" spans="5:5" ht="13.2">
      <c r="E298" s="10"/>
    </row>
    <row r="299" spans="5:5" ht="13.2">
      <c r="E299" s="10"/>
    </row>
    <row r="300" spans="5:5" ht="13.2">
      <c r="E300" s="10"/>
    </row>
    <row r="301" spans="5:5" ht="13.2">
      <c r="E301" s="10"/>
    </row>
    <row r="302" spans="5:5" ht="13.2">
      <c r="E302" s="10"/>
    </row>
    <row r="303" spans="5:5" ht="13.2">
      <c r="E303" s="10"/>
    </row>
    <row r="304" spans="5:5" ht="13.2">
      <c r="E304" s="10"/>
    </row>
    <row r="305" spans="5:5" ht="13.2">
      <c r="E305" s="10"/>
    </row>
    <row r="306" spans="5:5" ht="13.2">
      <c r="E306" s="10"/>
    </row>
    <row r="307" spans="5:5" ht="13.2">
      <c r="E307" s="10"/>
    </row>
    <row r="308" spans="5:5" ht="13.2">
      <c r="E308" s="10"/>
    </row>
    <row r="309" spans="5:5" ht="13.2">
      <c r="E309" s="10"/>
    </row>
    <row r="310" spans="5:5" ht="13.2">
      <c r="E310" s="10"/>
    </row>
    <row r="311" spans="5:5" ht="13.2">
      <c r="E311" s="10"/>
    </row>
    <row r="312" spans="5:5" ht="13.2">
      <c r="E312" s="10"/>
    </row>
    <row r="313" spans="5:5" ht="13.2">
      <c r="E313" s="10"/>
    </row>
    <row r="314" spans="5:5" ht="13.2">
      <c r="E314" s="10"/>
    </row>
    <row r="315" spans="5:5" ht="13.2">
      <c r="E315" s="10"/>
    </row>
    <row r="316" spans="5:5" ht="13.2">
      <c r="E316" s="10"/>
    </row>
    <row r="317" spans="5:5" ht="13.2">
      <c r="E317" s="10"/>
    </row>
    <row r="318" spans="5:5" ht="13.2">
      <c r="E318" s="10"/>
    </row>
    <row r="319" spans="5:5" ht="13.2">
      <c r="E319" s="10"/>
    </row>
    <row r="320" spans="5:5" ht="13.2">
      <c r="E320" s="10"/>
    </row>
    <row r="321" spans="5:5" ht="13.2">
      <c r="E321" s="10"/>
    </row>
    <row r="322" spans="5:5" ht="13.2">
      <c r="E322" s="10"/>
    </row>
    <row r="323" spans="5:5" ht="13.2">
      <c r="E323" s="10"/>
    </row>
    <row r="324" spans="5:5" ht="13.2">
      <c r="E324" s="10"/>
    </row>
    <row r="325" spans="5:5" ht="13.2">
      <c r="E325" s="10"/>
    </row>
    <row r="326" spans="5:5" ht="13.2">
      <c r="E326" s="10"/>
    </row>
    <row r="327" spans="5:5" ht="13.2">
      <c r="E327" s="10"/>
    </row>
    <row r="328" spans="5:5" ht="13.2">
      <c r="E328" s="10"/>
    </row>
    <row r="329" spans="5:5" ht="13.2">
      <c r="E329" s="10"/>
    </row>
    <row r="330" spans="5:5" ht="13.2">
      <c r="E330" s="10"/>
    </row>
    <row r="331" spans="5:5" ht="13.2">
      <c r="E331" s="10"/>
    </row>
    <row r="332" spans="5:5" ht="13.2">
      <c r="E332" s="10"/>
    </row>
    <row r="333" spans="5:5" ht="13.2">
      <c r="E333" s="10"/>
    </row>
    <row r="334" spans="5:5" ht="13.2">
      <c r="E334" s="10"/>
    </row>
    <row r="335" spans="5:5" ht="13.2">
      <c r="E335" s="10"/>
    </row>
    <row r="336" spans="5:5" ht="13.2">
      <c r="E336" s="10"/>
    </row>
    <row r="337" spans="5:5" ht="13.2">
      <c r="E337" s="10"/>
    </row>
    <row r="338" spans="5:5" ht="13.2">
      <c r="E338" s="10"/>
    </row>
    <row r="339" spans="5:5" ht="13.2">
      <c r="E339" s="10"/>
    </row>
    <row r="340" spans="5:5" ht="13.2">
      <c r="E340" s="10"/>
    </row>
    <row r="341" spans="5:5" ht="13.2">
      <c r="E341" s="10"/>
    </row>
    <row r="342" spans="5:5" ht="13.2">
      <c r="E342" s="10"/>
    </row>
    <row r="343" spans="5:5" ht="13.2">
      <c r="E343" s="10"/>
    </row>
    <row r="344" spans="5:5" ht="13.2">
      <c r="E344" s="10"/>
    </row>
    <row r="345" spans="5:5" ht="13.2">
      <c r="E345" s="10"/>
    </row>
    <row r="346" spans="5:5" ht="13.2">
      <c r="E346" s="10"/>
    </row>
    <row r="347" spans="5:5" ht="13.2">
      <c r="E347" s="10"/>
    </row>
    <row r="348" spans="5:5" ht="13.2">
      <c r="E348" s="10"/>
    </row>
    <row r="349" spans="5:5" ht="13.2">
      <c r="E349" s="10"/>
    </row>
    <row r="350" spans="5:5" ht="13.2">
      <c r="E350" s="10"/>
    </row>
    <row r="351" spans="5:5" ht="13.2">
      <c r="E351" s="10"/>
    </row>
    <row r="352" spans="5:5" ht="13.2">
      <c r="E352" s="10"/>
    </row>
    <row r="353" spans="5:5" ht="13.2">
      <c r="E353" s="10"/>
    </row>
    <row r="354" spans="5:5" ht="13.2">
      <c r="E354" s="10"/>
    </row>
    <row r="355" spans="5:5" ht="13.2">
      <c r="E355" s="10"/>
    </row>
    <row r="356" spans="5:5" ht="13.2">
      <c r="E356" s="10"/>
    </row>
    <row r="357" spans="5:5" ht="13.2">
      <c r="E357" s="10"/>
    </row>
    <row r="358" spans="5:5" ht="13.2">
      <c r="E358" s="10"/>
    </row>
    <row r="359" spans="5:5" ht="13.2">
      <c r="E359" s="10"/>
    </row>
    <row r="360" spans="5:5" ht="13.2">
      <c r="E360" s="10"/>
    </row>
    <row r="361" spans="5:5" ht="13.2">
      <c r="E361" s="10"/>
    </row>
    <row r="362" spans="5:5" ht="13.2">
      <c r="E362" s="10"/>
    </row>
    <row r="363" spans="5:5" ht="13.2">
      <c r="E363" s="10"/>
    </row>
    <row r="364" spans="5:5" ht="13.2">
      <c r="E364" s="10"/>
    </row>
    <row r="365" spans="5:5" ht="13.2">
      <c r="E365" s="10"/>
    </row>
    <row r="366" spans="5:5" ht="13.2">
      <c r="E366" s="10"/>
    </row>
    <row r="367" spans="5:5" ht="13.2">
      <c r="E367" s="10"/>
    </row>
    <row r="368" spans="5:5" ht="13.2">
      <c r="E368" s="10"/>
    </row>
    <row r="369" spans="5:5" ht="13.2">
      <c r="E369" s="10"/>
    </row>
    <row r="370" spans="5:5" ht="13.2">
      <c r="E370" s="10"/>
    </row>
    <row r="371" spans="5:5" ht="13.2">
      <c r="E371" s="10"/>
    </row>
    <row r="372" spans="5:5" ht="13.2">
      <c r="E372" s="10"/>
    </row>
    <row r="373" spans="5:5" ht="13.2">
      <c r="E373" s="10"/>
    </row>
    <row r="374" spans="5:5" ht="13.2">
      <c r="E374" s="10"/>
    </row>
    <row r="375" spans="5:5" ht="13.2">
      <c r="E375" s="10"/>
    </row>
    <row r="376" spans="5:5" ht="13.2">
      <c r="E376" s="10"/>
    </row>
    <row r="377" spans="5:5" ht="13.2">
      <c r="E377" s="10"/>
    </row>
    <row r="378" spans="5:5" ht="13.2">
      <c r="E378" s="10"/>
    </row>
    <row r="379" spans="5:5" ht="13.2">
      <c r="E379" s="10"/>
    </row>
    <row r="380" spans="5:5" ht="13.2">
      <c r="E380" s="10"/>
    </row>
    <row r="381" spans="5:5" ht="13.2">
      <c r="E381" s="10"/>
    </row>
    <row r="382" spans="5:5" ht="13.2">
      <c r="E382" s="10"/>
    </row>
    <row r="383" spans="5:5" ht="13.2">
      <c r="E383" s="10"/>
    </row>
    <row r="384" spans="5:5" ht="13.2">
      <c r="E384" s="10"/>
    </row>
    <row r="385" spans="5:5" ht="13.2">
      <c r="E385" s="10"/>
    </row>
    <row r="386" spans="5:5" ht="13.2">
      <c r="E386" s="10"/>
    </row>
    <row r="387" spans="5:5" ht="13.2">
      <c r="E387" s="10"/>
    </row>
    <row r="388" spans="5:5" ht="13.2">
      <c r="E388" s="10"/>
    </row>
    <row r="389" spans="5:5" ht="13.2">
      <c r="E389" s="10"/>
    </row>
    <row r="390" spans="5:5" ht="13.2">
      <c r="E390" s="10"/>
    </row>
    <row r="391" spans="5:5" ht="13.2">
      <c r="E391" s="10"/>
    </row>
    <row r="392" spans="5:5" ht="13.2">
      <c r="E392" s="10"/>
    </row>
    <row r="393" spans="5:5" ht="13.2">
      <c r="E393" s="10"/>
    </row>
    <row r="394" spans="5:5" ht="13.2">
      <c r="E394" s="10"/>
    </row>
    <row r="395" spans="5:5" ht="13.2">
      <c r="E395" s="10"/>
    </row>
    <row r="396" spans="5:5" ht="13.2">
      <c r="E396" s="10"/>
    </row>
    <row r="397" spans="5:5" ht="13.2">
      <c r="E397" s="10"/>
    </row>
    <row r="398" spans="5:5" ht="13.2">
      <c r="E398" s="10"/>
    </row>
    <row r="399" spans="5:5" ht="13.2">
      <c r="E399" s="10"/>
    </row>
    <row r="400" spans="5:5" ht="13.2">
      <c r="E400" s="10"/>
    </row>
    <row r="401" spans="5:5" ht="13.2">
      <c r="E401" s="10"/>
    </row>
    <row r="402" spans="5:5" ht="13.2">
      <c r="E402" s="10"/>
    </row>
    <row r="403" spans="5:5" ht="13.2">
      <c r="E403" s="10"/>
    </row>
    <row r="404" spans="5:5" ht="13.2">
      <c r="E404" s="10"/>
    </row>
    <row r="405" spans="5:5" ht="13.2">
      <c r="E405" s="10"/>
    </row>
    <row r="406" spans="5:5" ht="13.2">
      <c r="E406" s="10"/>
    </row>
    <row r="407" spans="5:5" ht="13.2">
      <c r="E407" s="10"/>
    </row>
    <row r="408" spans="5:5" ht="13.2">
      <c r="E408" s="10"/>
    </row>
    <row r="409" spans="5:5" ht="13.2">
      <c r="E409" s="10"/>
    </row>
    <row r="410" spans="5:5" ht="13.2">
      <c r="E410" s="10"/>
    </row>
    <row r="411" spans="5:5" ht="13.2">
      <c r="E411" s="10"/>
    </row>
    <row r="412" spans="5:5" ht="13.2">
      <c r="E412" s="10"/>
    </row>
    <row r="413" spans="5:5" ht="13.2">
      <c r="E413" s="10"/>
    </row>
    <row r="414" spans="5:5" ht="13.2">
      <c r="E414" s="10"/>
    </row>
    <row r="415" spans="5:5" ht="13.2">
      <c r="E415" s="10"/>
    </row>
    <row r="416" spans="5:5" ht="13.2">
      <c r="E416" s="10"/>
    </row>
    <row r="417" spans="5:5" ht="13.2">
      <c r="E417" s="10"/>
    </row>
    <row r="418" spans="5:5" ht="13.2">
      <c r="E418" s="10"/>
    </row>
    <row r="419" spans="5:5" ht="13.2">
      <c r="E419" s="10"/>
    </row>
    <row r="420" spans="5:5" ht="13.2">
      <c r="E420" s="10"/>
    </row>
    <row r="421" spans="5:5" ht="13.2">
      <c r="E421" s="10"/>
    </row>
    <row r="422" spans="5:5" ht="13.2">
      <c r="E422" s="10"/>
    </row>
    <row r="423" spans="5:5" ht="13.2">
      <c r="E423" s="10"/>
    </row>
    <row r="424" spans="5:5" ht="13.2">
      <c r="E424" s="10"/>
    </row>
    <row r="425" spans="5:5" ht="13.2">
      <c r="E425" s="10"/>
    </row>
    <row r="426" spans="5:5" ht="13.2">
      <c r="E426" s="10"/>
    </row>
    <row r="427" spans="5:5" ht="13.2">
      <c r="E427" s="10"/>
    </row>
    <row r="428" spans="5:5" ht="13.2">
      <c r="E428" s="10"/>
    </row>
    <row r="429" spans="5:5" ht="13.2">
      <c r="E429" s="10"/>
    </row>
    <row r="430" spans="5:5" ht="13.2">
      <c r="E430" s="10"/>
    </row>
    <row r="431" spans="5:5" ht="13.2">
      <c r="E431" s="10"/>
    </row>
    <row r="432" spans="5:5" ht="13.2">
      <c r="E432" s="10"/>
    </row>
    <row r="433" spans="5:5" ht="13.2">
      <c r="E433" s="10"/>
    </row>
    <row r="434" spans="5:5" ht="13.2">
      <c r="E434" s="10"/>
    </row>
    <row r="435" spans="5:5" ht="13.2">
      <c r="E435" s="10"/>
    </row>
    <row r="436" spans="5:5" ht="13.2">
      <c r="E436" s="10"/>
    </row>
    <row r="437" spans="5:5" ht="13.2">
      <c r="E437" s="10"/>
    </row>
    <row r="438" spans="5:5" ht="13.2">
      <c r="E438" s="10"/>
    </row>
    <row r="439" spans="5:5" ht="13.2">
      <c r="E439" s="10"/>
    </row>
    <row r="440" spans="5:5" ht="13.2">
      <c r="E440" s="10"/>
    </row>
    <row r="441" spans="5:5" ht="13.2">
      <c r="E441" s="10"/>
    </row>
    <row r="442" spans="5:5" ht="13.2">
      <c r="E442" s="10"/>
    </row>
    <row r="443" spans="5:5" ht="13.2">
      <c r="E443" s="10"/>
    </row>
    <row r="444" spans="5:5" ht="13.2">
      <c r="E444" s="10"/>
    </row>
    <row r="445" spans="5:5" ht="13.2">
      <c r="E445" s="10"/>
    </row>
    <row r="446" spans="5:5" ht="13.2">
      <c r="E446" s="10"/>
    </row>
    <row r="447" spans="5:5" ht="13.2">
      <c r="E447" s="10"/>
    </row>
    <row r="448" spans="5:5" ht="13.2">
      <c r="E448" s="10"/>
    </row>
    <row r="449" spans="5:5" ht="13.2">
      <c r="E449" s="10"/>
    </row>
    <row r="450" spans="5:5" ht="13.2">
      <c r="E450" s="10"/>
    </row>
    <row r="451" spans="5:5" ht="13.2">
      <c r="E451" s="10"/>
    </row>
    <row r="452" spans="5:5" ht="13.2">
      <c r="E452" s="10"/>
    </row>
    <row r="453" spans="5:5" ht="13.2">
      <c r="E453" s="10"/>
    </row>
    <row r="454" spans="5:5" ht="13.2">
      <c r="E454" s="10"/>
    </row>
    <row r="455" spans="5:5" ht="13.2">
      <c r="E455" s="10"/>
    </row>
    <row r="456" spans="5:5" ht="13.2">
      <c r="E456" s="10"/>
    </row>
    <row r="457" spans="5:5" ht="13.2">
      <c r="E457" s="10"/>
    </row>
    <row r="458" spans="5:5" ht="13.2">
      <c r="E458" s="10"/>
    </row>
    <row r="459" spans="5:5" ht="13.2">
      <c r="E459" s="10"/>
    </row>
    <row r="460" spans="5:5" ht="13.2">
      <c r="E460" s="10"/>
    </row>
    <row r="461" spans="5:5" ht="13.2">
      <c r="E461" s="10"/>
    </row>
    <row r="462" spans="5:5" ht="13.2">
      <c r="E462" s="10"/>
    </row>
    <row r="463" spans="5:5" ht="13.2">
      <c r="E463" s="10"/>
    </row>
    <row r="464" spans="5:5" ht="13.2">
      <c r="E464" s="10"/>
    </row>
    <row r="465" spans="5:5" ht="13.2">
      <c r="E465" s="10"/>
    </row>
    <row r="466" spans="5:5" ht="13.2">
      <c r="E466" s="10"/>
    </row>
    <row r="467" spans="5:5" ht="13.2">
      <c r="E467" s="10"/>
    </row>
    <row r="468" spans="5:5" ht="13.2">
      <c r="E468" s="10"/>
    </row>
    <row r="469" spans="5:5" ht="13.2">
      <c r="E469" s="10"/>
    </row>
    <row r="470" spans="5:5" ht="13.2">
      <c r="E470" s="10"/>
    </row>
    <row r="471" spans="5:5" ht="13.2">
      <c r="E471" s="10"/>
    </row>
    <row r="472" spans="5:5" ht="13.2">
      <c r="E472" s="10"/>
    </row>
    <row r="473" spans="5:5" ht="13.2">
      <c r="E473" s="10"/>
    </row>
    <row r="474" spans="5:5" ht="13.2">
      <c r="E474" s="10"/>
    </row>
    <row r="475" spans="5:5" ht="13.2">
      <c r="E475" s="10"/>
    </row>
    <row r="476" spans="5:5" ht="13.2">
      <c r="E476" s="10"/>
    </row>
    <row r="477" spans="5:5" ht="13.2">
      <c r="E477" s="10"/>
    </row>
    <row r="478" spans="5:5" ht="13.2">
      <c r="E478" s="10"/>
    </row>
    <row r="479" spans="5:5" ht="13.2">
      <c r="E479" s="10"/>
    </row>
    <row r="480" spans="5:5" ht="13.2">
      <c r="E480" s="10"/>
    </row>
    <row r="481" spans="5:5" ht="13.2">
      <c r="E481" s="10"/>
    </row>
    <row r="482" spans="5:5" ht="13.2">
      <c r="E482" s="10"/>
    </row>
    <row r="483" spans="5:5" ht="13.2">
      <c r="E483" s="10"/>
    </row>
    <row r="484" spans="5:5" ht="13.2">
      <c r="E484" s="10"/>
    </row>
    <row r="485" spans="5:5" ht="13.2">
      <c r="E485" s="10"/>
    </row>
    <row r="486" spans="5:5" ht="13.2">
      <c r="E486" s="10"/>
    </row>
    <row r="487" spans="5:5" ht="13.2">
      <c r="E487" s="10"/>
    </row>
    <row r="488" spans="5:5" ht="13.2">
      <c r="E488" s="10"/>
    </row>
    <row r="489" spans="5:5" ht="13.2">
      <c r="E489" s="10"/>
    </row>
    <row r="490" spans="5:5" ht="13.2">
      <c r="E490" s="10"/>
    </row>
    <row r="491" spans="5:5" ht="13.2">
      <c r="E491" s="10"/>
    </row>
    <row r="492" spans="5:5" ht="13.2">
      <c r="E492" s="10"/>
    </row>
    <row r="493" spans="5:5" ht="13.2">
      <c r="E493" s="10"/>
    </row>
    <row r="494" spans="5:5" ht="13.2">
      <c r="E494" s="10"/>
    </row>
    <row r="495" spans="5:5" ht="13.2">
      <c r="E495" s="10"/>
    </row>
    <row r="496" spans="5:5" ht="13.2">
      <c r="E496" s="10"/>
    </row>
    <row r="497" spans="5:5" ht="13.2">
      <c r="E497" s="10"/>
    </row>
    <row r="498" spans="5:5" ht="13.2">
      <c r="E498" s="10"/>
    </row>
    <row r="499" spans="5:5" ht="13.2">
      <c r="E499" s="10"/>
    </row>
    <row r="500" spans="5:5" ht="13.2">
      <c r="E500" s="10"/>
    </row>
    <row r="501" spans="5:5" ht="13.2">
      <c r="E501" s="10"/>
    </row>
    <row r="502" spans="5:5" ht="13.2">
      <c r="E502" s="10"/>
    </row>
    <row r="503" spans="5:5" ht="13.2">
      <c r="E503" s="10"/>
    </row>
    <row r="504" spans="5:5" ht="13.2">
      <c r="E504" s="10"/>
    </row>
    <row r="505" spans="5:5" ht="13.2">
      <c r="E505" s="10"/>
    </row>
    <row r="506" spans="5:5" ht="13.2">
      <c r="E506" s="10"/>
    </row>
    <row r="507" spans="5:5" ht="13.2">
      <c r="E507" s="10"/>
    </row>
    <row r="508" spans="5:5" ht="13.2">
      <c r="E508" s="10"/>
    </row>
    <row r="509" spans="5:5" ht="13.2">
      <c r="E509" s="10"/>
    </row>
    <row r="510" spans="5:5" ht="13.2">
      <c r="E510" s="10"/>
    </row>
    <row r="511" spans="5:5" ht="13.2">
      <c r="E511" s="10"/>
    </row>
    <row r="512" spans="5:5" ht="13.2">
      <c r="E512" s="10"/>
    </row>
    <row r="513" spans="5:5" ht="13.2">
      <c r="E513" s="10"/>
    </row>
    <row r="514" spans="5:5" ht="13.2">
      <c r="E514" s="10"/>
    </row>
    <row r="515" spans="5:5" ht="13.2">
      <c r="E515" s="10"/>
    </row>
    <row r="516" spans="5:5" ht="13.2">
      <c r="E516" s="10"/>
    </row>
    <row r="517" spans="5:5" ht="13.2">
      <c r="E517" s="10"/>
    </row>
    <row r="518" spans="5:5" ht="13.2">
      <c r="E518" s="10"/>
    </row>
    <row r="519" spans="5:5" ht="13.2">
      <c r="E519" s="10"/>
    </row>
    <row r="520" spans="5:5" ht="13.2">
      <c r="E520" s="10"/>
    </row>
    <row r="521" spans="5:5" ht="13.2">
      <c r="E521" s="10"/>
    </row>
    <row r="522" spans="5:5" ht="13.2">
      <c r="E522" s="10"/>
    </row>
    <row r="523" spans="5:5" ht="13.2">
      <c r="E523" s="10"/>
    </row>
    <row r="524" spans="5:5" ht="13.2">
      <c r="E524" s="10"/>
    </row>
    <row r="525" spans="5:5" ht="13.2">
      <c r="E525" s="10"/>
    </row>
    <row r="526" spans="5:5" ht="13.2">
      <c r="E526" s="10"/>
    </row>
    <row r="527" spans="5:5" ht="13.2">
      <c r="E527" s="10"/>
    </row>
    <row r="528" spans="5:5" ht="13.2">
      <c r="E528" s="10"/>
    </row>
    <row r="529" spans="5:5" ht="13.2">
      <c r="E529" s="10"/>
    </row>
    <row r="530" spans="5:5" ht="13.2">
      <c r="E530" s="10"/>
    </row>
    <row r="531" spans="5:5" ht="13.2">
      <c r="E531" s="10"/>
    </row>
    <row r="532" spans="5:5" ht="13.2">
      <c r="E532" s="10"/>
    </row>
    <row r="533" spans="5:5" ht="13.2">
      <c r="E533" s="10"/>
    </row>
    <row r="534" spans="5:5" ht="13.2">
      <c r="E534" s="10"/>
    </row>
    <row r="535" spans="5:5" ht="13.2">
      <c r="E535" s="10"/>
    </row>
    <row r="536" spans="5:5" ht="13.2">
      <c r="E536" s="10"/>
    </row>
    <row r="537" spans="5:5" ht="13.2">
      <c r="E537" s="10"/>
    </row>
    <row r="538" spans="5:5" ht="13.2">
      <c r="E538" s="10"/>
    </row>
    <row r="539" spans="5:5" ht="13.2">
      <c r="E539" s="10"/>
    </row>
    <row r="540" spans="5:5" ht="13.2">
      <c r="E540" s="10"/>
    </row>
    <row r="541" spans="5:5" ht="13.2">
      <c r="E541" s="10"/>
    </row>
    <row r="542" spans="5:5" ht="13.2">
      <c r="E542" s="10"/>
    </row>
    <row r="543" spans="5:5" ht="13.2">
      <c r="E543" s="10"/>
    </row>
    <row r="544" spans="5:5" ht="13.2">
      <c r="E544" s="10"/>
    </row>
    <row r="545" spans="5:5" ht="13.2">
      <c r="E545" s="10"/>
    </row>
    <row r="546" spans="5:5" ht="13.2">
      <c r="E546" s="10"/>
    </row>
    <row r="547" spans="5:5" ht="13.2">
      <c r="E547" s="10"/>
    </row>
    <row r="548" spans="5:5" ht="13.2">
      <c r="E548" s="10"/>
    </row>
    <row r="549" spans="5:5" ht="13.2">
      <c r="E549" s="10"/>
    </row>
    <row r="550" spans="5:5" ht="13.2">
      <c r="E550" s="10"/>
    </row>
    <row r="551" spans="5:5" ht="13.2">
      <c r="E551" s="10"/>
    </row>
    <row r="552" spans="5:5" ht="13.2">
      <c r="E552" s="10"/>
    </row>
    <row r="553" spans="5:5" ht="13.2">
      <c r="E553" s="10"/>
    </row>
    <row r="554" spans="5:5" ht="13.2">
      <c r="E554" s="10"/>
    </row>
    <row r="555" spans="5:5" ht="13.2">
      <c r="E555" s="10"/>
    </row>
    <row r="556" spans="5:5" ht="13.2">
      <c r="E556" s="10"/>
    </row>
    <row r="557" spans="5:5" ht="13.2">
      <c r="E557" s="10"/>
    </row>
    <row r="558" spans="5:5" ht="13.2">
      <c r="E558" s="10"/>
    </row>
    <row r="559" spans="5:5" ht="13.2">
      <c r="E559" s="10"/>
    </row>
    <row r="560" spans="5:5" ht="13.2">
      <c r="E560" s="10"/>
    </row>
    <row r="561" spans="5:5" ht="13.2">
      <c r="E561" s="10"/>
    </row>
    <row r="562" spans="5:5" ht="13.2">
      <c r="E562" s="10"/>
    </row>
    <row r="563" spans="5:5" ht="13.2">
      <c r="E563" s="10"/>
    </row>
    <row r="564" spans="5:5" ht="13.2">
      <c r="E564" s="10"/>
    </row>
    <row r="565" spans="5:5" ht="13.2">
      <c r="E565" s="10"/>
    </row>
    <row r="566" spans="5:5" ht="13.2">
      <c r="E566" s="10"/>
    </row>
    <row r="567" spans="5:5" ht="13.2">
      <c r="E567" s="10"/>
    </row>
    <row r="568" spans="5:5" ht="13.2">
      <c r="E568" s="10"/>
    </row>
    <row r="569" spans="5:5" ht="13.2">
      <c r="E569" s="10"/>
    </row>
    <row r="570" spans="5:5" ht="13.2">
      <c r="E570" s="10"/>
    </row>
    <row r="571" spans="5:5" ht="13.2">
      <c r="E571" s="10"/>
    </row>
    <row r="572" spans="5:5" ht="13.2">
      <c r="E572" s="10"/>
    </row>
    <row r="573" spans="5:5" ht="13.2">
      <c r="E573" s="10"/>
    </row>
    <row r="574" spans="5:5" ht="13.2">
      <c r="E574" s="10"/>
    </row>
    <row r="575" spans="5:5" ht="13.2">
      <c r="E575" s="10"/>
    </row>
    <row r="576" spans="5:5" ht="13.2">
      <c r="E576" s="10"/>
    </row>
    <row r="577" spans="5:5" ht="13.2">
      <c r="E577" s="10"/>
    </row>
    <row r="578" spans="5:5" ht="13.2">
      <c r="E578" s="10"/>
    </row>
    <row r="579" spans="5:5" ht="13.2">
      <c r="E579" s="10"/>
    </row>
    <row r="580" spans="5:5" ht="13.2">
      <c r="E580" s="10"/>
    </row>
    <row r="581" spans="5:5" ht="13.2">
      <c r="E581" s="10"/>
    </row>
    <row r="582" spans="5:5" ht="13.2">
      <c r="E582" s="10"/>
    </row>
    <row r="583" spans="5:5" ht="13.2">
      <c r="E583" s="10"/>
    </row>
    <row r="584" spans="5:5" ht="13.2">
      <c r="E584" s="10"/>
    </row>
    <row r="585" spans="5:5" ht="13.2">
      <c r="E585" s="10"/>
    </row>
    <row r="586" spans="5:5" ht="13.2">
      <c r="E586" s="10"/>
    </row>
    <row r="587" spans="5:5" ht="13.2">
      <c r="E587" s="10"/>
    </row>
    <row r="588" spans="5:5" ht="13.2">
      <c r="E588" s="10"/>
    </row>
    <row r="589" spans="5:5" ht="13.2">
      <c r="E589" s="10"/>
    </row>
    <row r="590" spans="5:5" ht="13.2">
      <c r="E590" s="10"/>
    </row>
    <row r="591" spans="5:5" ht="13.2">
      <c r="E591" s="10"/>
    </row>
    <row r="592" spans="5:5" ht="13.2">
      <c r="E592" s="10"/>
    </row>
    <row r="593" spans="5:5" ht="13.2">
      <c r="E593" s="10"/>
    </row>
    <row r="594" spans="5:5" ht="13.2">
      <c r="E594" s="10"/>
    </row>
    <row r="595" spans="5:5" ht="13.2">
      <c r="E595" s="10"/>
    </row>
    <row r="596" spans="5:5" ht="13.2">
      <c r="E596" s="10"/>
    </row>
    <row r="597" spans="5:5" ht="13.2">
      <c r="E597" s="10"/>
    </row>
    <row r="598" spans="5:5" ht="13.2">
      <c r="E598" s="10"/>
    </row>
    <row r="599" spans="5:5" ht="13.2">
      <c r="E599" s="10"/>
    </row>
    <row r="600" spans="5:5" ht="13.2">
      <c r="E600" s="10"/>
    </row>
    <row r="601" spans="5:5" ht="13.2">
      <c r="E601" s="10"/>
    </row>
    <row r="602" spans="5:5" ht="13.2">
      <c r="E602" s="10"/>
    </row>
    <row r="603" spans="5:5" ht="13.2">
      <c r="E603" s="10"/>
    </row>
    <row r="604" spans="5:5" ht="13.2">
      <c r="E604" s="10"/>
    </row>
    <row r="605" spans="5:5" ht="13.2">
      <c r="E605" s="10"/>
    </row>
    <row r="606" spans="5:5" ht="13.2">
      <c r="E606" s="10"/>
    </row>
    <row r="607" spans="5:5" ht="13.2">
      <c r="E607" s="10"/>
    </row>
    <row r="608" spans="5:5" ht="13.2">
      <c r="E608" s="10"/>
    </row>
    <row r="609" spans="5:5" ht="13.2">
      <c r="E609" s="10"/>
    </row>
    <row r="610" spans="5:5" ht="13.2">
      <c r="E610" s="10"/>
    </row>
    <row r="611" spans="5:5" ht="13.2">
      <c r="E611" s="10"/>
    </row>
    <row r="612" spans="5:5" ht="13.2">
      <c r="E612" s="10"/>
    </row>
    <row r="613" spans="5:5" ht="13.2">
      <c r="E613" s="10"/>
    </row>
    <row r="614" spans="5:5" ht="13.2">
      <c r="E614" s="10"/>
    </row>
    <row r="615" spans="5:5" ht="13.2">
      <c r="E615" s="10"/>
    </row>
    <row r="616" spans="5:5" ht="13.2">
      <c r="E616" s="10"/>
    </row>
    <row r="617" spans="5:5" ht="13.2">
      <c r="E617" s="10"/>
    </row>
    <row r="618" spans="5:5" ht="13.2">
      <c r="E618" s="10"/>
    </row>
    <row r="619" spans="5:5" ht="13.2">
      <c r="E619" s="10"/>
    </row>
    <row r="620" spans="5:5" ht="13.2">
      <c r="E620" s="10"/>
    </row>
    <row r="621" spans="5:5" ht="13.2">
      <c r="E621" s="10"/>
    </row>
    <row r="622" spans="5:5" ht="13.2">
      <c r="E622" s="10"/>
    </row>
    <row r="623" spans="5:5" ht="13.2">
      <c r="E623" s="10"/>
    </row>
    <row r="624" spans="5:5" ht="13.2">
      <c r="E624" s="10"/>
    </row>
    <row r="625" spans="5:5" ht="13.2">
      <c r="E625" s="10"/>
    </row>
    <row r="626" spans="5:5" ht="13.2">
      <c r="E626" s="10"/>
    </row>
    <row r="627" spans="5:5" ht="13.2">
      <c r="E627" s="10"/>
    </row>
    <row r="628" spans="5:5" ht="13.2">
      <c r="E628" s="10"/>
    </row>
    <row r="629" spans="5:5" ht="13.2">
      <c r="E629" s="10"/>
    </row>
    <row r="630" spans="5:5" ht="13.2">
      <c r="E630" s="10"/>
    </row>
    <row r="631" spans="5:5" ht="13.2">
      <c r="E631" s="10"/>
    </row>
    <row r="632" spans="5:5" ht="13.2">
      <c r="E632" s="10"/>
    </row>
    <row r="633" spans="5:5" ht="13.2">
      <c r="E633" s="10"/>
    </row>
    <row r="634" spans="5:5" ht="13.2">
      <c r="E634" s="10"/>
    </row>
    <row r="635" spans="5:5" ht="13.2">
      <c r="E635" s="10"/>
    </row>
    <row r="636" spans="5:5" ht="13.2">
      <c r="E636" s="10"/>
    </row>
    <row r="637" spans="5:5" ht="13.2">
      <c r="E637" s="10"/>
    </row>
    <row r="638" spans="5:5" ht="13.2">
      <c r="E638" s="10"/>
    </row>
    <row r="639" spans="5:5" ht="13.2">
      <c r="E639" s="10"/>
    </row>
    <row r="640" spans="5:5" ht="13.2">
      <c r="E640" s="10"/>
    </row>
    <row r="641" spans="5:5" ht="13.2">
      <c r="E641" s="10"/>
    </row>
    <row r="642" spans="5:5" ht="13.2">
      <c r="E642" s="10"/>
    </row>
    <row r="643" spans="5:5" ht="13.2">
      <c r="E643" s="10"/>
    </row>
    <row r="644" spans="5:5" ht="13.2">
      <c r="E644" s="10"/>
    </row>
    <row r="645" spans="5:5" ht="13.2">
      <c r="E645" s="10"/>
    </row>
    <row r="646" spans="5:5" ht="13.2">
      <c r="E646" s="10"/>
    </row>
    <row r="647" spans="5:5" ht="13.2">
      <c r="E647" s="10"/>
    </row>
    <row r="648" spans="5:5" ht="13.2">
      <c r="E648" s="10"/>
    </row>
    <row r="649" spans="5:5" ht="13.2">
      <c r="E649" s="10"/>
    </row>
    <row r="650" spans="5:5" ht="13.2">
      <c r="E650" s="10"/>
    </row>
    <row r="651" spans="5:5" ht="13.2">
      <c r="E651" s="10"/>
    </row>
    <row r="652" spans="5:5" ht="13.2">
      <c r="E652" s="10"/>
    </row>
    <row r="653" spans="5:5" ht="13.2">
      <c r="E653" s="10"/>
    </row>
    <row r="654" spans="5:5" ht="13.2">
      <c r="E654" s="10"/>
    </row>
    <row r="655" spans="5:5" ht="13.2">
      <c r="E655" s="10"/>
    </row>
    <row r="656" spans="5:5" ht="13.2">
      <c r="E656" s="10"/>
    </row>
    <row r="657" spans="5:5" ht="13.2">
      <c r="E657" s="10"/>
    </row>
    <row r="658" spans="5:5" ht="13.2">
      <c r="E658" s="10"/>
    </row>
    <row r="659" spans="5:5" ht="13.2">
      <c r="E659" s="10"/>
    </row>
    <row r="660" spans="5:5" ht="13.2">
      <c r="E660" s="10"/>
    </row>
    <row r="661" spans="5:5" ht="13.2">
      <c r="E661" s="10"/>
    </row>
    <row r="662" spans="5:5" ht="13.2">
      <c r="E662" s="10"/>
    </row>
    <row r="663" spans="5:5" ht="13.2">
      <c r="E663" s="10"/>
    </row>
    <row r="664" spans="5:5" ht="13.2">
      <c r="E664" s="10"/>
    </row>
    <row r="665" spans="5:5" ht="13.2">
      <c r="E665" s="10"/>
    </row>
    <row r="666" spans="5:5" ht="13.2">
      <c r="E666" s="10"/>
    </row>
    <row r="667" spans="5:5" ht="13.2">
      <c r="E667" s="10"/>
    </row>
    <row r="668" spans="5:5" ht="13.2">
      <c r="E668" s="10"/>
    </row>
    <row r="669" spans="5:5" ht="13.2">
      <c r="E669" s="10"/>
    </row>
    <row r="670" spans="5:5" ht="13.2">
      <c r="E670" s="10"/>
    </row>
    <row r="671" spans="5:5" ht="13.2">
      <c r="E671" s="10"/>
    </row>
    <row r="672" spans="5:5" ht="13.2">
      <c r="E672" s="10"/>
    </row>
    <row r="673" spans="5:5" ht="13.2">
      <c r="E673" s="10"/>
    </row>
    <row r="674" spans="5:5" ht="13.2">
      <c r="E674" s="10"/>
    </row>
    <row r="675" spans="5:5" ht="13.2">
      <c r="E675" s="10"/>
    </row>
    <row r="676" spans="5:5" ht="13.2">
      <c r="E676" s="10"/>
    </row>
    <row r="677" spans="5:5" ht="13.2">
      <c r="E677" s="10"/>
    </row>
    <row r="678" spans="5:5" ht="13.2">
      <c r="E678" s="10"/>
    </row>
    <row r="679" spans="5:5" ht="13.2">
      <c r="E679" s="10"/>
    </row>
    <row r="680" spans="5:5" ht="13.2">
      <c r="E680" s="10"/>
    </row>
    <row r="681" spans="5:5" ht="13.2">
      <c r="E681" s="10"/>
    </row>
    <row r="682" spans="5:5" ht="13.2">
      <c r="E682" s="10"/>
    </row>
    <row r="683" spans="5:5" ht="13.2">
      <c r="E683" s="10"/>
    </row>
    <row r="684" spans="5:5" ht="13.2">
      <c r="E684" s="10"/>
    </row>
    <row r="685" spans="5:5" ht="13.2">
      <c r="E685" s="10"/>
    </row>
    <row r="686" spans="5:5" ht="13.2">
      <c r="E686" s="10"/>
    </row>
    <row r="687" spans="5:5" ht="13.2">
      <c r="E687" s="10"/>
    </row>
    <row r="688" spans="5:5" ht="13.2">
      <c r="E688" s="10"/>
    </row>
    <row r="689" spans="5:5" ht="13.2">
      <c r="E689" s="10"/>
    </row>
    <row r="690" spans="5:5" ht="13.2">
      <c r="E690" s="10"/>
    </row>
    <row r="691" spans="5:5" ht="13.2">
      <c r="E691" s="10"/>
    </row>
    <row r="692" spans="5:5" ht="13.2">
      <c r="E692" s="10"/>
    </row>
    <row r="693" spans="5:5" ht="13.2">
      <c r="E693" s="10"/>
    </row>
    <row r="694" spans="5:5" ht="13.2">
      <c r="E694" s="10"/>
    </row>
    <row r="695" spans="5:5" ht="13.2">
      <c r="E695" s="10"/>
    </row>
    <row r="696" spans="5:5" ht="13.2">
      <c r="E696" s="10"/>
    </row>
    <row r="697" spans="5:5" ht="13.2">
      <c r="E697" s="10"/>
    </row>
    <row r="698" spans="5:5" ht="13.2">
      <c r="E698" s="10"/>
    </row>
    <row r="699" spans="5:5" ht="13.2">
      <c r="E699" s="10"/>
    </row>
    <row r="700" spans="5:5" ht="13.2">
      <c r="E700" s="10"/>
    </row>
    <row r="701" spans="5:5" ht="13.2">
      <c r="E701" s="10"/>
    </row>
    <row r="702" spans="5:5" ht="13.2">
      <c r="E702" s="10"/>
    </row>
    <row r="703" spans="5:5" ht="13.2">
      <c r="E703" s="10"/>
    </row>
    <row r="704" spans="5:5" ht="13.2">
      <c r="E704" s="10"/>
    </row>
    <row r="705" spans="5:5" ht="13.2">
      <c r="E705" s="10"/>
    </row>
    <row r="706" spans="5:5" ht="13.2">
      <c r="E706" s="10"/>
    </row>
    <row r="707" spans="5:5" ht="13.2">
      <c r="E707" s="10"/>
    </row>
    <row r="708" spans="5:5" ht="13.2">
      <c r="E708" s="10"/>
    </row>
    <row r="709" spans="5:5" ht="13.2">
      <c r="E709" s="10"/>
    </row>
    <row r="710" spans="5:5" ht="13.2">
      <c r="E710" s="10"/>
    </row>
    <row r="711" spans="5:5" ht="13.2">
      <c r="E711" s="10"/>
    </row>
    <row r="712" spans="5:5" ht="13.2">
      <c r="E712" s="10"/>
    </row>
    <row r="713" spans="5:5" ht="13.2">
      <c r="E713" s="10"/>
    </row>
    <row r="714" spans="5:5" ht="13.2">
      <c r="E714" s="10"/>
    </row>
    <row r="715" spans="5:5" ht="13.2">
      <c r="E715" s="10"/>
    </row>
    <row r="716" spans="5:5" ht="13.2">
      <c r="E716" s="10"/>
    </row>
    <row r="717" spans="5:5" ht="13.2">
      <c r="E717" s="10"/>
    </row>
    <row r="718" spans="5:5" ht="13.2">
      <c r="E718" s="10"/>
    </row>
    <row r="719" spans="5:5" ht="13.2">
      <c r="E719" s="10"/>
    </row>
    <row r="720" spans="5:5" ht="13.2">
      <c r="E720" s="10"/>
    </row>
    <row r="721" spans="5:5" ht="13.2">
      <c r="E721" s="10"/>
    </row>
    <row r="722" spans="5:5" ht="13.2">
      <c r="E722" s="10"/>
    </row>
    <row r="723" spans="5:5" ht="13.2">
      <c r="E723" s="10"/>
    </row>
    <row r="724" spans="5:5" ht="13.2">
      <c r="E724" s="10"/>
    </row>
    <row r="725" spans="5:5" ht="13.2">
      <c r="E725" s="10"/>
    </row>
    <row r="726" spans="5:5" ht="13.2">
      <c r="E726" s="10"/>
    </row>
    <row r="727" spans="5:5" ht="13.2">
      <c r="E727" s="10"/>
    </row>
    <row r="728" spans="5:5" ht="13.2">
      <c r="E728" s="10"/>
    </row>
    <row r="729" spans="5:5" ht="13.2">
      <c r="E729" s="10"/>
    </row>
    <row r="730" spans="5:5" ht="13.2">
      <c r="E730" s="10"/>
    </row>
    <row r="731" spans="5:5" ht="13.2">
      <c r="E731" s="10"/>
    </row>
    <row r="732" spans="5:5" ht="13.2">
      <c r="E732" s="10"/>
    </row>
    <row r="733" spans="5:5" ht="13.2">
      <c r="E733" s="10"/>
    </row>
    <row r="734" spans="5:5" ht="13.2">
      <c r="E734" s="10"/>
    </row>
    <row r="735" spans="5:5" ht="13.2">
      <c r="E735" s="10"/>
    </row>
    <row r="736" spans="5:5" ht="13.2">
      <c r="E736" s="10"/>
    </row>
    <row r="737" spans="5:5" ht="13.2">
      <c r="E737" s="10"/>
    </row>
    <row r="738" spans="5:5" ht="13.2">
      <c r="E738" s="10"/>
    </row>
    <row r="739" spans="5:5" ht="13.2">
      <c r="E739" s="10"/>
    </row>
    <row r="740" spans="5:5" ht="13.2">
      <c r="E740" s="10"/>
    </row>
    <row r="741" spans="5:5" ht="13.2">
      <c r="E741" s="10"/>
    </row>
    <row r="742" spans="5:5" ht="13.2">
      <c r="E742" s="10"/>
    </row>
    <row r="743" spans="5:5" ht="13.2">
      <c r="E743" s="10"/>
    </row>
    <row r="744" spans="5:5" ht="13.2">
      <c r="E744" s="10"/>
    </row>
    <row r="745" spans="5:5" ht="13.2">
      <c r="E745" s="10"/>
    </row>
    <row r="746" spans="5:5" ht="13.2">
      <c r="E746" s="10"/>
    </row>
    <row r="747" spans="5:5" ht="13.2">
      <c r="E747" s="10"/>
    </row>
    <row r="748" spans="5:5" ht="13.2">
      <c r="E748" s="10"/>
    </row>
    <row r="749" spans="5:5" ht="13.2">
      <c r="E749" s="10"/>
    </row>
    <row r="750" spans="5:5" ht="13.2">
      <c r="E750" s="10"/>
    </row>
    <row r="751" spans="5:5" ht="13.2">
      <c r="E751" s="10"/>
    </row>
    <row r="752" spans="5:5" ht="13.2">
      <c r="E752" s="10"/>
    </row>
    <row r="753" spans="5:5" ht="13.2">
      <c r="E753" s="10"/>
    </row>
    <row r="754" spans="5:5" ht="13.2">
      <c r="E754" s="10"/>
    </row>
    <row r="755" spans="5:5" ht="13.2">
      <c r="E755" s="10"/>
    </row>
    <row r="756" spans="5:5" ht="13.2">
      <c r="E756" s="10"/>
    </row>
    <row r="757" spans="5:5" ht="13.2">
      <c r="E757" s="10"/>
    </row>
    <row r="758" spans="5:5" ht="13.2">
      <c r="E758" s="10"/>
    </row>
    <row r="759" spans="5:5" ht="13.2">
      <c r="E759" s="10"/>
    </row>
    <row r="760" spans="5:5" ht="13.2">
      <c r="E760" s="10"/>
    </row>
    <row r="761" spans="5:5" ht="13.2">
      <c r="E761" s="10"/>
    </row>
    <row r="762" spans="5:5" ht="13.2">
      <c r="E762" s="10"/>
    </row>
    <row r="763" spans="5:5" ht="13.2">
      <c r="E763" s="10"/>
    </row>
    <row r="764" spans="5:5" ht="13.2">
      <c r="E764" s="10"/>
    </row>
    <row r="765" spans="5:5" ht="13.2">
      <c r="E765" s="10"/>
    </row>
    <row r="766" spans="5:5" ht="13.2">
      <c r="E766" s="10"/>
    </row>
    <row r="767" spans="5:5" ht="13.2">
      <c r="E767" s="10"/>
    </row>
    <row r="768" spans="5:5" ht="13.2">
      <c r="E768" s="10"/>
    </row>
    <row r="769" spans="5:5" ht="13.2">
      <c r="E769" s="10"/>
    </row>
    <row r="770" spans="5:5" ht="13.2">
      <c r="E770" s="10"/>
    </row>
    <row r="771" spans="5:5" ht="13.2">
      <c r="E771" s="10"/>
    </row>
    <row r="772" spans="5:5" ht="13.2">
      <c r="E772" s="10"/>
    </row>
    <row r="773" spans="5:5" ht="13.2">
      <c r="E773" s="10"/>
    </row>
    <row r="774" spans="5:5" ht="13.2">
      <c r="E774" s="10"/>
    </row>
    <row r="775" spans="5:5" ht="13.2">
      <c r="E775" s="10"/>
    </row>
    <row r="776" spans="5:5" ht="13.2">
      <c r="E776" s="10"/>
    </row>
    <row r="777" spans="5:5" ht="13.2">
      <c r="E777" s="10"/>
    </row>
    <row r="778" spans="5:5" ht="13.2">
      <c r="E778" s="10"/>
    </row>
    <row r="779" spans="5:5" ht="13.2">
      <c r="E779" s="10"/>
    </row>
    <row r="780" spans="5:5" ht="13.2">
      <c r="E780" s="10"/>
    </row>
    <row r="781" spans="5:5" ht="13.2">
      <c r="E781" s="10"/>
    </row>
    <row r="782" spans="5:5" ht="13.2">
      <c r="E782" s="10"/>
    </row>
    <row r="783" spans="5:5" ht="13.2">
      <c r="E783" s="10"/>
    </row>
    <row r="784" spans="5:5" ht="13.2">
      <c r="E784" s="10"/>
    </row>
    <row r="785" spans="5:5" ht="13.2">
      <c r="E785" s="10"/>
    </row>
    <row r="786" spans="5:5" ht="13.2">
      <c r="E786" s="10"/>
    </row>
    <row r="787" spans="5:5" ht="13.2">
      <c r="E787" s="10"/>
    </row>
    <row r="788" spans="5:5" ht="13.2">
      <c r="E788" s="10"/>
    </row>
    <row r="789" spans="5:5" ht="13.2">
      <c r="E789" s="10"/>
    </row>
    <row r="790" spans="5:5" ht="13.2">
      <c r="E790" s="10"/>
    </row>
    <row r="791" spans="5:5" ht="13.2">
      <c r="E791" s="10"/>
    </row>
    <row r="792" spans="5:5" ht="13.2">
      <c r="E792" s="10"/>
    </row>
    <row r="793" spans="5:5" ht="13.2">
      <c r="E793" s="10"/>
    </row>
    <row r="794" spans="5:5" ht="13.2">
      <c r="E794" s="10"/>
    </row>
    <row r="795" spans="5:5" ht="13.2">
      <c r="E795" s="10"/>
    </row>
    <row r="796" spans="5:5" ht="13.2">
      <c r="E796" s="10"/>
    </row>
    <row r="797" spans="5:5" ht="13.2">
      <c r="E797" s="10"/>
    </row>
    <row r="798" spans="5:5" ht="13.2">
      <c r="E798" s="10"/>
    </row>
    <row r="799" spans="5:5" ht="13.2">
      <c r="E799" s="10"/>
    </row>
    <row r="800" spans="5:5" ht="13.2">
      <c r="E800" s="10"/>
    </row>
    <row r="801" spans="5:5" ht="13.2">
      <c r="E801" s="10"/>
    </row>
    <row r="802" spans="5:5" ht="13.2">
      <c r="E802" s="10"/>
    </row>
    <row r="803" spans="5:5" ht="13.2">
      <c r="E803" s="10"/>
    </row>
    <row r="804" spans="5:5" ht="13.2">
      <c r="E804" s="10"/>
    </row>
    <row r="805" spans="5:5" ht="13.2">
      <c r="E805" s="10"/>
    </row>
    <row r="806" spans="5:5" ht="13.2">
      <c r="E806" s="10"/>
    </row>
    <row r="807" spans="5:5" ht="13.2">
      <c r="E807" s="10"/>
    </row>
    <row r="808" spans="5:5" ht="13.2">
      <c r="E808" s="10"/>
    </row>
    <row r="809" spans="5:5" ht="13.2">
      <c r="E809" s="10"/>
    </row>
    <row r="810" spans="5:5" ht="13.2">
      <c r="E810" s="10"/>
    </row>
    <row r="811" spans="5:5" ht="13.2">
      <c r="E811" s="10"/>
    </row>
    <row r="812" spans="5:5" ht="13.2">
      <c r="E812" s="10"/>
    </row>
    <row r="813" spans="5:5" ht="13.2">
      <c r="E813" s="10"/>
    </row>
    <row r="814" spans="5:5" ht="13.2">
      <c r="E814" s="10"/>
    </row>
    <row r="815" spans="5:5" ht="13.2">
      <c r="E815" s="10"/>
    </row>
    <row r="816" spans="5:5" ht="13.2">
      <c r="E816" s="10"/>
    </row>
    <row r="817" spans="5:5" ht="13.2">
      <c r="E817" s="10"/>
    </row>
    <row r="818" spans="5:5" ht="13.2">
      <c r="E818" s="10"/>
    </row>
    <row r="819" spans="5:5" ht="13.2">
      <c r="E819" s="10"/>
    </row>
    <row r="820" spans="5:5" ht="13.2">
      <c r="E820" s="10"/>
    </row>
    <row r="821" spans="5:5" ht="13.2">
      <c r="E821" s="10"/>
    </row>
    <row r="822" spans="5:5" ht="13.2">
      <c r="E822" s="10"/>
    </row>
    <row r="823" spans="5:5" ht="13.2">
      <c r="E823" s="10"/>
    </row>
    <row r="824" spans="5:5" ht="13.2">
      <c r="E824" s="10"/>
    </row>
    <row r="825" spans="5:5" ht="13.2">
      <c r="E825" s="10"/>
    </row>
    <row r="826" spans="5:5" ht="13.2">
      <c r="E826" s="10"/>
    </row>
    <row r="827" spans="5:5" ht="13.2">
      <c r="E827" s="10"/>
    </row>
    <row r="828" spans="5:5" ht="13.2">
      <c r="E828" s="10"/>
    </row>
    <row r="829" spans="5:5" ht="13.2">
      <c r="E829" s="10"/>
    </row>
    <row r="830" spans="5:5" ht="13.2">
      <c r="E830" s="10"/>
    </row>
    <row r="831" spans="5:5" ht="13.2">
      <c r="E831" s="10"/>
    </row>
    <row r="832" spans="5:5" ht="13.2">
      <c r="E832" s="10"/>
    </row>
    <row r="833" spans="5:5" ht="13.2">
      <c r="E833" s="10"/>
    </row>
    <row r="834" spans="5:5" ht="13.2">
      <c r="E834" s="10"/>
    </row>
    <row r="835" spans="5:5" ht="13.2">
      <c r="E835" s="10"/>
    </row>
    <row r="836" spans="5:5" ht="13.2">
      <c r="E836" s="10"/>
    </row>
    <row r="837" spans="5:5" ht="13.2">
      <c r="E837" s="10"/>
    </row>
    <row r="838" spans="5:5" ht="13.2">
      <c r="E838" s="10"/>
    </row>
    <row r="839" spans="5:5" ht="13.2">
      <c r="E839" s="10"/>
    </row>
    <row r="840" spans="5:5" ht="13.2">
      <c r="E840" s="10"/>
    </row>
    <row r="841" spans="5:5" ht="13.2">
      <c r="E841" s="10"/>
    </row>
    <row r="842" spans="5:5" ht="13.2">
      <c r="E842" s="10"/>
    </row>
    <row r="843" spans="5:5" ht="13.2">
      <c r="E843" s="10"/>
    </row>
    <row r="844" spans="5:5" ht="13.2">
      <c r="E844" s="10"/>
    </row>
    <row r="845" spans="5:5" ht="13.2">
      <c r="E845" s="10"/>
    </row>
    <row r="846" spans="5:5" ht="13.2">
      <c r="E846" s="10"/>
    </row>
    <row r="847" spans="5:5" ht="13.2">
      <c r="E847" s="10"/>
    </row>
    <row r="848" spans="5:5" ht="13.2">
      <c r="E848" s="10"/>
    </row>
    <row r="849" spans="5:5" ht="13.2">
      <c r="E849" s="10"/>
    </row>
    <row r="850" spans="5:5" ht="13.2">
      <c r="E850" s="10"/>
    </row>
    <row r="851" spans="5:5" ht="13.2">
      <c r="E851" s="10"/>
    </row>
    <row r="852" spans="5:5" ht="13.2">
      <c r="E852" s="10"/>
    </row>
    <row r="853" spans="5:5" ht="13.2">
      <c r="E853" s="10"/>
    </row>
    <row r="854" spans="5:5" ht="13.2">
      <c r="E854" s="10"/>
    </row>
    <row r="855" spans="5:5" ht="13.2">
      <c r="E855" s="10"/>
    </row>
    <row r="856" spans="5:5" ht="13.2">
      <c r="E856" s="10"/>
    </row>
    <row r="857" spans="5:5" ht="13.2">
      <c r="E857" s="10"/>
    </row>
    <row r="858" spans="5:5" ht="13.2">
      <c r="E858" s="10"/>
    </row>
    <row r="859" spans="5:5" ht="13.2">
      <c r="E859" s="10"/>
    </row>
    <row r="860" spans="5:5" ht="13.2">
      <c r="E860" s="10"/>
    </row>
    <row r="861" spans="5:5" ht="13.2">
      <c r="E861" s="10"/>
    </row>
    <row r="862" spans="5:5" ht="13.2">
      <c r="E862" s="10"/>
    </row>
    <row r="863" spans="5:5" ht="13.2">
      <c r="E863" s="10"/>
    </row>
    <row r="864" spans="5:5" ht="13.2">
      <c r="E864" s="10"/>
    </row>
    <row r="865" spans="5:5" ht="13.2">
      <c r="E865" s="10"/>
    </row>
    <row r="866" spans="5:5" ht="13.2">
      <c r="E866" s="10"/>
    </row>
    <row r="867" spans="5:5" ht="13.2">
      <c r="E867" s="10"/>
    </row>
    <row r="868" spans="5:5" ht="13.2">
      <c r="E868" s="10"/>
    </row>
    <row r="869" spans="5:5" ht="13.2">
      <c r="E869" s="10"/>
    </row>
    <row r="870" spans="5:5" ht="13.2">
      <c r="E870" s="10"/>
    </row>
    <row r="871" spans="5:5" ht="13.2">
      <c r="E871" s="10"/>
    </row>
    <row r="872" spans="5:5" ht="13.2">
      <c r="E872" s="10"/>
    </row>
    <row r="873" spans="5:5" ht="13.2">
      <c r="E873" s="10"/>
    </row>
    <row r="874" spans="5:5" ht="13.2">
      <c r="E874" s="10"/>
    </row>
    <row r="875" spans="5:5" ht="13.2">
      <c r="E875" s="10"/>
    </row>
    <row r="876" spans="5:5" ht="13.2">
      <c r="E876" s="10"/>
    </row>
    <row r="877" spans="5:5" ht="13.2">
      <c r="E877" s="10"/>
    </row>
    <row r="878" spans="5:5" ht="13.2">
      <c r="E878" s="10"/>
    </row>
    <row r="879" spans="5:5" ht="13.2">
      <c r="E879" s="10"/>
    </row>
    <row r="880" spans="5:5" ht="13.2">
      <c r="E880" s="10"/>
    </row>
    <row r="881" spans="5:5" ht="13.2">
      <c r="E881" s="10"/>
    </row>
    <row r="882" spans="5:5" ht="13.2">
      <c r="E882" s="10"/>
    </row>
    <row r="883" spans="5:5" ht="13.2">
      <c r="E883" s="10"/>
    </row>
    <row r="884" spans="5:5" ht="13.2">
      <c r="E884" s="10"/>
    </row>
    <row r="885" spans="5:5" ht="13.2">
      <c r="E885" s="10"/>
    </row>
    <row r="886" spans="5:5" ht="13.2">
      <c r="E886" s="10"/>
    </row>
    <row r="887" spans="5:5" ht="13.2">
      <c r="E887" s="10"/>
    </row>
    <row r="888" spans="5:5" ht="13.2">
      <c r="E888" s="10"/>
    </row>
    <row r="889" spans="5:5" ht="13.2">
      <c r="E889" s="10"/>
    </row>
    <row r="890" spans="5:5" ht="13.2">
      <c r="E890" s="10"/>
    </row>
    <row r="891" spans="5:5" ht="13.2">
      <c r="E891" s="10"/>
    </row>
    <row r="892" spans="5:5" ht="13.2">
      <c r="E892" s="10"/>
    </row>
    <row r="893" spans="5:5" ht="13.2">
      <c r="E893" s="10"/>
    </row>
    <row r="894" spans="5:5" ht="13.2">
      <c r="E894" s="10"/>
    </row>
    <row r="895" spans="5:5" ht="13.2">
      <c r="E895" s="10"/>
    </row>
    <row r="896" spans="5:5" ht="13.2">
      <c r="E896" s="10"/>
    </row>
    <row r="897" spans="5:5" ht="13.2">
      <c r="E897" s="10"/>
    </row>
    <row r="898" spans="5:5" ht="13.2">
      <c r="E898" s="10"/>
    </row>
    <row r="899" spans="5:5" ht="13.2">
      <c r="E899" s="10"/>
    </row>
    <row r="900" spans="5:5" ht="13.2">
      <c r="E900" s="10"/>
    </row>
    <row r="901" spans="5:5" ht="13.2">
      <c r="E901" s="10"/>
    </row>
    <row r="902" spans="5:5" ht="13.2">
      <c r="E902" s="10"/>
    </row>
    <row r="903" spans="5:5" ht="13.2">
      <c r="E903" s="10"/>
    </row>
    <row r="904" spans="5:5" ht="13.2">
      <c r="E904" s="10"/>
    </row>
    <row r="905" spans="5:5" ht="13.2">
      <c r="E905" s="10"/>
    </row>
    <row r="906" spans="5:5" ht="13.2">
      <c r="E906" s="10"/>
    </row>
    <row r="907" spans="5:5" ht="13.2">
      <c r="E907" s="10"/>
    </row>
    <row r="908" spans="5:5" ht="13.2">
      <c r="E908" s="10"/>
    </row>
    <row r="909" spans="5:5" ht="13.2">
      <c r="E909" s="10"/>
    </row>
    <row r="910" spans="5:5" ht="13.2">
      <c r="E910" s="10"/>
    </row>
    <row r="911" spans="5:5" ht="13.2">
      <c r="E911" s="10"/>
    </row>
    <row r="912" spans="5:5" ht="13.2">
      <c r="E912" s="10"/>
    </row>
    <row r="913" spans="5:5" ht="13.2">
      <c r="E913" s="10"/>
    </row>
    <row r="914" spans="5:5" ht="13.2">
      <c r="E914" s="10"/>
    </row>
    <row r="915" spans="5:5" ht="13.2">
      <c r="E915" s="10"/>
    </row>
    <row r="916" spans="5:5" ht="13.2">
      <c r="E916" s="10"/>
    </row>
    <row r="917" spans="5:5" ht="13.2">
      <c r="E917" s="10"/>
    </row>
    <row r="918" spans="5:5" ht="13.2">
      <c r="E918" s="10"/>
    </row>
    <row r="919" spans="5:5" ht="13.2">
      <c r="E919" s="10"/>
    </row>
    <row r="920" spans="5:5" ht="13.2">
      <c r="E920" s="10"/>
    </row>
    <row r="921" spans="5:5" ht="13.2">
      <c r="E921" s="10"/>
    </row>
    <row r="922" spans="5:5" ht="13.2">
      <c r="E922" s="10"/>
    </row>
    <row r="923" spans="5:5" ht="13.2">
      <c r="E923" s="10"/>
    </row>
    <row r="924" spans="5:5" ht="13.2">
      <c r="E924" s="10"/>
    </row>
    <row r="925" spans="5:5" ht="13.2">
      <c r="E925" s="10"/>
    </row>
    <row r="926" spans="5:5" ht="13.2">
      <c r="E926" s="10"/>
    </row>
    <row r="927" spans="5:5" ht="13.2">
      <c r="E927" s="10"/>
    </row>
    <row r="928" spans="5:5" ht="13.2">
      <c r="E928" s="10"/>
    </row>
    <row r="929" spans="5:5" ht="13.2">
      <c r="E929" s="10"/>
    </row>
    <row r="930" spans="5:5" ht="13.2">
      <c r="E930" s="10"/>
    </row>
    <row r="931" spans="5:5" ht="13.2">
      <c r="E931" s="10"/>
    </row>
    <row r="932" spans="5:5" ht="13.2">
      <c r="E932" s="10"/>
    </row>
    <row r="933" spans="5:5" ht="13.2">
      <c r="E933" s="10"/>
    </row>
    <row r="934" spans="5:5" ht="13.2">
      <c r="E934" s="10"/>
    </row>
    <row r="935" spans="5:5" ht="13.2">
      <c r="E935" s="10"/>
    </row>
    <row r="936" spans="5:5" ht="13.2">
      <c r="E936" s="10"/>
    </row>
    <row r="937" spans="5:5" ht="13.2">
      <c r="E937" s="10"/>
    </row>
    <row r="938" spans="5:5" ht="13.2">
      <c r="E938" s="10"/>
    </row>
    <row r="939" spans="5:5" ht="13.2">
      <c r="E939" s="10"/>
    </row>
    <row r="940" spans="5:5" ht="13.2">
      <c r="E940" s="10"/>
    </row>
    <row r="941" spans="5:5" ht="13.2">
      <c r="E941" s="10"/>
    </row>
    <row r="942" spans="5:5" ht="13.2">
      <c r="E942" s="10"/>
    </row>
    <row r="943" spans="5:5" ht="13.2">
      <c r="E943" s="10"/>
    </row>
    <row r="944" spans="5:5" ht="13.2">
      <c r="E944" s="10"/>
    </row>
    <row r="945" spans="5:5" ht="13.2">
      <c r="E945" s="10"/>
    </row>
    <row r="946" spans="5:5" ht="13.2">
      <c r="E946" s="10"/>
    </row>
    <row r="947" spans="5:5" ht="13.2">
      <c r="E947" s="10"/>
    </row>
    <row r="948" spans="5:5" ht="13.2">
      <c r="E948" s="10"/>
    </row>
    <row r="949" spans="5:5" ht="13.2">
      <c r="E949" s="10"/>
    </row>
    <row r="950" spans="5:5" ht="13.2">
      <c r="E950" s="10"/>
    </row>
    <row r="951" spans="5:5" ht="13.2">
      <c r="E951" s="10"/>
    </row>
    <row r="952" spans="5:5" ht="13.2">
      <c r="E952" s="10"/>
    </row>
    <row r="953" spans="5:5" ht="13.2">
      <c r="E953" s="10"/>
    </row>
    <row r="954" spans="5:5" ht="13.2">
      <c r="E954" s="10"/>
    </row>
    <row r="955" spans="5:5" ht="13.2">
      <c r="E955" s="10"/>
    </row>
    <row r="956" spans="5:5" ht="13.2">
      <c r="E956" s="10"/>
    </row>
    <row r="957" spans="5:5" ht="13.2">
      <c r="E957" s="10"/>
    </row>
    <row r="958" spans="5:5" ht="13.2">
      <c r="E958" s="10"/>
    </row>
    <row r="959" spans="5:5" ht="13.2">
      <c r="E959" s="10"/>
    </row>
    <row r="960" spans="5:5" ht="13.2">
      <c r="E960" s="10"/>
    </row>
    <row r="961" spans="5:5" ht="13.2">
      <c r="E961" s="10"/>
    </row>
    <row r="962" spans="5:5" ht="13.2">
      <c r="E962" s="10"/>
    </row>
    <row r="963" spans="5:5" ht="13.2">
      <c r="E963" s="10"/>
    </row>
    <row r="964" spans="5:5" ht="13.2">
      <c r="E964" s="10"/>
    </row>
    <row r="965" spans="5:5" ht="13.2">
      <c r="E965" s="10"/>
    </row>
    <row r="966" spans="5:5" ht="13.2">
      <c r="E966" s="10"/>
    </row>
    <row r="967" spans="5:5" ht="13.2">
      <c r="E967" s="10"/>
    </row>
    <row r="968" spans="5:5" ht="13.2">
      <c r="E968" s="10"/>
    </row>
    <row r="969" spans="5:5" ht="13.2">
      <c r="E969" s="10"/>
    </row>
    <row r="970" spans="5:5" ht="13.2">
      <c r="E970" s="10"/>
    </row>
    <row r="971" spans="5:5" ht="13.2">
      <c r="E971" s="10"/>
    </row>
    <row r="972" spans="5:5" ht="13.2">
      <c r="E972" s="10"/>
    </row>
    <row r="973" spans="5:5" ht="13.2">
      <c r="E973" s="10"/>
    </row>
    <row r="974" spans="5:5" ht="13.2">
      <c r="E974" s="10"/>
    </row>
    <row r="975" spans="5:5" ht="13.2">
      <c r="E975" s="10"/>
    </row>
    <row r="976" spans="5:5" ht="13.2">
      <c r="E976" s="10"/>
    </row>
    <row r="977" spans="5:5" ht="13.2">
      <c r="E977" s="10"/>
    </row>
    <row r="978" spans="5:5" ht="13.2">
      <c r="E978" s="10"/>
    </row>
    <row r="979" spans="5:5" ht="13.2">
      <c r="E979" s="10"/>
    </row>
    <row r="980" spans="5:5" ht="13.2">
      <c r="E980" s="10"/>
    </row>
    <row r="981" spans="5:5" ht="13.2">
      <c r="E981" s="10"/>
    </row>
    <row r="982" spans="5:5" ht="13.2">
      <c r="E982" s="10"/>
    </row>
    <row r="983" spans="5:5" ht="13.2">
      <c r="E983" s="10"/>
    </row>
    <row r="984" spans="5:5" ht="13.2">
      <c r="E984" s="10"/>
    </row>
    <row r="985" spans="5:5" ht="13.2">
      <c r="E985" s="10"/>
    </row>
    <row r="986" spans="5:5" ht="13.2">
      <c r="E986" s="10"/>
    </row>
    <row r="987" spans="5:5" ht="13.2">
      <c r="E987" s="10"/>
    </row>
    <row r="988" spans="5:5" ht="13.2">
      <c r="E988" s="10"/>
    </row>
    <row r="989" spans="5:5" ht="13.2">
      <c r="E989" s="10"/>
    </row>
    <row r="990" spans="5:5" ht="13.2">
      <c r="E990" s="10"/>
    </row>
    <row r="991" spans="5:5" ht="13.2">
      <c r="E991" s="10"/>
    </row>
    <row r="992" spans="5:5" ht="13.2">
      <c r="E992" s="10"/>
    </row>
    <row r="993" spans="5:5" ht="13.2">
      <c r="E993" s="10"/>
    </row>
    <row r="994" spans="5:5" ht="13.2">
      <c r="E994" s="10"/>
    </row>
    <row r="995" spans="5:5" ht="13.2">
      <c r="E995" s="10"/>
    </row>
    <row r="996" spans="5:5" ht="13.2">
      <c r="E996" s="10"/>
    </row>
    <row r="997" spans="5:5" ht="13.2">
      <c r="E997" s="10"/>
    </row>
    <row r="998" spans="5:5" ht="13.2">
      <c r="E998" s="10"/>
    </row>
    <row r="999" spans="5:5" ht="13.2">
      <c r="E999" s="10"/>
    </row>
    <row r="1000" spans="5:5" ht="13.2">
      <c r="E1000" s="10"/>
    </row>
  </sheetData>
  <mergeCells count="11">
    <mergeCell ref="O2:R2"/>
    <mergeCell ref="S2:V2"/>
    <mergeCell ref="W2:Z2"/>
    <mergeCell ref="AC2:AF2"/>
    <mergeCell ref="A2:A3"/>
    <mergeCell ref="B2:B3"/>
    <mergeCell ref="C2:C3"/>
    <mergeCell ref="D2:D3"/>
    <mergeCell ref="E2:E3"/>
    <mergeCell ref="F2:I2"/>
    <mergeCell ref="J2:N2"/>
  </mergeCells>
  <dataValidations count="1">
    <dataValidation type="list" allowBlank="1" showErrorMessage="1" sqref="F4:AB39 F40:J40 L40:AB40 F41:AB129 F130:AF131" xr:uid="{00000000-0002-0000-0300-000000000000}">
      <formula1>"አለ/ች,ቀሪ,ፍቃድ"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J100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6640625" defaultRowHeight="15.75" customHeight="1"/>
  <cols>
    <col min="1" max="1" width="8.33203125" customWidth="1"/>
    <col min="2" max="2" width="23.6640625" customWidth="1"/>
    <col min="3" max="4" width="7.88671875" customWidth="1"/>
    <col min="6" max="6" width="7.6640625" customWidth="1"/>
    <col min="7" max="32" width="6.33203125" customWidth="1"/>
    <col min="33" max="33" width="10" customWidth="1"/>
    <col min="34" max="36" width="6.33203125" customWidth="1"/>
  </cols>
  <sheetData>
    <row r="1" spans="1:36">
      <c r="A1" s="1"/>
      <c r="B1" s="1"/>
      <c r="C1" s="3"/>
      <c r="D1" s="3"/>
      <c r="E1" s="3"/>
      <c r="F1" s="315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6"/>
      <c r="AD1" s="316"/>
      <c r="AE1" s="316"/>
      <c r="AF1" s="1"/>
      <c r="AG1" s="1"/>
      <c r="AH1" s="1"/>
      <c r="AI1" s="1"/>
      <c r="AJ1" s="1"/>
    </row>
    <row r="2" spans="1:36" ht="15.75" customHeight="1">
      <c r="A2" s="326" t="s">
        <v>0</v>
      </c>
      <c r="B2" s="326" t="s">
        <v>1</v>
      </c>
      <c r="C2" s="7"/>
      <c r="D2" s="9"/>
      <c r="E2" s="11"/>
      <c r="F2" s="12" t="s">
        <v>3</v>
      </c>
      <c r="G2" s="319" t="s">
        <v>4</v>
      </c>
      <c r="H2" s="320"/>
      <c r="I2" s="320"/>
      <c r="J2" s="320"/>
      <c r="K2" s="321"/>
      <c r="L2" s="319" t="s">
        <v>9</v>
      </c>
      <c r="M2" s="320"/>
      <c r="N2" s="320"/>
      <c r="O2" s="321"/>
      <c r="P2" s="319" t="s">
        <v>11</v>
      </c>
      <c r="Q2" s="320"/>
      <c r="R2" s="320"/>
      <c r="S2" s="321"/>
      <c r="T2" s="319" t="s">
        <v>13</v>
      </c>
      <c r="U2" s="320"/>
      <c r="V2" s="320"/>
      <c r="W2" s="321"/>
      <c r="X2" s="310" t="s">
        <v>14</v>
      </c>
      <c r="Y2" s="311"/>
      <c r="Z2" s="311"/>
      <c r="AA2" s="311"/>
      <c r="AB2" s="312"/>
      <c r="AC2" s="310" t="s">
        <v>16</v>
      </c>
      <c r="AD2" s="311"/>
      <c r="AE2" s="311"/>
      <c r="AF2" s="312"/>
      <c r="AG2" s="313" t="s">
        <v>18</v>
      </c>
      <c r="AH2" s="313" t="s">
        <v>19</v>
      </c>
      <c r="AI2" s="313" t="s">
        <v>20</v>
      </c>
      <c r="AJ2" s="156"/>
    </row>
    <row r="3" spans="1:36" ht="15.75" customHeight="1">
      <c r="A3" s="314"/>
      <c r="B3" s="314"/>
      <c r="C3" s="13" t="s">
        <v>5</v>
      </c>
      <c r="D3" s="13" t="s">
        <v>7</v>
      </c>
      <c r="E3" s="13" t="s">
        <v>8</v>
      </c>
      <c r="F3" s="13">
        <v>25</v>
      </c>
      <c r="G3" s="13">
        <v>2</v>
      </c>
      <c r="H3" s="13">
        <v>9</v>
      </c>
      <c r="I3" s="13">
        <v>16</v>
      </c>
      <c r="J3" s="13">
        <v>23</v>
      </c>
      <c r="K3" s="13">
        <v>30</v>
      </c>
      <c r="L3" s="13">
        <v>7</v>
      </c>
      <c r="M3" s="13">
        <v>14</v>
      </c>
      <c r="N3" s="13">
        <v>21</v>
      </c>
      <c r="O3" s="13">
        <v>28</v>
      </c>
      <c r="P3" s="13">
        <v>5</v>
      </c>
      <c r="Q3" s="13">
        <v>12</v>
      </c>
      <c r="R3" s="13">
        <v>19</v>
      </c>
      <c r="S3" s="13">
        <v>26</v>
      </c>
      <c r="T3" s="13">
        <v>3</v>
      </c>
      <c r="U3" s="33">
        <v>10</v>
      </c>
      <c r="V3" s="33">
        <v>17</v>
      </c>
      <c r="W3" s="13">
        <v>24</v>
      </c>
      <c r="X3" s="13">
        <v>1</v>
      </c>
      <c r="Y3" s="13">
        <v>8</v>
      </c>
      <c r="Z3" s="37">
        <v>15</v>
      </c>
      <c r="AA3" s="39">
        <v>22</v>
      </c>
      <c r="AB3" s="39">
        <v>29</v>
      </c>
      <c r="AC3" s="23">
        <v>6</v>
      </c>
      <c r="AD3" s="23">
        <v>13</v>
      </c>
      <c r="AE3" s="23">
        <v>20</v>
      </c>
      <c r="AF3" s="16">
        <v>27</v>
      </c>
      <c r="AG3" s="314"/>
      <c r="AH3" s="314"/>
      <c r="AI3" s="314"/>
      <c r="AJ3" s="156"/>
    </row>
    <row r="4" spans="1:36">
      <c r="A4" s="159" t="s">
        <v>678</v>
      </c>
      <c r="B4" s="160" t="s">
        <v>679</v>
      </c>
      <c r="C4" s="82">
        <v>13</v>
      </c>
      <c r="D4" s="82" t="s">
        <v>35</v>
      </c>
      <c r="E4" s="82">
        <v>913579078</v>
      </c>
      <c r="F4" s="42" t="s">
        <v>27</v>
      </c>
      <c r="G4" s="42" t="s">
        <v>27</v>
      </c>
      <c r="H4" s="42" t="s">
        <v>27</v>
      </c>
      <c r="I4" s="42" t="s">
        <v>27</v>
      </c>
      <c r="J4" s="42" t="s">
        <v>27</v>
      </c>
      <c r="K4" s="44"/>
      <c r="L4" s="42" t="s">
        <v>27</v>
      </c>
      <c r="M4" s="44"/>
      <c r="N4" s="44"/>
      <c r="O4" s="44"/>
      <c r="P4" s="44"/>
      <c r="Q4" s="44"/>
      <c r="R4" s="42" t="s">
        <v>27</v>
      </c>
      <c r="S4" s="44"/>
      <c r="T4" s="44"/>
      <c r="U4" s="44"/>
      <c r="V4" s="44"/>
      <c r="W4" s="44"/>
      <c r="X4" s="44"/>
      <c r="Y4" s="44"/>
      <c r="Z4" s="44"/>
      <c r="AA4" s="44"/>
      <c r="AB4" s="44"/>
      <c r="AC4" s="42" t="s">
        <v>27</v>
      </c>
      <c r="AD4" s="44"/>
      <c r="AE4" s="44"/>
      <c r="AF4" s="46"/>
      <c r="AG4" s="48">
        <f t="shared" ref="AG4:AG77" si="0">COUNTIF(F4:AF4,"አለ/ች")</f>
        <v>8</v>
      </c>
      <c r="AH4" s="48">
        <f t="shared" ref="AH4:AH77" si="1">COUNTIF(F4:AF4,"ቀሪ")</f>
        <v>0</v>
      </c>
      <c r="AI4" s="48">
        <f t="shared" ref="AI4:AI77" si="2">AG4/5*100</f>
        <v>160</v>
      </c>
      <c r="AJ4" s="51"/>
    </row>
    <row r="5" spans="1:36">
      <c r="A5" s="159" t="s">
        <v>680</v>
      </c>
      <c r="B5" s="160" t="s">
        <v>681</v>
      </c>
      <c r="C5" s="82">
        <v>18</v>
      </c>
      <c r="D5" s="82" t="s">
        <v>35</v>
      </c>
      <c r="E5" s="82">
        <v>983074028</v>
      </c>
      <c r="F5" s="42" t="s">
        <v>19</v>
      </c>
      <c r="G5" s="42" t="s">
        <v>19</v>
      </c>
      <c r="H5" s="42" t="s">
        <v>19</v>
      </c>
      <c r="I5" s="42" t="s">
        <v>19</v>
      </c>
      <c r="J5" s="42" t="s">
        <v>19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6"/>
      <c r="AG5" s="48">
        <f t="shared" si="0"/>
        <v>0</v>
      </c>
      <c r="AH5" s="48">
        <f t="shared" si="1"/>
        <v>5</v>
      </c>
      <c r="AI5" s="48">
        <f t="shared" si="2"/>
        <v>0</v>
      </c>
      <c r="AJ5" s="51"/>
    </row>
    <row r="6" spans="1:36">
      <c r="A6" s="159" t="s">
        <v>682</v>
      </c>
      <c r="B6" s="162" t="s">
        <v>683</v>
      </c>
      <c r="C6" s="82"/>
      <c r="D6" s="82" t="s">
        <v>26</v>
      </c>
      <c r="E6" s="163">
        <v>913059712</v>
      </c>
      <c r="F6" s="42" t="s">
        <v>27</v>
      </c>
      <c r="G6" s="42" t="s">
        <v>27</v>
      </c>
      <c r="H6" s="42" t="s">
        <v>27</v>
      </c>
      <c r="I6" s="42" t="s">
        <v>27</v>
      </c>
      <c r="J6" s="42" t="s">
        <v>27</v>
      </c>
      <c r="K6" s="44"/>
      <c r="L6" s="42" t="s">
        <v>27</v>
      </c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2" t="s">
        <v>27</v>
      </c>
      <c r="AD6" s="42" t="s">
        <v>27</v>
      </c>
      <c r="AE6" s="44"/>
      <c r="AF6" s="46"/>
      <c r="AG6" s="48">
        <f t="shared" si="0"/>
        <v>8</v>
      </c>
      <c r="AH6" s="48">
        <f t="shared" si="1"/>
        <v>0</v>
      </c>
      <c r="AI6" s="48">
        <f t="shared" si="2"/>
        <v>160</v>
      </c>
      <c r="AJ6" s="51"/>
    </row>
    <row r="7" spans="1:36">
      <c r="A7" s="159" t="s">
        <v>684</v>
      </c>
      <c r="B7" s="160" t="s">
        <v>685</v>
      </c>
      <c r="C7" s="82"/>
      <c r="D7" s="82" t="s">
        <v>26</v>
      </c>
      <c r="E7" s="164">
        <v>910974373</v>
      </c>
      <c r="F7" s="42" t="s">
        <v>19</v>
      </c>
      <c r="G7" s="42" t="s">
        <v>27</v>
      </c>
      <c r="H7" s="42" t="s">
        <v>19</v>
      </c>
      <c r="I7" s="42" t="s">
        <v>19</v>
      </c>
      <c r="J7" s="42" t="s">
        <v>19</v>
      </c>
      <c r="K7" s="44"/>
      <c r="L7" s="42" t="s">
        <v>27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6"/>
      <c r="AG7" s="48">
        <f t="shared" si="0"/>
        <v>2</v>
      </c>
      <c r="AH7" s="48">
        <f t="shared" si="1"/>
        <v>4</v>
      </c>
      <c r="AI7" s="48">
        <f t="shared" si="2"/>
        <v>40</v>
      </c>
      <c r="AJ7" s="51"/>
    </row>
    <row r="8" spans="1:36">
      <c r="A8" s="159" t="s">
        <v>686</v>
      </c>
      <c r="B8" s="160" t="s">
        <v>687</v>
      </c>
      <c r="C8" s="82">
        <v>16</v>
      </c>
      <c r="D8" s="82" t="s">
        <v>35</v>
      </c>
      <c r="E8" s="82">
        <v>995311164</v>
      </c>
      <c r="F8" s="42" t="s">
        <v>19</v>
      </c>
      <c r="G8" s="42" t="s">
        <v>19</v>
      </c>
      <c r="H8" s="42" t="s">
        <v>19</v>
      </c>
      <c r="I8" s="42" t="s">
        <v>27</v>
      </c>
      <c r="J8" s="42" t="s">
        <v>19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6"/>
      <c r="AG8" s="48">
        <f t="shared" si="0"/>
        <v>1</v>
      </c>
      <c r="AH8" s="48">
        <f t="shared" si="1"/>
        <v>4</v>
      </c>
      <c r="AI8" s="48">
        <f t="shared" si="2"/>
        <v>20</v>
      </c>
      <c r="AJ8" s="51"/>
    </row>
    <row r="9" spans="1:36">
      <c r="A9" s="159" t="s">
        <v>688</v>
      </c>
      <c r="B9" s="160" t="s">
        <v>689</v>
      </c>
      <c r="C9" s="82"/>
      <c r="D9" s="82" t="s">
        <v>35</v>
      </c>
      <c r="E9" s="82"/>
      <c r="F9" s="42" t="s">
        <v>19</v>
      </c>
      <c r="G9" s="42" t="s">
        <v>19</v>
      </c>
      <c r="H9" s="42" t="s">
        <v>19</v>
      </c>
      <c r="I9" s="42" t="s">
        <v>27</v>
      </c>
      <c r="J9" s="42" t="s">
        <v>27</v>
      </c>
      <c r="K9" s="44"/>
      <c r="L9" s="44"/>
      <c r="M9" s="44"/>
      <c r="N9" s="44"/>
      <c r="O9" s="44"/>
      <c r="P9" s="44"/>
      <c r="Q9" s="44"/>
      <c r="S9" s="44"/>
      <c r="T9" s="44"/>
      <c r="U9" s="44"/>
      <c r="V9" s="42" t="s">
        <v>27</v>
      </c>
      <c r="W9" s="42" t="s">
        <v>27</v>
      </c>
      <c r="X9" s="42" t="s">
        <v>27</v>
      </c>
      <c r="Y9" s="42" t="s">
        <v>27</v>
      </c>
      <c r="Z9" s="42" t="s">
        <v>112</v>
      </c>
      <c r="AA9" s="44"/>
      <c r="AB9" s="44"/>
      <c r="AC9" s="42" t="s">
        <v>27</v>
      </c>
      <c r="AD9" s="42" t="s">
        <v>27</v>
      </c>
      <c r="AE9" s="44"/>
      <c r="AF9" s="46"/>
      <c r="AG9" s="48">
        <f t="shared" si="0"/>
        <v>8</v>
      </c>
      <c r="AH9" s="48">
        <f t="shared" si="1"/>
        <v>3</v>
      </c>
      <c r="AI9" s="48">
        <f t="shared" si="2"/>
        <v>160</v>
      </c>
      <c r="AJ9" s="51"/>
    </row>
    <row r="10" spans="1:36">
      <c r="A10" s="159" t="s">
        <v>690</v>
      </c>
      <c r="B10" s="160" t="s">
        <v>691</v>
      </c>
      <c r="C10" s="82">
        <v>16</v>
      </c>
      <c r="D10" s="82" t="s">
        <v>35</v>
      </c>
      <c r="E10" s="82">
        <v>970301836</v>
      </c>
      <c r="F10" s="42" t="s">
        <v>19</v>
      </c>
      <c r="G10" s="42" t="s">
        <v>19</v>
      </c>
      <c r="H10" s="42" t="s">
        <v>19</v>
      </c>
      <c r="I10" s="42" t="s">
        <v>19</v>
      </c>
      <c r="J10" s="42" t="s">
        <v>19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6"/>
      <c r="AG10" s="48">
        <f t="shared" si="0"/>
        <v>0</v>
      </c>
      <c r="AH10" s="48">
        <f t="shared" si="1"/>
        <v>5</v>
      </c>
      <c r="AI10" s="48">
        <f t="shared" si="2"/>
        <v>0</v>
      </c>
      <c r="AJ10" s="51"/>
    </row>
    <row r="11" spans="1:36">
      <c r="A11" s="159" t="s">
        <v>692</v>
      </c>
      <c r="B11" s="160" t="s">
        <v>693</v>
      </c>
      <c r="C11" s="82"/>
      <c r="D11" s="82" t="s">
        <v>35</v>
      </c>
      <c r="E11" s="165">
        <v>911158007</v>
      </c>
      <c r="F11" s="42" t="s">
        <v>19</v>
      </c>
      <c r="G11" s="42" t="s">
        <v>19</v>
      </c>
      <c r="H11" s="42" t="s">
        <v>19</v>
      </c>
      <c r="I11" s="42" t="s">
        <v>19</v>
      </c>
      <c r="J11" s="42" t="s">
        <v>19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6"/>
      <c r="AG11" s="48">
        <f t="shared" si="0"/>
        <v>0</v>
      </c>
      <c r="AH11" s="48">
        <f t="shared" si="1"/>
        <v>5</v>
      </c>
      <c r="AI11" s="48">
        <f t="shared" si="2"/>
        <v>0</v>
      </c>
      <c r="AJ11" s="51"/>
    </row>
    <row r="12" spans="1:36">
      <c r="A12" s="159" t="s">
        <v>694</v>
      </c>
      <c r="B12" s="160" t="s">
        <v>695</v>
      </c>
      <c r="C12" s="82"/>
      <c r="D12" s="82" t="s">
        <v>35</v>
      </c>
      <c r="E12" s="163">
        <v>972211887</v>
      </c>
      <c r="F12" s="42" t="s">
        <v>19</v>
      </c>
      <c r="G12" s="42" t="s">
        <v>19</v>
      </c>
      <c r="H12" s="42" t="s">
        <v>19</v>
      </c>
      <c r="I12" s="42" t="s">
        <v>19</v>
      </c>
      <c r="J12" s="42" t="s">
        <v>19</v>
      </c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2" t="s">
        <v>27</v>
      </c>
      <c r="AD12" s="44"/>
      <c r="AE12" s="44"/>
      <c r="AF12" s="46"/>
      <c r="AG12" s="48">
        <f t="shared" si="0"/>
        <v>1</v>
      </c>
      <c r="AH12" s="48">
        <f t="shared" si="1"/>
        <v>5</v>
      </c>
      <c r="AI12" s="48">
        <f t="shared" si="2"/>
        <v>20</v>
      </c>
      <c r="AJ12" s="51"/>
    </row>
    <row r="13" spans="1:36">
      <c r="A13" s="159" t="s">
        <v>696</v>
      </c>
      <c r="B13" s="166" t="s">
        <v>67</v>
      </c>
      <c r="C13" s="167">
        <v>17</v>
      </c>
      <c r="D13" s="167" t="s">
        <v>26</v>
      </c>
      <c r="E13" s="168">
        <v>986204381</v>
      </c>
      <c r="F13" s="169" t="s">
        <v>19</v>
      </c>
      <c r="G13" s="169" t="s">
        <v>27</v>
      </c>
      <c r="H13" s="169" t="s">
        <v>27</v>
      </c>
      <c r="I13" s="169" t="s">
        <v>19</v>
      </c>
      <c r="J13" s="169" t="s">
        <v>19</v>
      </c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69" t="s">
        <v>27</v>
      </c>
      <c r="AD13" s="169" t="s">
        <v>27</v>
      </c>
      <c r="AE13" s="169" t="s">
        <v>27</v>
      </c>
      <c r="AF13" s="172"/>
      <c r="AG13" s="48">
        <f t="shared" si="0"/>
        <v>5</v>
      </c>
      <c r="AH13" s="48">
        <f t="shared" si="1"/>
        <v>3</v>
      </c>
      <c r="AI13" s="48">
        <f t="shared" si="2"/>
        <v>100</v>
      </c>
      <c r="AJ13" s="173"/>
    </row>
    <row r="14" spans="1:36">
      <c r="A14" s="159" t="s">
        <v>697</v>
      </c>
      <c r="B14" s="160" t="s">
        <v>698</v>
      </c>
      <c r="C14" s="82"/>
      <c r="D14" s="82" t="s">
        <v>35</v>
      </c>
      <c r="E14" s="82">
        <v>940393420</v>
      </c>
      <c r="F14" s="42" t="s">
        <v>19</v>
      </c>
      <c r="G14" s="42" t="s">
        <v>19</v>
      </c>
      <c r="H14" s="42" t="s">
        <v>19</v>
      </c>
      <c r="I14" s="42" t="s">
        <v>19</v>
      </c>
      <c r="J14" s="42" t="s">
        <v>19</v>
      </c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6"/>
      <c r="AG14" s="48">
        <f t="shared" si="0"/>
        <v>0</v>
      </c>
      <c r="AH14" s="48">
        <f t="shared" si="1"/>
        <v>5</v>
      </c>
      <c r="AI14" s="48">
        <f t="shared" si="2"/>
        <v>0</v>
      </c>
      <c r="AJ14" s="51"/>
    </row>
    <row r="15" spans="1:36">
      <c r="A15" s="159" t="s">
        <v>699</v>
      </c>
      <c r="B15" s="160" t="s">
        <v>700</v>
      </c>
      <c r="C15" s="82"/>
      <c r="D15" s="82" t="s">
        <v>35</v>
      </c>
      <c r="E15" s="163">
        <v>910563029</v>
      </c>
      <c r="F15" s="42" t="s">
        <v>19</v>
      </c>
      <c r="G15" s="42" t="s">
        <v>27</v>
      </c>
      <c r="H15" s="42" t="s">
        <v>19</v>
      </c>
      <c r="I15" s="42" t="s">
        <v>27</v>
      </c>
      <c r="J15" s="42" t="s">
        <v>27</v>
      </c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2" t="s">
        <v>27</v>
      </c>
      <c r="Z15" s="42" t="s">
        <v>27</v>
      </c>
      <c r="AA15" s="44"/>
      <c r="AB15" s="44"/>
      <c r="AC15" s="42" t="s">
        <v>27</v>
      </c>
      <c r="AD15" s="44"/>
      <c r="AE15" s="44"/>
      <c r="AF15" s="46"/>
      <c r="AG15" s="48">
        <f t="shared" si="0"/>
        <v>6</v>
      </c>
      <c r="AH15" s="48">
        <f t="shared" si="1"/>
        <v>2</v>
      </c>
      <c r="AI15" s="48">
        <f t="shared" si="2"/>
        <v>120</v>
      </c>
      <c r="AJ15" s="51"/>
    </row>
    <row r="16" spans="1:36">
      <c r="A16" s="159" t="s">
        <v>701</v>
      </c>
      <c r="B16" s="160" t="s">
        <v>702</v>
      </c>
      <c r="C16" s="82">
        <v>16</v>
      </c>
      <c r="D16" s="82" t="s">
        <v>26</v>
      </c>
      <c r="E16" s="82">
        <v>911861551</v>
      </c>
      <c r="F16" s="42" t="s">
        <v>19</v>
      </c>
      <c r="G16" s="42" t="s">
        <v>27</v>
      </c>
      <c r="H16" s="42" t="s">
        <v>27</v>
      </c>
      <c r="I16" s="42" t="s">
        <v>19</v>
      </c>
      <c r="J16" s="42" t="s">
        <v>19</v>
      </c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6"/>
      <c r="AG16" s="48">
        <f t="shared" si="0"/>
        <v>2</v>
      </c>
      <c r="AH16" s="48">
        <f t="shared" si="1"/>
        <v>3</v>
      </c>
      <c r="AI16" s="48">
        <f t="shared" si="2"/>
        <v>40</v>
      </c>
      <c r="AJ16" s="51"/>
    </row>
    <row r="17" spans="1:36">
      <c r="A17" s="159" t="s">
        <v>703</v>
      </c>
      <c r="B17" s="160" t="s">
        <v>704</v>
      </c>
      <c r="C17" s="82">
        <v>18</v>
      </c>
      <c r="D17" s="82" t="s">
        <v>35</v>
      </c>
      <c r="E17" s="82">
        <v>979527555</v>
      </c>
      <c r="F17" s="42" t="s">
        <v>19</v>
      </c>
      <c r="G17" s="42" t="s">
        <v>19</v>
      </c>
      <c r="H17" s="42" t="s">
        <v>19</v>
      </c>
      <c r="I17" s="42" t="s">
        <v>19</v>
      </c>
      <c r="J17" s="42" t="s">
        <v>19</v>
      </c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6"/>
      <c r="AG17" s="48">
        <f t="shared" si="0"/>
        <v>0</v>
      </c>
      <c r="AH17" s="48">
        <f t="shared" si="1"/>
        <v>5</v>
      </c>
      <c r="AI17" s="48">
        <f t="shared" si="2"/>
        <v>0</v>
      </c>
      <c r="AJ17" s="51"/>
    </row>
    <row r="18" spans="1:36">
      <c r="A18" s="159" t="s">
        <v>705</v>
      </c>
      <c r="B18" s="174" t="s">
        <v>706</v>
      </c>
      <c r="C18" s="82">
        <v>18</v>
      </c>
      <c r="D18" s="82" t="s">
        <v>35</v>
      </c>
      <c r="E18" s="175">
        <v>965716692</v>
      </c>
      <c r="F18" s="42" t="s">
        <v>27</v>
      </c>
      <c r="G18" s="42" t="s">
        <v>27</v>
      </c>
      <c r="H18" s="42" t="s">
        <v>19</v>
      </c>
      <c r="I18" s="42" t="s">
        <v>19</v>
      </c>
      <c r="J18" s="42" t="s">
        <v>27</v>
      </c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2" t="s">
        <v>27</v>
      </c>
      <c r="AE18" s="44"/>
      <c r="AF18" s="46"/>
      <c r="AG18" s="48">
        <f t="shared" si="0"/>
        <v>4</v>
      </c>
      <c r="AH18" s="48">
        <f t="shared" si="1"/>
        <v>2</v>
      </c>
      <c r="AI18" s="48">
        <f t="shared" si="2"/>
        <v>80</v>
      </c>
      <c r="AJ18" s="51"/>
    </row>
    <row r="19" spans="1:36">
      <c r="A19" s="159" t="s">
        <v>707</v>
      </c>
      <c r="B19" s="160" t="s">
        <v>708</v>
      </c>
      <c r="C19" s="82"/>
      <c r="D19" s="82" t="s">
        <v>35</v>
      </c>
      <c r="E19" s="163">
        <v>911220342</v>
      </c>
      <c r="F19" s="42" t="s">
        <v>27</v>
      </c>
      <c r="G19" s="42" t="s">
        <v>27</v>
      </c>
      <c r="H19" s="42" t="s">
        <v>19</v>
      </c>
      <c r="I19" s="42" t="s">
        <v>27</v>
      </c>
      <c r="J19" s="42" t="s">
        <v>27</v>
      </c>
      <c r="K19" s="44"/>
      <c r="L19" s="44"/>
      <c r="M19" s="44"/>
      <c r="N19" s="44"/>
      <c r="O19" s="44"/>
      <c r="P19" s="44"/>
      <c r="Q19" s="44"/>
      <c r="R19" s="42" t="s">
        <v>27</v>
      </c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2" t="s">
        <v>27</v>
      </c>
      <c r="AE19" s="44"/>
      <c r="AF19" s="46"/>
      <c r="AG19" s="48">
        <f t="shared" si="0"/>
        <v>6</v>
      </c>
      <c r="AH19" s="48">
        <f t="shared" si="1"/>
        <v>1</v>
      </c>
      <c r="AI19" s="48">
        <f t="shared" si="2"/>
        <v>120</v>
      </c>
      <c r="AJ19" s="51"/>
    </row>
    <row r="20" spans="1:36">
      <c r="A20" s="159" t="s">
        <v>709</v>
      </c>
      <c r="B20" s="176" t="s">
        <v>710</v>
      </c>
      <c r="C20" s="177">
        <v>21</v>
      </c>
      <c r="D20" s="177" t="s">
        <v>35</v>
      </c>
      <c r="E20" s="178">
        <v>984207298</v>
      </c>
      <c r="F20" s="42" t="s">
        <v>27</v>
      </c>
      <c r="G20" s="42" t="s">
        <v>27</v>
      </c>
      <c r="H20" s="42" t="s">
        <v>19</v>
      </c>
      <c r="I20" s="42" t="s">
        <v>19</v>
      </c>
      <c r="J20" s="42" t="s">
        <v>19</v>
      </c>
      <c r="K20" s="42" t="s">
        <v>27</v>
      </c>
      <c r="L20" s="44"/>
      <c r="M20" s="44"/>
      <c r="N20" s="44"/>
      <c r="O20" s="44"/>
      <c r="P20" s="44"/>
      <c r="Q20" s="44"/>
      <c r="R20" s="42" t="s">
        <v>27</v>
      </c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6"/>
      <c r="AG20" s="48">
        <f t="shared" si="0"/>
        <v>4</v>
      </c>
      <c r="AH20" s="48">
        <f t="shared" si="1"/>
        <v>3</v>
      </c>
      <c r="AI20" s="48">
        <f t="shared" si="2"/>
        <v>80</v>
      </c>
      <c r="AJ20" s="51"/>
    </row>
    <row r="21" spans="1:36">
      <c r="A21" s="159" t="s">
        <v>711</v>
      </c>
      <c r="B21" s="179" t="s">
        <v>712</v>
      </c>
      <c r="C21" s="180"/>
      <c r="D21" s="177" t="s">
        <v>35</v>
      </c>
      <c r="E21" s="178">
        <v>954997215</v>
      </c>
      <c r="F21" s="42" t="s">
        <v>19</v>
      </c>
      <c r="G21" s="42" t="s">
        <v>19</v>
      </c>
      <c r="H21" s="42" t="s">
        <v>19</v>
      </c>
      <c r="I21" s="42" t="s">
        <v>27</v>
      </c>
      <c r="J21" s="42" t="s">
        <v>19</v>
      </c>
      <c r="K21" s="44"/>
      <c r="L21" s="42" t="s">
        <v>27</v>
      </c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2" t="s">
        <v>27</v>
      </c>
      <c r="Y21" s="42" t="s">
        <v>27</v>
      </c>
      <c r="Z21" s="42" t="s">
        <v>27</v>
      </c>
      <c r="AA21" s="44"/>
      <c r="AB21" s="44"/>
      <c r="AC21" s="44"/>
      <c r="AD21" s="42" t="s">
        <v>27</v>
      </c>
      <c r="AE21" s="44"/>
      <c r="AF21" s="46"/>
      <c r="AG21" s="48">
        <f t="shared" si="0"/>
        <v>6</v>
      </c>
      <c r="AH21" s="48">
        <f t="shared" si="1"/>
        <v>4</v>
      </c>
      <c r="AI21" s="48">
        <f t="shared" si="2"/>
        <v>120</v>
      </c>
      <c r="AJ21" s="51"/>
    </row>
    <row r="22" spans="1:36">
      <c r="A22" s="159" t="s">
        <v>713</v>
      </c>
      <c r="B22" s="179" t="s">
        <v>714</v>
      </c>
      <c r="C22" s="180"/>
      <c r="D22" s="177" t="s">
        <v>35</v>
      </c>
      <c r="E22" s="181">
        <v>912959496</v>
      </c>
      <c r="F22" s="42" t="s">
        <v>19</v>
      </c>
      <c r="G22" s="42" t="s">
        <v>19</v>
      </c>
      <c r="H22" s="42" t="s">
        <v>19</v>
      </c>
      <c r="I22" s="42" t="s">
        <v>19</v>
      </c>
      <c r="J22" s="42" t="s">
        <v>19</v>
      </c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6"/>
      <c r="AG22" s="48">
        <f t="shared" si="0"/>
        <v>0</v>
      </c>
      <c r="AH22" s="48">
        <f t="shared" si="1"/>
        <v>5</v>
      </c>
      <c r="AI22" s="48">
        <f t="shared" si="2"/>
        <v>0</v>
      </c>
      <c r="AJ22" s="51"/>
    </row>
    <row r="23" spans="1:36">
      <c r="A23" s="159" t="s">
        <v>715</v>
      </c>
      <c r="B23" s="179" t="s">
        <v>716</v>
      </c>
      <c r="C23" s="180"/>
      <c r="D23" s="177" t="s">
        <v>26</v>
      </c>
      <c r="E23" s="181">
        <v>911602070</v>
      </c>
      <c r="F23" s="42" t="s">
        <v>19</v>
      </c>
      <c r="G23" s="42" t="s">
        <v>19</v>
      </c>
      <c r="H23" s="42" t="s">
        <v>19</v>
      </c>
      <c r="I23" s="42" t="s">
        <v>19</v>
      </c>
      <c r="J23" s="42" t="s">
        <v>19</v>
      </c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6"/>
      <c r="AG23" s="48">
        <f t="shared" si="0"/>
        <v>0</v>
      </c>
      <c r="AH23" s="48">
        <f t="shared" si="1"/>
        <v>5</v>
      </c>
      <c r="AI23" s="48">
        <f t="shared" si="2"/>
        <v>0</v>
      </c>
      <c r="AJ23" s="51"/>
    </row>
    <row r="24" spans="1:36">
      <c r="A24" s="159" t="s">
        <v>717</v>
      </c>
      <c r="B24" s="182" t="s">
        <v>718</v>
      </c>
      <c r="C24" s="180"/>
      <c r="D24" s="177" t="s">
        <v>35</v>
      </c>
      <c r="E24" s="177">
        <v>943041742</v>
      </c>
      <c r="F24" s="42" t="s">
        <v>19</v>
      </c>
      <c r="G24" s="42" t="s">
        <v>19</v>
      </c>
      <c r="H24" s="42" t="s">
        <v>19</v>
      </c>
      <c r="I24" s="42" t="s">
        <v>19</v>
      </c>
      <c r="J24" s="42" t="s">
        <v>19</v>
      </c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6"/>
      <c r="AG24" s="48">
        <f t="shared" si="0"/>
        <v>0</v>
      </c>
      <c r="AH24" s="48">
        <f t="shared" si="1"/>
        <v>5</v>
      </c>
      <c r="AI24" s="48">
        <f t="shared" si="2"/>
        <v>0</v>
      </c>
      <c r="AJ24" s="51"/>
    </row>
    <row r="25" spans="1:36">
      <c r="A25" s="159" t="s">
        <v>719</v>
      </c>
      <c r="B25" s="179" t="s">
        <v>720</v>
      </c>
      <c r="C25" s="177">
        <v>17</v>
      </c>
      <c r="D25" s="177" t="s">
        <v>35</v>
      </c>
      <c r="E25" s="181">
        <v>911306478</v>
      </c>
      <c r="F25" s="42" t="s">
        <v>19</v>
      </c>
      <c r="G25" s="42" t="s">
        <v>27</v>
      </c>
      <c r="H25" s="42" t="s">
        <v>27</v>
      </c>
      <c r="I25" s="42" t="s">
        <v>19</v>
      </c>
      <c r="J25" s="42" t="s">
        <v>27</v>
      </c>
      <c r="K25" s="44"/>
      <c r="L25" s="42" t="s">
        <v>27</v>
      </c>
      <c r="M25" s="44"/>
      <c r="N25" s="44"/>
      <c r="O25" s="44"/>
      <c r="P25" s="44"/>
      <c r="Q25" s="44"/>
      <c r="R25" s="44"/>
      <c r="S25" s="42" t="s">
        <v>27</v>
      </c>
      <c r="T25" s="42" t="s">
        <v>27</v>
      </c>
      <c r="U25" s="42" t="s">
        <v>27</v>
      </c>
      <c r="V25" s="44"/>
      <c r="W25" s="42" t="s">
        <v>27</v>
      </c>
      <c r="X25" s="42" t="s">
        <v>27</v>
      </c>
      <c r="Y25" s="42" t="s">
        <v>27</v>
      </c>
      <c r="Z25" s="42" t="s">
        <v>27</v>
      </c>
      <c r="AA25" s="44"/>
      <c r="AB25" s="44"/>
      <c r="AC25" s="42" t="s">
        <v>27</v>
      </c>
      <c r="AD25" s="44"/>
      <c r="AE25" s="44"/>
      <c r="AF25" s="46"/>
      <c r="AG25" s="48">
        <f t="shared" si="0"/>
        <v>12</v>
      </c>
      <c r="AH25" s="48">
        <f t="shared" si="1"/>
        <v>2</v>
      </c>
      <c r="AI25" s="48">
        <f t="shared" si="2"/>
        <v>240</v>
      </c>
      <c r="AJ25" s="51"/>
    </row>
    <row r="26" spans="1:36">
      <c r="A26" s="159" t="s">
        <v>721</v>
      </c>
      <c r="B26" s="176" t="s">
        <v>722</v>
      </c>
      <c r="C26" s="177">
        <v>23</v>
      </c>
      <c r="D26" s="177" t="s">
        <v>35</v>
      </c>
      <c r="E26" s="178">
        <v>963690076</v>
      </c>
      <c r="F26" s="42" t="s">
        <v>27</v>
      </c>
      <c r="G26" s="42" t="s">
        <v>27</v>
      </c>
      <c r="H26" s="42" t="s">
        <v>27</v>
      </c>
      <c r="I26" s="42" t="s">
        <v>27</v>
      </c>
      <c r="J26" s="42" t="s">
        <v>27</v>
      </c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2" t="s">
        <v>27</v>
      </c>
      <c r="AD26" s="44"/>
      <c r="AE26" s="44"/>
      <c r="AF26" s="46"/>
      <c r="AG26" s="48">
        <f t="shared" si="0"/>
        <v>6</v>
      </c>
      <c r="AH26" s="48">
        <f t="shared" si="1"/>
        <v>0</v>
      </c>
      <c r="AI26" s="48">
        <f t="shared" si="2"/>
        <v>120</v>
      </c>
      <c r="AJ26" s="51"/>
    </row>
    <row r="27" spans="1:36">
      <c r="A27" s="159" t="s">
        <v>723</v>
      </c>
      <c r="B27" s="179" t="s">
        <v>724</v>
      </c>
      <c r="C27" s="180"/>
      <c r="D27" s="177" t="s">
        <v>35</v>
      </c>
      <c r="E27" s="181">
        <v>912173333</v>
      </c>
      <c r="F27" s="42" t="s">
        <v>19</v>
      </c>
      <c r="G27" s="42" t="s">
        <v>19</v>
      </c>
      <c r="H27" s="42" t="s">
        <v>19</v>
      </c>
      <c r="I27" s="42" t="s">
        <v>112</v>
      </c>
      <c r="J27" s="42" t="s">
        <v>19</v>
      </c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6"/>
      <c r="AG27" s="48">
        <f t="shared" si="0"/>
        <v>0</v>
      </c>
      <c r="AH27" s="48">
        <f t="shared" si="1"/>
        <v>4</v>
      </c>
      <c r="AI27" s="48">
        <f t="shared" si="2"/>
        <v>0</v>
      </c>
      <c r="AJ27" s="51"/>
    </row>
    <row r="28" spans="1:36">
      <c r="A28" s="159" t="s">
        <v>725</v>
      </c>
      <c r="B28" s="179" t="s">
        <v>726</v>
      </c>
      <c r="C28" s="180"/>
      <c r="D28" s="177" t="s">
        <v>35</v>
      </c>
      <c r="E28" s="178">
        <v>948191466</v>
      </c>
      <c r="F28" s="42" t="s">
        <v>27</v>
      </c>
      <c r="G28" s="42" t="s">
        <v>19</v>
      </c>
      <c r="H28" s="42" t="s">
        <v>19</v>
      </c>
      <c r="I28" s="42" t="s">
        <v>19</v>
      </c>
      <c r="J28" s="42" t="s">
        <v>19</v>
      </c>
      <c r="K28" s="44"/>
      <c r="L28" s="44"/>
      <c r="M28" s="44"/>
      <c r="N28" s="44"/>
      <c r="O28" s="44"/>
      <c r="P28" s="44"/>
      <c r="Q28" s="44"/>
      <c r="R28" s="44"/>
      <c r="S28" s="44"/>
      <c r="T28" s="42" t="s">
        <v>27</v>
      </c>
      <c r="U28" s="44"/>
      <c r="V28" s="44"/>
      <c r="W28" s="42" t="s">
        <v>112</v>
      </c>
      <c r="X28" s="44"/>
      <c r="Y28" s="42" t="s">
        <v>27</v>
      </c>
      <c r="Z28" s="44"/>
      <c r="AA28" s="44"/>
      <c r="AB28" s="44"/>
      <c r="AC28" s="44"/>
      <c r="AD28" s="44"/>
      <c r="AE28" s="44"/>
      <c r="AF28" s="46"/>
      <c r="AG28" s="48">
        <f t="shared" si="0"/>
        <v>3</v>
      </c>
      <c r="AH28" s="48">
        <f t="shared" si="1"/>
        <v>4</v>
      </c>
      <c r="AI28" s="48">
        <f t="shared" si="2"/>
        <v>60</v>
      </c>
      <c r="AJ28" s="51"/>
    </row>
    <row r="29" spans="1:36">
      <c r="A29" s="159" t="s">
        <v>727</v>
      </c>
      <c r="B29" s="179" t="s">
        <v>728</v>
      </c>
      <c r="C29" s="177">
        <v>15</v>
      </c>
      <c r="D29" s="177" t="s">
        <v>26</v>
      </c>
      <c r="E29" s="181">
        <v>914857670</v>
      </c>
      <c r="F29" s="42" t="s">
        <v>19</v>
      </c>
      <c r="G29" s="42" t="s">
        <v>19</v>
      </c>
      <c r="H29" s="42" t="s">
        <v>19</v>
      </c>
      <c r="I29" s="42" t="s">
        <v>19</v>
      </c>
      <c r="J29" s="42" t="s">
        <v>27</v>
      </c>
      <c r="K29" s="42" t="s">
        <v>27</v>
      </c>
      <c r="L29" s="42" t="s">
        <v>27</v>
      </c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6"/>
      <c r="AG29" s="48">
        <f t="shared" si="0"/>
        <v>3</v>
      </c>
      <c r="AH29" s="48">
        <f t="shared" si="1"/>
        <v>4</v>
      </c>
      <c r="AI29" s="48">
        <f t="shared" si="2"/>
        <v>60</v>
      </c>
      <c r="AJ29" s="51"/>
    </row>
    <row r="30" spans="1:36">
      <c r="A30" s="159" t="s">
        <v>729</v>
      </c>
      <c r="B30" s="176" t="s">
        <v>730</v>
      </c>
      <c r="C30" s="177">
        <v>26</v>
      </c>
      <c r="D30" s="177" t="s">
        <v>26</v>
      </c>
      <c r="E30" s="178">
        <v>985471567</v>
      </c>
      <c r="F30" s="42" t="s">
        <v>27</v>
      </c>
      <c r="G30" s="42" t="s">
        <v>27</v>
      </c>
      <c r="H30" s="42" t="s">
        <v>27</v>
      </c>
      <c r="I30" s="42" t="s">
        <v>19</v>
      </c>
      <c r="J30" s="42" t="s">
        <v>19</v>
      </c>
      <c r="K30" s="44"/>
      <c r="L30" s="44"/>
      <c r="M30" s="44"/>
      <c r="N30" s="44"/>
      <c r="O30" s="44"/>
      <c r="P30" s="44"/>
      <c r="Q30" s="44"/>
      <c r="R30" s="42" t="s">
        <v>27</v>
      </c>
      <c r="S30" s="44"/>
      <c r="T30" s="44"/>
      <c r="U30" s="44"/>
      <c r="V30" s="44"/>
      <c r="W30" s="44"/>
      <c r="X30" s="44"/>
      <c r="Y30" s="42" t="s">
        <v>27</v>
      </c>
      <c r="Z30" s="44"/>
      <c r="AA30" s="44"/>
      <c r="AB30" s="44"/>
      <c r="AC30" s="42" t="s">
        <v>27</v>
      </c>
      <c r="AD30" s="42" t="s">
        <v>27</v>
      </c>
      <c r="AE30" s="44"/>
      <c r="AF30" s="46"/>
      <c r="AG30" s="48">
        <f t="shared" si="0"/>
        <v>7</v>
      </c>
      <c r="AH30" s="48">
        <f t="shared" si="1"/>
        <v>2</v>
      </c>
      <c r="AI30" s="48">
        <f t="shared" si="2"/>
        <v>140</v>
      </c>
      <c r="AJ30" s="51"/>
    </row>
    <row r="31" spans="1:36">
      <c r="A31" s="159" t="s">
        <v>731</v>
      </c>
      <c r="B31" s="176" t="s">
        <v>732</v>
      </c>
      <c r="C31" s="177">
        <v>23</v>
      </c>
      <c r="D31" s="177" t="s">
        <v>35</v>
      </c>
      <c r="E31" s="178">
        <v>995002831</v>
      </c>
      <c r="F31" s="42" t="s">
        <v>27</v>
      </c>
      <c r="G31" s="42" t="s">
        <v>27</v>
      </c>
      <c r="H31" s="42" t="s">
        <v>27</v>
      </c>
      <c r="I31" s="42" t="s">
        <v>27</v>
      </c>
      <c r="J31" s="42" t="s">
        <v>19</v>
      </c>
      <c r="K31" s="42" t="s">
        <v>27</v>
      </c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2" t="s">
        <v>27</v>
      </c>
      <c r="AD31" s="42" t="s">
        <v>27</v>
      </c>
      <c r="AE31" s="44"/>
      <c r="AF31" s="46"/>
      <c r="AG31" s="48">
        <f t="shared" si="0"/>
        <v>7</v>
      </c>
      <c r="AH31" s="48">
        <f t="shared" si="1"/>
        <v>1</v>
      </c>
      <c r="AI31" s="48">
        <f t="shared" si="2"/>
        <v>140</v>
      </c>
      <c r="AJ31" s="51"/>
    </row>
    <row r="32" spans="1:36">
      <c r="A32" s="159" t="s">
        <v>733</v>
      </c>
      <c r="B32" s="179" t="s">
        <v>734</v>
      </c>
      <c r="C32" s="180"/>
      <c r="D32" s="177" t="s">
        <v>26</v>
      </c>
      <c r="E32" s="181">
        <v>913959829</v>
      </c>
      <c r="F32" s="42" t="s">
        <v>19</v>
      </c>
      <c r="G32" s="42" t="s">
        <v>19</v>
      </c>
      <c r="H32" s="42" t="s">
        <v>19</v>
      </c>
      <c r="I32" s="42" t="s">
        <v>19</v>
      </c>
      <c r="J32" s="42" t="s">
        <v>27</v>
      </c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6"/>
      <c r="AG32" s="48">
        <f t="shared" si="0"/>
        <v>1</v>
      </c>
      <c r="AH32" s="48">
        <f t="shared" si="1"/>
        <v>4</v>
      </c>
      <c r="AI32" s="48">
        <f t="shared" si="2"/>
        <v>20</v>
      </c>
      <c r="AJ32" s="51"/>
    </row>
    <row r="33" spans="1:36">
      <c r="A33" s="159" t="s">
        <v>735</v>
      </c>
      <c r="B33" s="176" t="s">
        <v>736</v>
      </c>
      <c r="C33" s="177">
        <v>23</v>
      </c>
      <c r="D33" s="177" t="s">
        <v>35</v>
      </c>
      <c r="E33" s="178">
        <v>924152555</v>
      </c>
      <c r="F33" s="42" t="s">
        <v>19</v>
      </c>
      <c r="G33" s="42" t="s">
        <v>27</v>
      </c>
      <c r="H33" s="42" t="s">
        <v>19</v>
      </c>
      <c r="I33" s="42" t="s">
        <v>27</v>
      </c>
      <c r="J33" s="42" t="s">
        <v>27</v>
      </c>
      <c r="K33" s="44"/>
      <c r="L33" s="44"/>
      <c r="M33" s="44"/>
      <c r="N33" s="44"/>
      <c r="O33" s="44"/>
      <c r="P33" s="42" t="s">
        <v>27</v>
      </c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2" t="s">
        <v>27</v>
      </c>
      <c r="AD33" s="42" t="s">
        <v>27</v>
      </c>
      <c r="AE33" s="44"/>
      <c r="AF33" s="46"/>
      <c r="AG33" s="48">
        <f t="shared" si="0"/>
        <v>6</v>
      </c>
      <c r="AH33" s="48">
        <f t="shared" si="1"/>
        <v>2</v>
      </c>
      <c r="AI33" s="48">
        <f t="shared" si="2"/>
        <v>120</v>
      </c>
      <c r="AJ33" s="51"/>
    </row>
    <row r="34" spans="1:36" ht="13.8">
      <c r="A34" s="159" t="s">
        <v>737</v>
      </c>
      <c r="B34" s="176" t="s">
        <v>738</v>
      </c>
      <c r="C34" s="180"/>
      <c r="D34" s="177" t="s">
        <v>35</v>
      </c>
      <c r="E34" s="178">
        <v>902711356</v>
      </c>
      <c r="F34" s="42" t="s">
        <v>19</v>
      </c>
      <c r="G34" s="42" t="s">
        <v>27</v>
      </c>
      <c r="H34" s="42" t="s">
        <v>19</v>
      </c>
      <c r="I34" s="42" t="s">
        <v>112</v>
      </c>
      <c r="J34" s="42" t="s">
        <v>19</v>
      </c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6"/>
      <c r="AG34" s="48">
        <f t="shared" si="0"/>
        <v>1</v>
      </c>
      <c r="AH34" s="48">
        <f t="shared" si="1"/>
        <v>3</v>
      </c>
      <c r="AI34" s="48">
        <f t="shared" si="2"/>
        <v>20</v>
      </c>
      <c r="AJ34" s="51"/>
    </row>
    <row r="35" spans="1:36" ht="13.8">
      <c r="A35" s="159" t="s">
        <v>739</v>
      </c>
      <c r="B35" s="176" t="s">
        <v>740</v>
      </c>
      <c r="C35" s="177">
        <v>26</v>
      </c>
      <c r="D35" s="177" t="s">
        <v>35</v>
      </c>
      <c r="E35" s="178">
        <v>937445610</v>
      </c>
      <c r="F35" s="42" t="s">
        <v>27</v>
      </c>
      <c r="G35" s="42" t="s">
        <v>27</v>
      </c>
      <c r="H35" s="42" t="s">
        <v>27</v>
      </c>
      <c r="I35" s="42" t="s">
        <v>27</v>
      </c>
      <c r="J35" s="42" t="s">
        <v>27</v>
      </c>
      <c r="K35" s="44"/>
      <c r="L35" s="44"/>
      <c r="M35" s="44"/>
      <c r="N35" s="44"/>
      <c r="O35" s="44"/>
      <c r="P35" s="44"/>
      <c r="Q35" s="42" t="s">
        <v>27</v>
      </c>
      <c r="R35" s="44"/>
      <c r="S35" s="44"/>
      <c r="T35" s="44"/>
      <c r="U35" s="44"/>
      <c r="V35" s="44"/>
      <c r="W35" s="44"/>
      <c r="X35" s="42" t="s">
        <v>27</v>
      </c>
      <c r="Y35" s="42" t="s">
        <v>27</v>
      </c>
      <c r="Z35" s="44"/>
      <c r="AA35" s="44"/>
      <c r="AB35" s="44"/>
      <c r="AC35" s="44"/>
      <c r="AD35" s="44"/>
      <c r="AE35" s="44"/>
      <c r="AF35" s="46"/>
      <c r="AG35" s="48">
        <f t="shared" si="0"/>
        <v>8</v>
      </c>
      <c r="AH35" s="48">
        <f t="shared" si="1"/>
        <v>0</v>
      </c>
      <c r="AI35" s="48">
        <f t="shared" si="2"/>
        <v>160</v>
      </c>
      <c r="AJ35" s="51"/>
    </row>
    <row r="36" spans="1:36" ht="13.8">
      <c r="A36" s="159" t="s">
        <v>741</v>
      </c>
      <c r="B36" s="176" t="s">
        <v>742</v>
      </c>
      <c r="C36" s="180"/>
      <c r="D36" s="177" t="s">
        <v>26</v>
      </c>
      <c r="E36" s="178">
        <v>963170384</v>
      </c>
      <c r="F36" s="42" t="s">
        <v>19</v>
      </c>
      <c r="G36" s="42" t="s">
        <v>19</v>
      </c>
      <c r="H36" s="42" t="s">
        <v>19</v>
      </c>
      <c r="I36" s="42" t="s">
        <v>19</v>
      </c>
      <c r="J36" s="42" t="s">
        <v>27</v>
      </c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2" t="s">
        <v>27</v>
      </c>
      <c r="Z36" s="44"/>
      <c r="AA36" s="44"/>
      <c r="AB36" s="44"/>
      <c r="AC36" s="44"/>
      <c r="AD36" s="44"/>
      <c r="AE36" s="44"/>
      <c r="AF36" s="46"/>
      <c r="AG36" s="48">
        <f t="shared" si="0"/>
        <v>2</v>
      </c>
      <c r="AH36" s="48">
        <f t="shared" si="1"/>
        <v>4</v>
      </c>
      <c r="AI36" s="48">
        <f t="shared" si="2"/>
        <v>40</v>
      </c>
      <c r="AJ36" s="51"/>
    </row>
    <row r="37" spans="1:36" ht="13.8">
      <c r="A37" s="159" t="s">
        <v>743</v>
      </c>
      <c r="B37" s="179" t="s">
        <v>744</v>
      </c>
      <c r="C37" s="177">
        <v>17</v>
      </c>
      <c r="D37" s="177" t="s">
        <v>26</v>
      </c>
      <c r="E37" s="181">
        <v>901021405</v>
      </c>
      <c r="F37" s="42" t="s">
        <v>27</v>
      </c>
      <c r="G37" s="42" t="s">
        <v>19</v>
      </c>
      <c r="H37" s="42" t="s">
        <v>19</v>
      </c>
      <c r="I37" s="42" t="s">
        <v>19</v>
      </c>
      <c r="J37" s="42" t="s">
        <v>27</v>
      </c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6"/>
      <c r="AG37" s="48">
        <f t="shared" si="0"/>
        <v>2</v>
      </c>
      <c r="AH37" s="48">
        <f t="shared" si="1"/>
        <v>3</v>
      </c>
      <c r="AI37" s="48">
        <f t="shared" si="2"/>
        <v>40</v>
      </c>
      <c r="AJ37" s="51"/>
    </row>
    <row r="38" spans="1:36" ht="13.8">
      <c r="A38" s="159" t="s">
        <v>745</v>
      </c>
      <c r="B38" s="179" t="s">
        <v>746</v>
      </c>
      <c r="C38" s="180"/>
      <c r="D38" s="177" t="s">
        <v>26</v>
      </c>
      <c r="E38" s="181">
        <v>912878321</v>
      </c>
      <c r="F38" s="42" t="s">
        <v>19</v>
      </c>
      <c r="G38" s="42" t="s">
        <v>19</v>
      </c>
      <c r="H38" s="42" t="s">
        <v>19</v>
      </c>
      <c r="I38" s="42" t="s">
        <v>19</v>
      </c>
      <c r="J38" s="42" t="s">
        <v>19</v>
      </c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2" t="s">
        <v>27</v>
      </c>
      <c r="AD38" s="42" t="s">
        <v>27</v>
      </c>
      <c r="AE38" s="44"/>
      <c r="AF38" s="64" t="s">
        <v>27</v>
      </c>
      <c r="AG38" s="48">
        <f t="shared" si="0"/>
        <v>3</v>
      </c>
      <c r="AH38" s="48">
        <f t="shared" si="1"/>
        <v>5</v>
      </c>
      <c r="AI38" s="48">
        <f t="shared" si="2"/>
        <v>60</v>
      </c>
      <c r="AJ38" s="51"/>
    </row>
    <row r="39" spans="1:36" ht="13.8">
      <c r="A39" s="159" t="s">
        <v>747</v>
      </c>
      <c r="B39" s="176" t="s">
        <v>748</v>
      </c>
      <c r="C39" s="180"/>
      <c r="D39" s="177" t="s">
        <v>26</v>
      </c>
      <c r="E39" s="178">
        <v>936441706</v>
      </c>
      <c r="F39" s="42" t="s">
        <v>19</v>
      </c>
      <c r="G39" s="42" t="s">
        <v>19</v>
      </c>
      <c r="H39" s="42" t="s">
        <v>19</v>
      </c>
      <c r="I39" s="42" t="s">
        <v>19</v>
      </c>
      <c r="J39" s="42" t="s">
        <v>27</v>
      </c>
      <c r="K39" s="44"/>
      <c r="L39" s="44"/>
      <c r="M39" s="44"/>
      <c r="N39" s="44"/>
      <c r="O39" s="44"/>
      <c r="P39" s="44"/>
      <c r="Q39" s="44"/>
      <c r="R39" s="42" t="s">
        <v>27</v>
      </c>
      <c r="S39" s="44"/>
      <c r="T39" s="44"/>
      <c r="U39" s="44"/>
      <c r="V39" s="44"/>
      <c r="W39" s="44"/>
      <c r="X39" s="44"/>
      <c r="Y39" s="42" t="s">
        <v>27</v>
      </c>
      <c r="Z39" s="44"/>
      <c r="AA39" s="44"/>
      <c r="AB39" s="44"/>
      <c r="AC39" s="44"/>
      <c r="AD39" s="42" t="s">
        <v>27</v>
      </c>
      <c r="AE39" s="42" t="s">
        <v>27</v>
      </c>
      <c r="AF39" s="64" t="s">
        <v>27</v>
      </c>
      <c r="AG39" s="48">
        <f t="shared" si="0"/>
        <v>6</v>
      </c>
      <c r="AH39" s="48">
        <f t="shared" si="1"/>
        <v>4</v>
      </c>
      <c r="AI39" s="48">
        <f t="shared" si="2"/>
        <v>120</v>
      </c>
      <c r="AJ39" s="51"/>
    </row>
    <row r="40" spans="1:36" ht="13.8">
      <c r="A40" s="159" t="s">
        <v>749</v>
      </c>
      <c r="B40" s="176" t="s">
        <v>750</v>
      </c>
      <c r="C40" s="180"/>
      <c r="D40" s="177" t="s">
        <v>26</v>
      </c>
      <c r="E40" s="178">
        <v>914835621</v>
      </c>
      <c r="F40" s="42" t="s">
        <v>19</v>
      </c>
      <c r="G40" s="42" t="s">
        <v>19</v>
      </c>
      <c r="H40" s="42" t="s">
        <v>19</v>
      </c>
      <c r="I40" s="42" t="s">
        <v>27</v>
      </c>
      <c r="J40" s="42" t="s">
        <v>19</v>
      </c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2" t="s">
        <v>27</v>
      </c>
      <c r="AE40" s="44"/>
      <c r="AF40" s="46"/>
      <c r="AG40" s="48">
        <f t="shared" si="0"/>
        <v>2</v>
      </c>
      <c r="AH40" s="48">
        <f t="shared" si="1"/>
        <v>4</v>
      </c>
      <c r="AI40" s="48">
        <f t="shared" si="2"/>
        <v>40</v>
      </c>
      <c r="AJ40" s="51"/>
    </row>
    <row r="41" spans="1:36" ht="13.8">
      <c r="A41" s="159" t="s">
        <v>751</v>
      </c>
      <c r="B41" s="176" t="s">
        <v>752</v>
      </c>
      <c r="C41" s="180"/>
      <c r="D41" s="177" t="s">
        <v>35</v>
      </c>
      <c r="E41" s="178">
        <v>946616529</v>
      </c>
      <c r="F41" s="42" t="s">
        <v>27</v>
      </c>
      <c r="G41" s="42" t="s">
        <v>19</v>
      </c>
      <c r="H41" s="42" t="s">
        <v>27</v>
      </c>
      <c r="I41" s="42" t="s">
        <v>19</v>
      </c>
      <c r="J41" s="42" t="s">
        <v>27</v>
      </c>
      <c r="K41" s="44"/>
      <c r="L41" s="42" t="s">
        <v>27</v>
      </c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6"/>
      <c r="AG41" s="48">
        <f t="shared" si="0"/>
        <v>4</v>
      </c>
      <c r="AH41" s="48">
        <f t="shared" si="1"/>
        <v>2</v>
      </c>
      <c r="AI41" s="48">
        <f t="shared" si="2"/>
        <v>80</v>
      </c>
      <c r="AJ41" s="51"/>
    </row>
    <row r="42" spans="1:36" ht="13.8">
      <c r="A42" s="159" t="s">
        <v>753</v>
      </c>
      <c r="B42" s="179" t="s">
        <v>754</v>
      </c>
      <c r="C42" s="177">
        <v>18</v>
      </c>
      <c r="D42" s="177" t="s">
        <v>26</v>
      </c>
      <c r="E42" s="181">
        <v>911991218</v>
      </c>
      <c r="F42" s="42" t="s">
        <v>19</v>
      </c>
      <c r="G42" s="42" t="s">
        <v>19</v>
      </c>
      <c r="H42" s="42" t="s">
        <v>19</v>
      </c>
      <c r="I42" s="42" t="s">
        <v>19</v>
      </c>
      <c r="J42" s="42" t="s">
        <v>27</v>
      </c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6"/>
      <c r="AG42" s="48">
        <f t="shared" si="0"/>
        <v>1</v>
      </c>
      <c r="AH42" s="48">
        <f t="shared" si="1"/>
        <v>4</v>
      </c>
      <c r="AI42" s="48">
        <f t="shared" si="2"/>
        <v>20</v>
      </c>
      <c r="AJ42" s="51"/>
    </row>
    <row r="43" spans="1:36" ht="13.8">
      <c r="A43" s="159" t="s">
        <v>757</v>
      </c>
      <c r="B43" s="216" t="s">
        <v>758</v>
      </c>
      <c r="C43" s="217"/>
      <c r="D43" s="218" t="s">
        <v>35</v>
      </c>
      <c r="E43" s="219">
        <v>969064737</v>
      </c>
      <c r="F43" s="92" t="s">
        <v>19</v>
      </c>
      <c r="G43" s="92" t="s">
        <v>19</v>
      </c>
      <c r="H43" s="92" t="s">
        <v>27</v>
      </c>
      <c r="I43" s="92" t="s">
        <v>19</v>
      </c>
      <c r="J43" s="92" t="s">
        <v>19</v>
      </c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2" t="s">
        <v>27</v>
      </c>
      <c r="AD43" s="93"/>
      <c r="AE43" s="93"/>
      <c r="AF43" s="221"/>
      <c r="AG43" s="48">
        <f t="shared" si="0"/>
        <v>2</v>
      </c>
      <c r="AH43" s="48">
        <f t="shared" si="1"/>
        <v>4</v>
      </c>
      <c r="AI43" s="48">
        <f t="shared" si="2"/>
        <v>40</v>
      </c>
      <c r="AJ43" s="222"/>
    </row>
    <row r="44" spans="1:36" ht="13.8">
      <c r="A44" s="159" t="s">
        <v>759</v>
      </c>
      <c r="B44" s="179" t="s">
        <v>760</v>
      </c>
      <c r="C44" s="200"/>
      <c r="D44" s="177" t="s">
        <v>35</v>
      </c>
      <c r="E44" s="177">
        <v>911861551</v>
      </c>
      <c r="F44" s="42" t="s">
        <v>19</v>
      </c>
      <c r="G44" s="42" t="s">
        <v>19</v>
      </c>
      <c r="H44" s="42" t="s">
        <v>19</v>
      </c>
      <c r="I44" s="42" t="s">
        <v>19</v>
      </c>
      <c r="J44" s="42" t="s">
        <v>19</v>
      </c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6"/>
      <c r="AG44" s="48">
        <f t="shared" si="0"/>
        <v>0</v>
      </c>
      <c r="AH44" s="48">
        <f t="shared" si="1"/>
        <v>5</v>
      </c>
      <c r="AI44" s="48">
        <f t="shared" si="2"/>
        <v>0</v>
      </c>
      <c r="AJ44" s="51"/>
    </row>
    <row r="45" spans="1:36" ht="13.8">
      <c r="A45" s="159" t="s">
        <v>761</v>
      </c>
      <c r="B45" s="176" t="s">
        <v>762</v>
      </c>
      <c r="C45" s="180"/>
      <c r="D45" s="177" t="s">
        <v>35</v>
      </c>
      <c r="E45" s="181">
        <v>977133373</v>
      </c>
      <c r="F45" s="42" t="s">
        <v>19</v>
      </c>
      <c r="G45" s="42" t="s">
        <v>19</v>
      </c>
      <c r="H45" s="42" t="s">
        <v>19</v>
      </c>
      <c r="I45" s="42" t="s">
        <v>19</v>
      </c>
      <c r="J45" s="42" t="s">
        <v>19</v>
      </c>
      <c r="K45" s="44"/>
      <c r="L45" s="42" t="s">
        <v>27</v>
      </c>
      <c r="M45" s="42" t="s">
        <v>27</v>
      </c>
      <c r="N45" s="42" t="s">
        <v>27</v>
      </c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2" t="s">
        <v>27</v>
      </c>
      <c r="AE45" s="44"/>
      <c r="AF45" s="46"/>
      <c r="AG45" s="48">
        <f t="shared" si="0"/>
        <v>4</v>
      </c>
      <c r="AH45" s="48">
        <f t="shared" si="1"/>
        <v>5</v>
      </c>
      <c r="AI45" s="48">
        <f t="shared" si="2"/>
        <v>80</v>
      </c>
      <c r="AJ45" s="51"/>
    </row>
    <row r="46" spans="1:36" ht="13.8">
      <c r="A46" s="159" t="s">
        <v>763</v>
      </c>
      <c r="B46" s="176" t="s">
        <v>764</v>
      </c>
      <c r="C46" s="177">
        <v>20</v>
      </c>
      <c r="D46" s="177" t="s">
        <v>35</v>
      </c>
      <c r="E46" s="178">
        <v>930253213</v>
      </c>
      <c r="F46" s="42" t="s">
        <v>27</v>
      </c>
      <c r="G46" s="42" t="s">
        <v>27</v>
      </c>
      <c r="H46" s="42" t="s">
        <v>19</v>
      </c>
      <c r="I46" s="42" t="s">
        <v>19</v>
      </c>
      <c r="J46" s="42" t="s">
        <v>19</v>
      </c>
      <c r="K46" s="44"/>
      <c r="L46" s="44"/>
      <c r="M46" s="44"/>
      <c r="N46" s="44"/>
      <c r="O46" s="44"/>
      <c r="P46" s="44"/>
      <c r="Q46" s="44"/>
      <c r="R46" s="42" t="s">
        <v>27</v>
      </c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6"/>
      <c r="AG46" s="48">
        <f t="shared" si="0"/>
        <v>3</v>
      </c>
      <c r="AH46" s="48">
        <f t="shared" si="1"/>
        <v>3</v>
      </c>
      <c r="AI46" s="48">
        <f t="shared" si="2"/>
        <v>60</v>
      </c>
      <c r="AJ46" s="51"/>
    </row>
    <row r="47" spans="1:36" ht="13.8">
      <c r="A47" s="159" t="s">
        <v>765</v>
      </c>
      <c r="B47" s="179" t="s">
        <v>766</v>
      </c>
      <c r="C47" s="177">
        <v>28</v>
      </c>
      <c r="D47" s="177" t="s">
        <v>26</v>
      </c>
      <c r="E47" s="177">
        <v>975871283</v>
      </c>
      <c r="F47" s="42" t="s">
        <v>19</v>
      </c>
      <c r="G47" s="42" t="s">
        <v>112</v>
      </c>
      <c r="H47" s="42" t="s">
        <v>27</v>
      </c>
      <c r="I47" s="42" t="s">
        <v>19</v>
      </c>
      <c r="J47" s="42" t="s">
        <v>27</v>
      </c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2" t="s">
        <v>27</v>
      </c>
      <c r="AD47" s="42" t="s">
        <v>27</v>
      </c>
      <c r="AE47" s="44"/>
      <c r="AF47" s="46"/>
      <c r="AG47" s="48">
        <f t="shared" si="0"/>
        <v>4</v>
      </c>
      <c r="AH47" s="48">
        <f t="shared" si="1"/>
        <v>2</v>
      </c>
      <c r="AI47" s="48">
        <f t="shared" si="2"/>
        <v>80</v>
      </c>
      <c r="AJ47" s="51"/>
    </row>
    <row r="48" spans="1:36" ht="13.8">
      <c r="A48" s="159" t="s">
        <v>767</v>
      </c>
      <c r="B48" s="179" t="s">
        <v>768</v>
      </c>
      <c r="C48" s="180"/>
      <c r="D48" s="177" t="s">
        <v>35</v>
      </c>
      <c r="E48" s="181">
        <v>989969727</v>
      </c>
      <c r="F48" s="42" t="s">
        <v>27</v>
      </c>
      <c r="G48" s="42" t="s">
        <v>27</v>
      </c>
      <c r="H48" s="42" t="s">
        <v>27</v>
      </c>
      <c r="I48" s="42" t="s">
        <v>112</v>
      </c>
      <c r="J48" s="42" t="s">
        <v>27</v>
      </c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6"/>
      <c r="AG48" s="48">
        <f t="shared" si="0"/>
        <v>4</v>
      </c>
      <c r="AH48" s="48">
        <f t="shared" si="1"/>
        <v>0</v>
      </c>
      <c r="AI48" s="48">
        <f t="shared" si="2"/>
        <v>80</v>
      </c>
      <c r="AJ48" s="51"/>
    </row>
    <row r="49" spans="1:36" ht="13.8">
      <c r="A49" s="159" t="s">
        <v>769</v>
      </c>
      <c r="B49" s="176" t="s">
        <v>770</v>
      </c>
      <c r="C49" s="180"/>
      <c r="D49" s="177" t="s">
        <v>35</v>
      </c>
      <c r="E49" s="178">
        <v>940166212</v>
      </c>
      <c r="F49" s="42" t="s">
        <v>19</v>
      </c>
      <c r="G49" s="42" t="s">
        <v>27</v>
      </c>
      <c r="H49" s="42" t="s">
        <v>27</v>
      </c>
      <c r="I49" s="42" t="s">
        <v>27</v>
      </c>
      <c r="J49" s="42" t="s">
        <v>19</v>
      </c>
      <c r="K49" s="44"/>
      <c r="L49" s="44"/>
      <c r="M49" s="44"/>
      <c r="N49" s="44"/>
      <c r="O49" s="44"/>
      <c r="P49" s="44"/>
      <c r="Q49" s="44"/>
      <c r="R49" s="42" t="s">
        <v>27</v>
      </c>
      <c r="S49" s="44"/>
      <c r="T49" s="44"/>
      <c r="U49" s="44"/>
      <c r="V49" s="44"/>
      <c r="W49" s="44"/>
      <c r="X49" s="44"/>
      <c r="Y49" s="44"/>
      <c r="Z49" s="42" t="s">
        <v>27</v>
      </c>
      <c r="AA49" s="44"/>
      <c r="AB49" s="44"/>
      <c r="AC49" s="42" t="s">
        <v>27</v>
      </c>
      <c r="AD49" s="44"/>
      <c r="AE49" s="44"/>
      <c r="AF49" s="64" t="s">
        <v>27</v>
      </c>
      <c r="AG49" s="48">
        <f t="shared" si="0"/>
        <v>7</v>
      </c>
      <c r="AH49" s="48">
        <f t="shared" si="1"/>
        <v>2</v>
      </c>
      <c r="AI49" s="48">
        <f t="shared" si="2"/>
        <v>140</v>
      </c>
      <c r="AJ49" s="51"/>
    </row>
    <row r="50" spans="1:36" ht="13.8">
      <c r="A50" s="159" t="s">
        <v>771</v>
      </c>
      <c r="B50" s="179" t="s">
        <v>772</v>
      </c>
      <c r="C50" s="177">
        <v>16</v>
      </c>
      <c r="D50" s="177" t="s">
        <v>26</v>
      </c>
      <c r="E50" s="177">
        <v>906635039</v>
      </c>
      <c r="F50" s="42" t="s">
        <v>27</v>
      </c>
      <c r="G50" s="42" t="s">
        <v>19</v>
      </c>
      <c r="H50" s="42" t="s">
        <v>19</v>
      </c>
      <c r="I50" s="42" t="s">
        <v>19</v>
      </c>
      <c r="J50" s="42" t="s">
        <v>19</v>
      </c>
      <c r="K50" s="44"/>
      <c r="L50" s="44"/>
      <c r="M50" s="44"/>
      <c r="N50" s="42" t="s">
        <v>27</v>
      </c>
      <c r="O50" s="44"/>
      <c r="P50" s="44"/>
      <c r="Q50" s="44"/>
      <c r="R50" s="42" t="s">
        <v>27</v>
      </c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2" t="s">
        <v>27</v>
      </c>
      <c r="AE50" s="44"/>
      <c r="AF50" s="46"/>
      <c r="AG50" s="48">
        <f t="shared" si="0"/>
        <v>4</v>
      </c>
      <c r="AH50" s="48">
        <f t="shared" si="1"/>
        <v>4</v>
      </c>
      <c r="AI50" s="48">
        <f t="shared" si="2"/>
        <v>80</v>
      </c>
      <c r="AJ50" s="51"/>
    </row>
    <row r="51" spans="1:36" ht="13.8">
      <c r="A51" s="159" t="s">
        <v>773</v>
      </c>
      <c r="B51" s="179" t="s">
        <v>774</v>
      </c>
      <c r="C51" s="177">
        <v>16</v>
      </c>
      <c r="D51" s="177" t="s">
        <v>26</v>
      </c>
      <c r="E51" s="181">
        <v>911991218</v>
      </c>
      <c r="F51" s="42" t="s">
        <v>19</v>
      </c>
      <c r="G51" s="42" t="s">
        <v>19</v>
      </c>
      <c r="H51" s="42" t="s">
        <v>19</v>
      </c>
      <c r="I51" s="42" t="s">
        <v>19</v>
      </c>
      <c r="J51" s="42" t="s">
        <v>27</v>
      </c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2" t="s">
        <v>27</v>
      </c>
      <c r="AD51" s="44"/>
      <c r="AE51" s="44"/>
      <c r="AF51" s="46"/>
      <c r="AG51" s="48">
        <f t="shared" si="0"/>
        <v>2</v>
      </c>
      <c r="AH51" s="48">
        <f t="shared" si="1"/>
        <v>4</v>
      </c>
      <c r="AI51" s="48">
        <f t="shared" si="2"/>
        <v>40</v>
      </c>
      <c r="AJ51" s="51"/>
    </row>
    <row r="52" spans="1:36" ht="13.8">
      <c r="A52" s="159" t="s">
        <v>777</v>
      </c>
      <c r="B52" s="179" t="s">
        <v>778</v>
      </c>
      <c r="C52" s="177">
        <v>20</v>
      </c>
      <c r="D52" s="177" t="s">
        <v>26</v>
      </c>
      <c r="E52" s="177">
        <v>901230331</v>
      </c>
      <c r="F52" s="42" t="s">
        <v>27</v>
      </c>
      <c r="G52" s="42" t="s">
        <v>27</v>
      </c>
      <c r="H52" s="42" t="s">
        <v>19</v>
      </c>
      <c r="I52" s="42" t="s">
        <v>19</v>
      </c>
      <c r="J52" s="42" t="s">
        <v>27</v>
      </c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2" t="s">
        <v>27</v>
      </c>
      <c r="AA52" s="44"/>
      <c r="AB52" s="44"/>
      <c r="AC52" s="42" t="s">
        <v>27</v>
      </c>
      <c r="AD52" s="44"/>
      <c r="AE52" s="44"/>
      <c r="AF52" s="46"/>
      <c r="AG52" s="48">
        <f t="shared" si="0"/>
        <v>5</v>
      </c>
      <c r="AH52" s="48">
        <f t="shared" si="1"/>
        <v>2</v>
      </c>
      <c r="AI52" s="48">
        <f t="shared" si="2"/>
        <v>100</v>
      </c>
      <c r="AJ52" s="51"/>
    </row>
    <row r="53" spans="1:36" ht="13.8">
      <c r="A53" s="159" t="s">
        <v>779</v>
      </c>
      <c r="B53" s="179" t="s">
        <v>780</v>
      </c>
      <c r="C53" s="177">
        <v>19</v>
      </c>
      <c r="D53" s="177" t="s">
        <v>26</v>
      </c>
      <c r="E53" s="177">
        <v>926953738</v>
      </c>
      <c r="F53" s="42" t="s">
        <v>27</v>
      </c>
      <c r="G53" s="42" t="s">
        <v>27</v>
      </c>
      <c r="H53" s="42" t="s">
        <v>27</v>
      </c>
      <c r="I53" s="42" t="s">
        <v>27</v>
      </c>
      <c r="J53" s="42" t="s">
        <v>27</v>
      </c>
      <c r="K53" s="44"/>
      <c r="L53" s="42" t="s">
        <v>27</v>
      </c>
      <c r="M53" s="42" t="s">
        <v>27</v>
      </c>
      <c r="N53" s="42" t="s">
        <v>27</v>
      </c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2" t="s">
        <v>27</v>
      </c>
      <c r="AF53" s="64" t="s">
        <v>27</v>
      </c>
      <c r="AG53" s="48">
        <f t="shared" si="0"/>
        <v>10</v>
      </c>
      <c r="AH53" s="48">
        <f t="shared" si="1"/>
        <v>0</v>
      </c>
      <c r="AI53" s="48">
        <f t="shared" si="2"/>
        <v>200</v>
      </c>
      <c r="AJ53" s="51"/>
    </row>
    <row r="54" spans="1:36" ht="13.8">
      <c r="A54" s="159" t="s">
        <v>783</v>
      </c>
      <c r="B54" s="179" t="s">
        <v>784</v>
      </c>
      <c r="C54" s="180"/>
      <c r="D54" s="177" t="s">
        <v>35</v>
      </c>
      <c r="E54" s="181">
        <v>944148606</v>
      </c>
      <c r="F54" s="42" t="s">
        <v>19</v>
      </c>
      <c r="G54" s="42" t="s">
        <v>27</v>
      </c>
      <c r="H54" s="42" t="s">
        <v>19</v>
      </c>
      <c r="I54" s="42" t="s">
        <v>27</v>
      </c>
      <c r="J54" s="42" t="s">
        <v>27</v>
      </c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2" t="s">
        <v>27</v>
      </c>
      <c r="AD54" s="44"/>
      <c r="AE54" s="44"/>
      <c r="AF54" s="46"/>
      <c r="AG54" s="48">
        <f t="shared" si="0"/>
        <v>4</v>
      </c>
      <c r="AH54" s="48">
        <f t="shared" si="1"/>
        <v>2</v>
      </c>
      <c r="AI54" s="48">
        <f t="shared" si="2"/>
        <v>80</v>
      </c>
      <c r="AJ54" s="51"/>
    </row>
    <row r="55" spans="1:36" ht="13.8">
      <c r="A55" s="159" t="s">
        <v>785</v>
      </c>
      <c r="B55" s="179" t="s">
        <v>786</v>
      </c>
      <c r="C55" s="180"/>
      <c r="D55" s="177" t="s">
        <v>35</v>
      </c>
      <c r="E55" s="177">
        <v>946331830</v>
      </c>
      <c r="F55" s="42" t="s">
        <v>19</v>
      </c>
      <c r="G55" s="42" t="s">
        <v>19</v>
      </c>
      <c r="H55" s="42" t="s">
        <v>19</v>
      </c>
      <c r="I55" s="42" t="s">
        <v>19</v>
      </c>
      <c r="J55" s="42" t="s">
        <v>19</v>
      </c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6"/>
      <c r="AG55" s="48">
        <f t="shared" si="0"/>
        <v>0</v>
      </c>
      <c r="AH55" s="48">
        <f t="shared" si="1"/>
        <v>5</v>
      </c>
      <c r="AI55" s="48">
        <f t="shared" si="2"/>
        <v>0</v>
      </c>
      <c r="AJ55" s="51"/>
    </row>
    <row r="56" spans="1:36" ht="13.8">
      <c r="A56" s="159" t="s">
        <v>789</v>
      </c>
      <c r="B56" s="176" t="s">
        <v>790</v>
      </c>
      <c r="C56" s="180"/>
      <c r="D56" s="177" t="s">
        <v>35</v>
      </c>
      <c r="E56" s="178">
        <v>903324210</v>
      </c>
      <c r="F56" s="42" t="s">
        <v>27</v>
      </c>
      <c r="G56" s="42" t="s">
        <v>27</v>
      </c>
      <c r="H56" s="42" t="s">
        <v>27</v>
      </c>
      <c r="I56" s="42" t="s">
        <v>27</v>
      </c>
      <c r="J56" s="42" t="s">
        <v>19</v>
      </c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6"/>
      <c r="AG56" s="48">
        <f t="shared" si="0"/>
        <v>4</v>
      </c>
      <c r="AH56" s="48">
        <f t="shared" si="1"/>
        <v>1</v>
      </c>
      <c r="AI56" s="48">
        <f t="shared" si="2"/>
        <v>80</v>
      </c>
      <c r="AJ56" s="51"/>
    </row>
    <row r="57" spans="1:36" ht="13.8">
      <c r="A57" s="159" t="s">
        <v>791</v>
      </c>
      <c r="B57" s="179" t="s">
        <v>792</v>
      </c>
      <c r="C57" s="180"/>
      <c r="D57" s="177" t="s">
        <v>26</v>
      </c>
      <c r="E57" s="177">
        <v>921222122</v>
      </c>
      <c r="F57" s="42" t="s">
        <v>19</v>
      </c>
      <c r="G57" s="42" t="s">
        <v>19</v>
      </c>
      <c r="H57" s="42" t="s">
        <v>112</v>
      </c>
      <c r="I57" s="42" t="s">
        <v>19</v>
      </c>
      <c r="J57" s="42" t="s">
        <v>19</v>
      </c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6"/>
      <c r="AG57" s="48">
        <f t="shared" si="0"/>
        <v>0</v>
      </c>
      <c r="AH57" s="48">
        <f t="shared" si="1"/>
        <v>4</v>
      </c>
      <c r="AI57" s="48">
        <f t="shared" si="2"/>
        <v>0</v>
      </c>
      <c r="AJ57" s="51"/>
    </row>
    <row r="58" spans="1:36" ht="13.8">
      <c r="A58" s="159" t="s">
        <v>795</v>
      </c>
      <c r="B58" s="179" t="s">
        <v>796</v>
      </c>
      <c r="C58" s="177">
        <v>14</v>
      </c>
      <c r="D58" s="177" t="s">
        <v>35</v>
      </c>
      <c r="E58" s="181">
        <v>911871348</v>
      </c>
      <c r="F58" s="42" t="s">
        <v>19</v>
      </c>
      <c r="G58" s="42" t="s">
        <v>27</v>
      </c>
      <c r="H58" s="42" t="s">
        <v>27</v>
      </c>
      <c r="I58" s="42" t="s">
        <v>27</v>
      </c>
      <c r="J58" s="42" t="s">
        <v>19</v>
      </c>
      <c r="K58" s="44"/>
      <c r="L58" s="42" t="s">
        <v>27</v>
      </c>
      <c r="M58" s="42" t="s">
        <v>27</v>
      </c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6"/>
      <c r="AG58" s="48">
        <f t="shared" si="0"/>
        <v>5</v>
      </c>
      <c r="AH58" s="48">
        <f t="shared" si="1"/>
        <v>2</v>
      </c>
      <c r="AI58" s="48">
        <f t="shared" si="2"/>
        <v>100</v>
      </c>
      <c r="AJ58" s="51"/>
    </row>
    <row r="59" spans="1:36" ht="13.8">
      <c r="A59" s="159" t="s">
        <v>797</v>
      </c>
      <c r="B59" s="179" t="s">
        <v>798</v>
      </c>
      <c r="C59" s="177">
        <v>17</v>
      </c>
      <c r="D59" s="177" t="s">
        <v>35</v>
      </c>
      <c r="E59" s="177">
        <v>916676551</v>
      </c>
      <c r="F59" s="42" t="s">
        <v>27</v>
      </c>
      <c r="G59" s="42" t="s">
        <v>27</v>
      </c>
      <c r="H59" s="42" t="s">
        <v>19</v>
      </c>
      <c r="I59" s="42" t="s">
        <v>27</v>
      </c>
      <c r="J59" s="42" t="s">
        <v>27</v>
      </c>
      <c r="K59" s="44"/>
      <c r="L59" s="44"/>
      <c r="M59" s="44"/>
      <c r="N59" s="44"/>
      <c r="O59" s="44"/>
      <c r="P59" s="44"/>
      <c r="Q59" s="44"/>
      <c r="R59" s="42" t="s">
        <v>27</v>
      </c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2" t="s">
        <v>27</v>
      </c>
      <c r="AD59" s="42" t="s">
        <v>27</v>
      </c>
      <c r="AE59" s="44"/>
      <c r="AF59" s="46"/>
      <c r="AG59" s="48">
        <f t="shared" si="0"/>
        <v>7</v>
      </c>
      <c r="AH59" s="48">
        <f t="shared" si="1"/>
        <v>1</v>
      </c>
      <c r="AI59" s="48">
        <f t="shared" si="2"/>
        <v>140</v>
      </c>
      <c r="AJ59" s="51"/>
    </row>
    <row r="60" spans="1:36" ht="13.8">
      <c r="A60" s="159" t="s">
        <v>801</v>
      </c>
      <c r="B60" s="179" t="s">
        <v>824</v>
      </c>
      <c r="C60" s="177">
        <v>16</v>
      </c>
      <c r="D60" s="177" t="s">
        <v>35</v>
      </c>
      <c r="E60" s="177">
        <v>934456066</v>
      </c>
      <c r="F60" s="42" t="s">
        <v>19</v>
      </c>
      <c r="G60" s="42" t="s">
        <v>112</v>
      </c>
      <c r="H60" s="42" t="s">
        <v>19</v>
      </c>
      <c r="I60" s="42" t="s">
        <v>19</v>
      </c>
      <c r="J60" s="42" t="s">
        <v>19</v>
      </c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6"/>
      <c r="AG60" s="48">
        <f t="shared" si="0"/>
        <v>0</v>
      </c>
      <c r="AH60" s="48">
        <f t="shared" si="1"/>
        <v>4</v>
      </c>
      <c r="AI60" s="48">
        <f t="shared" si="2"/>
        <v>0</v>
      </c>
      <c r="AJ60" s="51"/>
    </row>
    <row r="61" spans="1:36" ht="13.8">
      <c r="A61" s="159" t="s">
        <v>804</v>
      </c>
      <c r="B61" s="207" t="s">
        <v>802</v>
      </c>
      <c r="C61" s="208">
        <v>19</v>
      </c>
      <c r="D61" s="208" t="s">
        <v>26</v>
      </c>
      <c r="E61" s="209">
        <v>900297515</v>
      </c>
      <c r="F61" s="42" t="s">
        <v>27</v>
      </c>
      <c r="G61" s="42" t="s">
        <v>19</v>
      </c>
      <c r="H61" s="42" t="s">
        <v>19</v>
      </c>
      <c r="I61" s="42" t="s">
        <v>19</v>
      </c>
      <c r="J61" s="42" t="s">
        <v>27</v>
      </c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2" t="s">
        <v>27</v>
      </c>
      <c r="AD61" s="44"/>
      <c r="AE61" s="44"/>
      <c r="AF61" s="46"/>
      <c r="AG61" s="48">
        <f t="shared" si="0"/>
        <v>3</v>
      </c>
      <c r="AH61" s="48">
        <f t="shared" si="1"/>
        <v>3</v>
      </c>
      <c r="AI61" s="48">
        <f t="shared" si="2"/>
        <v>60</v>
      </c>
      <c r="AJ61" s="51"/>
    </row>
    <row r="62" spans="1:36" ht="13.8">
      <c r="A62" s="159" t="s">
        <v>808</v>
      </c>
      <c r="B62" s="179" t="s">
        <v>805</v>
      </c>
      <c r="C62" s="177">
        <v>26</v>
      </c>
      <c r="D62" s="177" t="s">
        <v>35</v>
      </c>
      <c r="E62" s="177">
        <v>923537518</v>
      </c>
      <c r="F62" s="42" t="s">
        <v>27</v>
      </c>
      <c r="G62" s="42" t="s">
        <v>27</v>
      </c>
      <c r="H62" s="42" t="s">
        <v>19</v>
      </c>
      <c r="I62" s="42" t="s">
        <v>19</v>
      </c>
      <c r="J62" s="42" t="s">
        <v>27</v>
      </c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6"/>
      <c r="AG62" s="48">
        <f t="shared" si="0"/>
        <v>3</v>
      </c>
      <c r="AH62" s="48">
        <f t="shared" si="1"/>
        <v>2</v>
      </c>
      <c r="AI62" s="48">
        <f t="shared" si="2"/>
        <v>60</v>
      </c>
      <c r="AJ62" s="51"/>
    </row>
    <row r="63" spans="1:36" ht="13.8">
      <c r="A63" s="159" t="s">
        <v>810</v>
      </c>
      <c r="B63" s="179" t="s">
        <v>809</v>
      </c>
      <c r="C63" s="177">
        <v>29</v>
      </c>
      <c r="D63" s="177" t="s">
        <v>35</v>
      </c>
      <c r="E63" s="177">
        <v>954979876</v>
      </c>
      <c r="F63" s="42" t="s">
        <v>19</v>
      </c>
      <c r="G63" s="42" t="s">
        <v>19</v>
      </c>
      <c r="H63" s="42" t="s">
        <v>19</v>
      </c>
      <c r="I63" s="42" t="s">
        <v>19</v>
      </c>
      <c r="J63" s="42" t="s">
        <v>19</v>
      </c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6"/>
      <c r="AG63" s="48">
        <f t="shared" si="0"/>
        <v>0</v>
      </c>
      <c r="AH63" s="48">
        <f t="shared" si="1"/>
        <v>5</v>
      </c>
      <c r="AI63" s="48">
        <f t="shared" si="2"/>
        <v>0</v>
      </c>
      <c r="AJ63" s="51"/>
    </row>
    <row r="64" spans="1:36" ht="13.8">
      <c r="A64" s="159" t="s">
        <v>812</v>
      </c>
      <c r="B64" s="210" t="s">
        <v>811</v>
      </c>
      <c r="C64" s="164">
        <v>23</v>
      </c>
      <c r="D64" s="164" t="s">
        <v>26</v>
      </c>
      <c r="E64" s="164">
        <v>995076448</v>
      </c>
      <c r="F64" s="42" t="s">
        <v>19</v>
      </c>
      <c r="G64" s="42" t="s">
        <v>19</v>
      </c>
      <c r="H64" s="42" t="s">
        <v>19</v>
      </c>
      <c r="I64" s="42" t="s">
        <v>19</v>
      </c>
      <c r="J64" s="42" t="s">
        <v>27</v>
      </c>
      <c r="K64" s="44"/>
      <c r="L64" s="44"/>
      <c r="M64" s="44"/>
      <c r="N64" s="44"/>
      <c r="O64" s="44"/>
      <c r="P64" s="44"/>
      <c r="Q64" s="44"/>
      <c r="R64" s="42" t="s">
        <v>27</v>
      </c>
      <c r="S64" s="44"/>
      <c r="T64" s="42" t="s">
        <v>27</v>
      </c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6"/>
      <c r="AG64" s="48">
        <f t="shared" si="0"/>
        <v>3</v>
      </c>
      <c r="AH64" s="48">
        <f t="shared" si="1"/>
        <v>4</v>
      </c>
      <c r="AI64" s="48">
        <f t="shared" si="2"/>
        <v>60</v>
      </c>
      <c r="AJ64" s="51"/>
    </row>
    <row r="65" spans="1:36" ht="13.8">
      <c r="A65" s="159" t="s">
        <v>817</v>
      </c>
      <c r="B65" s="139" t="s">
        <v>815</v>
      </c>
      <c r="C65" s="140">
        <v>14</v>
      </c>
      <c r="D65" s="141"/>
      <c r="E65" s="140">
        <v>911393351</v>
      </c>
      <c r="F65" s="42" t="s">
        <v>27</v>
      </c>
      <c r="G65" s="42" t="s">
        <v>19</v>
      </c>
      <c r="H65" s="42" t="s">
        <v>19</v>
      </c>
      <c r="I65" s="42" t="s">
        <v>19</v>
      </c>
      <c r="J65" s="42" t="s">
        <v>19</v>
      </c>
      <c r="K65" s="44"/>
      <c r="L65" s="44"/>
      <c r="M65" s="44"/>
      <c r="N65" s="44"/>
      <c r="O65" s="44"/>
      <c r="P65" s="44"/>
      <c r="Q65" s="44"/>
      <c r="R65" s="42" t="s">
        <v>27</v>
      </c>
      <c r="S65" s="44"/>
      <c r="T65" s="42" t="s">
        <v>27</v>
      </c>
      <c r="U65" s="44"/>
      <c r="V65" s="44"/>
      <c r="W65" s="42" t="s">
        <v>27</v>
      </c>
      <c r="X65" s="42" t="s">
        <v>27</v>
      </c>
      <c r="Y65" s="42" t="s">
        <v>27</v>
      </c>
      <c r="Z65" s="42" t="s">
        <v>27</v>
      </c>
      <c r="AA65" s="44"/>
      <c r="AB65" s="44"/>
      <c r="AC65" s="44"/>
      <c r="AD65" s="44"/>
      <c r="AE65" s="44"/>
      <c r="AF65" s="46"/>
      <c r="AG65" s="48">
        <f t="shared" si="0"/>
        <v>7</v>
      </c>
      <c r="AH65" s="48">
        <f t="shared" si="1"/>
        <v>4</v>
      </c>
      <c r="AI65" s="48">
        <f t="shared" si="2"/>
        <v>140</v>
      </c>
      <c r="AJ65" s="51"/>
    </row>
    <row r="66" spans="1:36" ht="13.8">
      <c r="A66" s="159" t="s">
        <v>820</v>
      </c>
      <c r="B66" s="139" t="s">
        <v>818</v>
      </c>
      <c r="C66" s="140"/>
      <c r="D66" s="140" t="s">
        <v>26</v>
      </c>
      <c r="E66" s="140">
        <v>973257691</v>
      </c>
      <c r="F66" s="42" t="s">
        <v>19</v>
      </c>
      <c r="G66" s="42" t="s">
        <v>19</v>
      </c>
      <c r="H66" s="42" t="s">
        <v>19</v>
      </c>
      <c r="I66" s="42" t="s">
        <v>19</v>
      </c>
      <c r="J66" s="42" t="s">
        <v>19</v>
      </c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6"/>
      <c r="AG66" s="48">
        <f t="shared" si="0"/>
        <v>0</v>
      </c>
      <c r="AH66" s="48">
        <f t="shared" si="1"/>
        <v>5</v>
      </c>
      <c r="AI66" s="48">
        <f t="shared" si="2"/>
        <v>0</v>
      </c>
      <c r="AJ66" s="51"/>
    </row>
    <row r="67" spans="1:36" ht="13.8">
      <c r="A67" s="159" t="s">
        <v>823</v>
      </c>
      <c r="B67" s="139" t="s">
        <v>821</v>
      </c>
      <c r="C67" s="140">
        <v>24</v>
      </c>
      <c r="D67" s="140" t="s">
        <v>35</v>
      </c>
      <c r="E67" s="140">
        <v>994439728</v>
      </c>
      <c r="F67" s="42" t="s">
        <v>27</v>
      </c>
      <c r="G67" s="42" t="s">
        <v>19</v>
      </c>
      <c r="H67" s="42" t="s">
        <v>19</v>
      </c>
      <c r="I67" s="42" t="s">
        <v>19</v>
      </c>
      <c r="J67" s="42" t="s">
        <v>19</v>
      </c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6"/>
      <c r="AG67" s="48">
        <f t="shared" si="0"/>
        <v>1</v>
      </c>
      <c r="AH67" s="48">
        <f t="shared" si="1"/>
        <v>4</v>
      </c>
      <c r="AI67" s="48">
        <f t="shared" si="2"/>
        <v>20</v>
      </c>
      <c r="AJ67" s="51"/>
    </row>
    <row r="68" spans="1:36" ht="13.8">
      <c r="A68" s="159" t="s">
        <v>825</v>
      </c>
      <c r="B68" s="139" t="s">
        <v>824</v>
      </c>
      <c r="C68" s="140">
        <v>17</v>
      </c>
      <c r="D68" s="140" t="s">
        <v>35</v>
      </c>
      <c r="E68" s="140">
        <v>934456066</v>
      </c>
      <c r="F68" s="42" t="s">
        <v>19</v>
      </c>
      <c r="G68" s="42" t="s">
        <v>19</v>
      </c>
      <c r="H68" s="42" t="s">
        <v>19</v>
      </c>
      <c r="I68" s="42" t="s">
        <v>19</v>
      </c>
      <c r="J68" s="42" t="s">
        <v>19</v>
      </c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6"/>
      <c r="AG68" s="48">
        <f t="shared" si="0"/>
        <v>0</v>
      </c>
      <c r="AH68" s="48">
        <f t="shared" si="1"/>
        <v>5</v>
      </c>
      <c r="AI68" s="48">
        <f t="shared" si="2"/>
        <v>0</v>
      </c>
      <c r="AJ68" s="51"/>
    </row>
    <row r="69" spans="1:36" ht="13.8">
      <c r="A69" s="159" t="s">
        <v>829</v>
      </c>
      <c r="B69" s="139" t="s">
        <v>826</v>
      </c>
      <c r="C69" s="140">
        <v>15</v>
      </c>
      <c r="D69" s="140" t="s">
        <v>341</v>
      </c>
      <c r="E69" s="140">
        <v>940394781</v>
      </c>
      <c r="F69" s="42" t="s">
        <v>27</v>
      </c>
      <c r="G69" s="42" t="s">
        <v>19</v>
      </c>
      <c r="H69" s="42" t="s">
        <v>19</v>
      </c>
      <c r="I69" s="42" t="s">
        <v>19</v>
      </c>
      <c r="J69" s="42" t="s">
        <v>27</v>
      </c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6"/>
      <c r="AG69" s="48">
        <f t="shared" si="0"/>
        <v>2</v>
      </c>
      <c r="AH69" s="48">
        <f t="shared" si="1"/>
        <v>3</v>
      </c>
      <c r="AI69" s="48">
        <f t="shared" si="2"/>
        <v>40</v>
      </c>
      <c r="AJ69" s="51"/>
    </row>
    <row r="70" spans="1:36" ht="13.8">
      <c r="A70" s="159" t="s">
        <v>831</v>
      </c>
      <c r="B70" s="139" t="s">
        <v>830</v>
      </c>
      <c r="C70" s="140">
        <v>25</v>
      </c>
      <c r="D70" s="141"/>
      <c r="E70" s="140">
        <v>973748672</v>
      </c>
      <c r="F70" s="42" t="s">
        <v>27</v>
      </c>
      <c r="G70" s="42" t="s">
        <v>19</v>
      </c>
      <c r="H70" s="42" t="s">
        <v>19</v>
      </c>
      <c r="I70" s="42" t="s">
        <v>19</v>
      </c>
      <c r="J70" s="42" t="s">
        <v>27</v>
      </c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6"/>
      <c r="AG70" s="48">
        <f t="shared" si="0"/>
        <v>2</v>
      </c>
      <c r="AH70" s="48">
        <f t="shared" si="1"/>
        <v>3</v>
      </c>
      <c r="AI70" s="48">
        <f t="shared" si="2"/>
        <v>40</v>
      </c>
      <c r="AJ70" s="51"/>
    </row>
    <row r="71" spans="1:36" ht="13.8">
      <c r="A71" s="159" t="s">
        <v>836</v>
      </c>
      <c r="B71" s="139" t="s">
        <v>832</v>
      </c>
      <c r="C71" s="140">
        <v>28</v>
      </c>
      <c r="D71" s="141"/>
      <c r="E71" s="140">
        <v>941555881</v>
      </c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2" t="s">
        <v>27</v>
      </c>
      <c r="S71" s="44"/>
      <c r="T71" s="44"/>
      <c r="U71" s="44"/>
      <c r="V71" s="44"/>
      <c r="W71" s="42" t="s">
        <v>27</v>
      </c>
      <c r="X71" s="42" t="s">
        <v>27</v>
      </c>
      <c r="Y71" s="44"/>
      <c r="Z71" s="42" t="s">
        <v>27</v>
      </c>
      <c r="AA71" s="44"/>
      <c r="AB71" s="44"/>
      <c r="AC71" s="44"/>
      <c r="AD71" s="44"/>
      <c r="AE71" s="44"/>
      <c r="AF71" s="64" t="s">
        <v>27</v>
      </c>
      <c r="AG71" s="48">
        <f t="shared" si="0"/>
        <v>5</v>
      </c>
      <c r="AH71" s="48">
        <f t="shared" si="1"/>
        <v>0</v>
      </c>
      <c r="AI71" s="48">
        <f t="shared" si="2"/>
        <v>100</v>
      </c>
      <c r="AJ71" s="51"/>
    </row>
    <row r="72" spans="1:36" ht="13.8">
      <c r="A72" s="238" t="s">
        <v>838</v>
      </c>
      <c r="B72" s="139" t="s">
        <v>837</v>
      </c>
      <c r="C72" s="140">
        <v>19</v>
      </c>
      <c r="D72" s="140" t="s">
        <v>35</v>
      </c>
      <c r="E72" s="140">
        <v>909501009</v>
      </c>
      <c r="F72" s="42" t="s">
        <v>19</v>
      </c>
      <c r="G72" s="42" t="s">
        <v>19</v>
      </c>
      <c r="H72" s="42" t="s">
        <v>27</v>
      </c>
      <c r="I72" s="42" t="s">
        <v>19</v>
      </c>
      <c r="J72" s="42" t="s">
        <v>27</v>
      </c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6"/>
      <c r="AG72" s="48">
        <f t="shared" si="0"/>
        <v>2</v>
      </c>
      <c r="AH72" s="48">
        <f t="shared" si="1"/>
        <v>3</v>
      </c>
      <c r="AI72" s="48">
        <f t="shared" si="2"/>
        <v>40</v>
      </c>
      <c r="AJ72" s="51"/>
    </row>
    <row r="73" spans="1:36" ht="13.8">
      <c r="A73" s="238" t="s">
        <v>840</v>
      </c>
      <c r="B73" s="139" t="s">
        <v>839</v>
      </c>
      <c r="C73" s="140">
        <v>27</v>
      </c>
      <c r="D73" s="140" t="s">
        <v>26</v>
      </c>
      <c r="E73" s="140">
        <v>985641271</v>
      </c>
      <c r="F73" s="42" t="s">
        <v>19</v>
      </c>
      <c r="G73" s="42" t="s">
        <v>27</v>
      </c>
      <c r="H73" s="42" t="s">
        <v>27</v>
      </c>
      <c r="I73" s="42" t="s">
        <v>27</v>
      </c>
      <c r="J73" s="42" t="s">
        <v>27</v>
      </c>
      <c r="K73" s="44"/>
      <c r="L73" s="42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2" t="s">
        <v>27</v>
      </c>
      <c r="AD73" s="44"/>
      <c r="AE73" s="42" t="s">
        <v>27</v>
      </c>
      <c r="AF73" s="64" t="s">
        <v>27</v>
      </c>
      <c r="AG73" s="48">
        <f t="shared" si="0"/>
        <v>7</v>
      </c>
      <c r="AH73" s="48">
        <f t="shared" si="1"/>
        <v>1</v>
      </c>
      <c r="AI73" s="48">
        <f t="shared" si="2"/>
        <v>140</v>
      </c>
      <c r="AJ73" s="51"/>
    </row>
    <row r="74" spans="1:36" ht="13.8">
      <c r="A74" s="238" t="s">
        <v>844</v>
      </c>
      <c r="B74" s="139" t="s">
        <v>841</v>
      </c>
      <c r="C74" s="140">
        <v>35</v>
      </c>
      <c r="D74" s="140" t="s">
        <v>26</v>
      </c>
      <c r="E74" s="140">
        <v>972202959</v>
      </c>
      <c r="F74" s="42" t="s">
        <v>19</v>
      </c>
      <c r="G74" s="42" t="s">
        <v>27</v>
      </c>
      <c r="H74" s="42" t="s">
        <v>27</v>
      </c>
      <c r="I74" s="42" t="s">
        <v>19</v>
      </c>
      <c r="J74" s="42" t="s">
        <v>19</v>
      </c>
      <c r="K74" s="44"/>
      <c r="L74" s="42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6"/>
      <c r="AG74" s="48">
        <f t="shared" si="0"/>
        <v>2</v>
      </c>
      <c r="AH74" s="48">
        <f t="shared" si="1"/>
        <v>3</v>
      </c>
      <c r="AI74" s="48">
        <f t="shared" si="2"/>
        <v>40</v>
      </c>
      <c r="AJ74" s="51"/>
    </row>
    <row r="75" spans="1:36" ht="13.8">
      <c r="A75" s="238" t="s">
        <v>846</v>
      </c>
      <c r="B75" s="139" t="s">
        <v>845</v>
      </c>
      <c r="C75" s="140">
        <v>16</v>
      </c>
      <c r="D75" s="140" t="s">
        <v>35</v>
      </c>
      <c r="E75" s="140">
        <v>921330537</v>
      </c>
      <c r="F75" s="42" t="s">
        <v>19</v>
      </c>
      <c r="G75" s="42" t="s">
        <v>19</v>
      </c>
      <c r="H75" s="42" t="s">
        <v>27</v>
      </c>
      <c r="I75" s="42" t="s">
        <v>19</v>
      </c>
      <c r="J75" s="42" t="s">
        <v>19</v>
      </c>
      <c r="K75" s="44"/>
      <c r="L75" s="42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6"/>
      <c r="AG75" s="48">
        <f t="shared" si="0"/>
        <v>1</v>
      </c>
      <c r="AH75" s="48">
        <f t="shared" si="1"/>
        <v>4</v>
      </c>
      <c r="AI75" s="48">
        <f t="shared" si="2"/>
        <v>20</v>
      </c>
      <c r="AJ75" s="51"/>
    </row>
    <row r="76" spans="1:36" ht="13.8">
      <c r="A76" s="238" t="s">
        <v>850</v>
      </c>
      <c r="B76" s="139" t="s">
        <v>847</v>
      </c>
      <c r="C76" s="140">
        <v>25</v>
      </c>
      <c r="D76" s="140" t="s">
        <v>35</v>
      </c>
      <c r="E76" s="140">
        <v>973748677</v>
      </c>
      <c r="F76" s="42" t="s">
        <v>19</v>
      </c>
      <c r="G76" s="42" t="s">
        <v>27</v>
      </c>
      <c r="H76" s="42" t="s">
        <v>27</v>
      </c>
      <c r="I76" s="42" t="s">
        <v>19</v>
      </c>
      <c r="J76" s="42" t="s">
        <v>19</v>
      </c>
      <c r="K76" s="44"/>
      <c r="L76" s="42"/>
      <c r="M76" s="44"/>
      <c r="N76" s="44"/>
      <c r="O76" s="44"/>
      <c r="P76" s="44"/>
      <c r="Q76" s="44"/>
      <c r="R76" s="42" t="s">
        <v>27</v>
      </c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2" t="s">
        <v>27</v>
      </c>
      <c r="AD76" s="44"/>
      <c r="AE76" s="44"/>
      <c r="AF76" s="46"/>
      <c r="AG76" s="48">
        <f t="shared" si="0"/>
        <v>4</v>
      </c>
      <c r="AH76" s="48">
        <f t="shared" si="1"/>
        <v>3</v>
      </c>
      <c r="AI76" s="48">
        <f t="shared" si="2"/>
        <v>80</v>
      </c>
      <c r="AJ76" s="51"/>
    </row>
    <row r="77" spans="1:36" ht="13.8">
      <c r="A77" s="238" t="s">
        <v>852</v>
      </c>
      <c r="B77" s="139" t="s">
        <v>851</v>
      </c>
      <c r="C77" s="140">
        <v>25</v>
      </c>
      <c r="D77" s="140" t="s">
        <v>26</v>
      </c>
      <c r="E77" s="140">
        <v>978780485</v>
      </c>
      <c r="F77" s="42" t="s">
        <v>19</v>
      </c>
      <c r="G77" s="42" t="s">
        <v>19</v>
      </c>
      <c r="H77" s="42" t="s">
        <v>19</v>
      </c>
      <c r="I77" s="42" t="s">
        <v>19</v>
      </c>
      <c r="J77" s="42" t="s">
        <v>19</v>
      </c>
      <c r="K77" s="44"/>
      <c r="L77" s="42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6"/>
      <c r="AG77" s="48">
        <f t="shared" si="0"/>
        <v>0</v>
      </c>
      <c r="AH77" s="48">
        <f t="shared" si="1"/>
        <v>5</v>
      </c>
      <c r="AI77" s="48">
        <f t="shared" si="2"/>
        <v>0</v>
      </c>
      <c r="AJ77" s="51"/>
    </row>
    <row r="78" spans="1:36" ht="13.8">
      <c r="A78" s="238" t="s">
        <v>855</v>
      </c>
      <c r="B78" s="139" t="s">
        <v>853</v>
      </c>
      <c r="C78" s="140">
        <v>17</v>
      </c>
      <c r="D78" s="141"/>
      <c r="E78" s="140">
        <v>934739880</v>
      </c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6"/>
      <c r="AG78" s="48"/>
      <c r="AH78" s="48"/>
      <c r="AI78" s="48">
        <f>SUM(AI4:AI77)/74</f>
        <v>65.405405405405403</v>
      </c>
      <c r="AJ78" s="51"/>
    </row>
    <row r="79" spans="1:36" ht="13.8">
      <c r="A79" s="238" t="s">
        <v>857</v>
      </c>
      <c r="B79" s="4"/>
      <c r="C79" s="141"/>
      <c r="D79" s="141"/>
      <c r="E79" s="141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6"/>
      <c r="AG79" s="48"/>
      <c r="AH79" s="48"/>
      <c r="AI79" s="48"/>
      <c r="AJ79" s="51"/>
    </row>
    <row r="80" spans="1:36" ht="13.8">
      <c r="A80" s="238" t="s">
        <v>858</v>
      </c>
      <c r="B80" s="4"/>
      <c r="C80" s="141"/>
      <c r="D80" s="141"/>
      <c r="E80" s="141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6"/>
      <c r="AG80" s="48"/>
      <c r="AH80" s="48"/>
      <c r="AI80" s="48"/>
      <c r="AJ80" s="51"/>
    </row>
    <row r="81" spans="1:36" ht="13.8">
      <c r="A81" s="238" t="s">
        <v>861</v>
      </c>
      <c r="B81" s="4"/>
      <c r="C81" s="141"/>
      <c r="D81" s="141"/>
      <c r="E81" s="141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6"/>
      <c r="AG81" s="48"/>
      <c r="AH81" s="48"/>
      <c r="AI81" s="48"/>
      <c r="AJ81" s="51"/>
    </row>
    <row r="82" spans="1:36" ht="13.2">
      <c r="A82" s="4"/>
      <c r="B82" s="4"/>
      <c r="C82" s="141"/>
      <c r="D82" s="141"/>
      <c r="E82" s="141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6"/>
      <c r="AG82" s="48"/>
      <c r="AH82" s="48"/>
      <c r="AI82" s="48"/>
      <c r="AJ82" s="51"/>
    </row>
    <row r="83" spans="1:36" ht="13.2">
      <c r="A83" s="4"/>
      <c r="B83" s="4"/>
      <c r="C83" s="141"/>
      <c r="D83" s="141"/>
      <c r="E83" s="141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6"/>
      <c r="AG83" s="48"/>
      <c r="AH83" s="48"/>
      <c r="AI83" s="48"/>
      <c r="AJ83" s="51"/>
    </row>
    <row r="84" spans="1:36" ht="13.2">
      <c r="A84" s="4"/>
      <c r="B84" s="4"/>
      <c r="C84" s="141"/>
      <c r="D84" s="141"/>
      <c r="E84" s="141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6"/>
      <c r="AG84" s="48"/>
      <c r="AH84" s="48"/>
      <c r="AI84" s="48"/>
      <c r="AJ84" s="51"/>
    </row>
    <row r="85" spans="1:36" ht="13.2">
      <c r="A85" s="4"/>
      <c r="B85" s="4"/>
      <c r="C85" s="141"/>
      <c r="D85" s="141"/>
      <c r="E85" s="141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6"/>
      <c r="AG85" s="48"/>
      <c r="AH85" s="48"/>
      <c r="AI85" s="48"/>
      <c r="AJ85" s="51"/>
    </row>
    <row r="86" spans="1:36" ht="13.2">
      <c r="A86" s="4"/>
      <c r="B86" s="4"/>
      <c r="C86" s="141"/>
      <c r="D86" s="141"/>
      <c r="E86" s="141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6"/>
      <c r="AG86" s="48"/>
      <c r="AH86" s="48"/>
      <c r="AI86" s="48"/>
      <c r="AJ86" s="51"/>
    </row>
    <row r="87" spans="1:36" ht="13.2">
      <c r="C87" s="10"/>
      <c r="D87" s="10"/>
      <c r="E87" s="10"/>
    </row>
    <row r="88" spans="1:36" ht="13.2">
      <c r="C88" s="10"/>
      <c r="D88" s="10"/>
      <c r="E88" s="10"/>
    </row>
    <row r="89" spans="1:36" ht="13.2">
      <c r="C89" s="10"/>
      <c r="D89" s="10"/>
      <c r="E89" s="10"/>
    </row>
    <row r="90" spans="1:36" ht="13.2">
      <c r="C90" s="10"/>
      <c r="D90" s="10"/>
      <c r="E90" s="10"/>
    </row>
    <row r="91" spans="1:36" ht="13.2">
      <c r="C91" s="10"/>
      <c r="D91" s="10"/>
      <c r="E91" s="10"/>
    </row>
    <row r="92" spans="1:36" ht="13.2">
      <c r="C92" s="10"/>
      <c r="D92" s="10"/>
      <c r="E92" s="10"/>
    </row>
    <row r="93" spans="1:36" ht="13.2">
      <c r="C93" s="10"/>
      <c r="D93" s="10"/>
      <c r="E93" s="10"/>
    </row>
    <row r="94" spans="1:36" ht="13.2">
      <c r="C94" s="10"/>
      <c r="D94" s="10"/>
      <c r="E94" s="10"/>
    </row>
    <row r="95" spans="1:36" ht="13.2">
      <c r="C95" s="10"/>
      <c r="D95" s="10"/>
      <c r="E95" s="10"/>
    </row>
    <row r="96" spans="1:36" ht="13.2">
      <c r="C96" s="10"/>
      <c r="D96" s="10"/>
      <c r="E96" s="10"/>
    </row>
    <row r="97" spans="3:5" ht="13.2">
      <c r="C97" s="10"/>
      <c r="D97" s="10"/>
      <c r="E97" s="10"/>
    </row>
    <row r="98" spans="3:5" ht="13.2">
      <c r="C98" s="10"/>
      <c r="D98" s="10"/>
      <c r="E98" s="10"/>
    </row>
    <row r="99" spans="3:5" ht="13.2">
      <c r="C99" s="10"/>
      <c r="D99" s="10"/>
      <c r="E99" s="10"/>
    </row>
    <row r="100" spans="3:5" ht="13.2">
      <c r="C100" s="10"/>
      <c r="D100" s="10"/>
      <c r="E100" s="10"/>
    </row>
    <row r="101" spans="3:5" ht="13.2">
      <c r="C101" s="10"/>
      <c r="D101" s="10"/>
      <c r="E101" s="10"/>
    </row>
    <row r="102" spans="3:5" ht="13.2">
      <c r="C102" s="10"/>
      <c r="D102" s="10"/>
      <c r="E102" s="10"/>
    </row>
    <row r="103" spans="3:5" ht="13.2">
      <c r="C103" s="10"/>
      <c r="D103" s="10"/>
      <c r="E103" s="10"/>
    </row>
    <row r="104" spans="3:5" ht="13.2">
      <c r="C104" s="10"/>
      <c r="D104" s="10"/>
      <c r="E104" s="10"/>
    </row>
    <row r="105" spans="3:5" ht="13.2">
      <c r="C105" s="10"/>
      <c r="D105" s="10"/>
      <c r="E105" s="10"/>
    </row>
    <row r="106" spans="3:5" ht="13.2">
      <c r="C106" s="10"/>
      <c r="D106" s="10"/>
      <c r="E106" s="10"/>
    </row>
    <row r="107" spans="3:5" ht="13.2">
      <c r="C107" s="10"/>
      <c r="D107" s="10"/>
      <c r="E107" s="10"/>
    </row>
    <row r="108" spans="3:5" ht="13.2">
      <c r="C108" s="10"/>
      <c r="D108" s="10"/>
      <c r="E108" s="10"/>
    </row>
    <row r="109" spans="3:5" ht="13.2">
      <c r="C109" s="10"/>
      <c r="D109" s="10"/>
      <c r="E109" s="10"/>
    </row>
    <row r="110" spans="3:5" ht="13.2">
      <c r="C110" s="10"/>
      <c r="D110" s="10"/>
      <c r="E110" s="10"/>
    </row>
    <row r="111" spans="3:5" ht="13.2">
      <c r="C111" s="10"/>
      <c r="D111" s="10"/>
      <c r="E111" s="10"/>
    </row>
    <row r="112" spans="3:5" ht="13.2">
      <c r="C112" s="10"/>
      <c r="D112" s="10"/>
      <c r="E112" s="10"/>
    </row>
    <row r="113" spans="3:5" ht="13.2">
      <c r="C113" s="10"/>
      <c r="D113" s="10"/>
      <c r="E113" s="10"/>
    </row>
    <row r="114" spans="3:5" ht="13.2">
      <c r="C114" s="10"/>
      <c r="D114" s="10"/>
      <c r="E114" s="10"/>
    </row>
    <row r="115" spans="3:5" ht="13.2">
      <c r="C115" s="10"/>
      <c r="D115" s="10"/>
      <c r="E115" s="10"/>
    </row>
    <row r="116" spans="3:5" ht="13.2">
      <c r="C116" s="10"/>
      <c r="D116" s="10"/>
      <c r="E116" s="10"/>
    </row>
    <row r="117" spans="3:5" ht="13.2">
      <c r="C117" s="10"/>
      <c r="D117" s="10"/>
      <c r="E117" s="10"/>
    </row>
    <row r="118" spans="3:5" ht="13.2">
      <c r="C118" s="10"/>
      <c r="D118" s="10"/>
      <c r="E118" s="10"/>
    </row>
    <row r="119" spans="3:5" ht="13.2">
      <c r="C119" s="10"/>
      <c r="D119" s="10"/>
      <c r="E119" s="10"/>
    </row>
    <row r="120" spans="3:5" ht="13.2">
      <c r="C120" s="10"/>
      <c r="D120" s="10"/>
      <c r="E120" s="10"/>
    </row>
    <row r="121" spans="3:5" ht="13.2">
      <c r="C121" s="10"/>
      <c r="D121" s="10"/>
      <c r="E121" s="10"/>
    </row>
    <row r="122" spans="3:5" ht="13.2">
      <c r="C122" s="10"/>
      <c r="D122" s="10"/>
      <c r="E122" s="10"/>
    </row>
    <row r="123" spans="3:5" ht="13.2">
      <c r="C123" s="10"/>
      <c r="D123" s="10"/>
      <c r="E123" s="10"/>
    </row>
    <row r="124" spans="3:5" ht="13.2">
      <c r="C124" s="10"/>
      <c r="D124" s="10"/>
      <c r="E124" s="10"/>
    </row>
    <row r="125" spans="3:5" ht="13.2">
      <c r="C125" s="10"/>
      <c r="D125" s="10"/>
      <c r="E125" s="10"/>
    </row>
    <row r="126" spans="3:5" ht="13.2">
      <c r="C126" s="10"/>
      <c r="D126" s="10"/>
      <c r="E126" s="10"/>
    </row>
    <row r="127" spans="3:5" ht="13.2">
      <c r="C127" s="10"/>
      <c r="D127" s="10"/>
      <c r="E127" s="10"/>
    </row>
    <row r="128" spans="3:5" ht="13.2">
      <c r="C128" s="10"/>
      <c r="D128" s="10"/>
      <c r="E128" s="10"/>
    </row>
    <row r="129" spans="3:5" ht="13.2">
      <c r="C129" s="10"/>
      <c r="D129" s="10"/>
      <c r="E129" s="10"/>
    </row>
    <row r="130" spans="3:5" ht="13.2">
      <c r="C130" s="10"/>
      <c r="D130" s="10"/>
      <c r="E130" s="10"/>
    </row>
    <row r="131" spans="3:5" ht="13.2">
      <c r="C131" s="10"/>
      <c r="D131" s="10"/>
      <c r="E131" s="10"/>
    </row>
    <row r="132" spans="3:5" ht="13.2">
      <c r="C132" s="10"/>
      <c r="D132" s="10"/>
      <c r="E132" s="10"/>
    </row>
    <row r="133" spans="3:5" ht="13.2">
      <c r="C133" s="10"/>
      <c r="D133" s="10"/>
      <c r="E133" s="10"/>
    </row>
    <row r="134" spans="3:5" ht="13.2">
      <c r="C134" s="10"/>
      <c r="D134" s="10"/>
      <c r="E134" s="10"/>
    </row>
    <row r="135" spans="3:5" ht="13.2">
      <c r="C135" s="10"/>
      <c r="D135" s="10"/>
      <c r="E135" s="10"/>
    </row>
    <row r="136" spans="3:5" ht="13.2">
      <c r="C136" s="10"/>
      <c r="D136" s="10"/>
      <c r="E136" s="10"/>
    </row>
    <row r="137" spans="3:5" ht="13.2">
      <c r="C137" s="10"/>
      <c r="D137" s="10"/>
      <c r="E137" s="10"/>
    </row>
    <row r="138" spans="3:5" ht="13.2">
      <c r="C138" s="10"/>
      <c r="D138" s="10"/>
      <c r="E138" s="10"/>
    </row>
    <row r="139" spans="3:5" ht="13.2">
      <c r="C139" s="10"/>
      <c r="D139" s="10"/>
      <c r="E139" s="10"/>
    </row>
    <row r="140" spans="3:5" ht="13.2">
      <c r="C140" s="10"/>
      <c r="D140" s="10"/>
      <c r="E140" s="10"/>
    </row>
    <row r="141" spans="3:5" ht="13.2">
      <c r="C141" s="10"/>
      <c r="D141" s="10"/>
      <c r="E141" s="10"/>
    </row>
    <row r="142" spans="3:5" ht="13.2">
      <c r="C142" s="10"/>
      <c r="D142" s="10"/>
      <c r="E142" s="10"/>
    </row>
    <row r="143" spans="3:5" ht="13.2">
      <c r="C143" s="10"/>
      <c r="D143" s="10"/>
      <c r="E143" s="10"/>
    </row>
    <row r="144" spans="3:5" ht="13.2">
      <c r="C144" s="10"/>
      <c r="D144" s="10"/>
      <c r="E144" s="10"/>
    </row>
    <row r="145" spans="3:5" ht="13.2">
      <c r="C145" s="10"/>
      <c r="D145" s="10"/>
      <c r="E145" s="10"/>
    </row>
    <row r="146" spans="3:5" ht="13.2">
      <c r="C146" s="10"/>
      <c r="D146" s="10"/>
      <c r="E146" s="10"/>
    </row>
    <row r="147" spans="3:5" ht="13.2">
      <c r="C147" s="10"/>
      <c r="D147" s="10"/>
      <c r="E147" s="10"/>
    </row>
    <row r="148" spans="3:5" ht="13.2">
      <c r="C148" s="10"/>
      <c r="D148" s="10"/>
      <c r="E148" s="10"/>
    </row>
    <row r="149" spans="3:5" ht="13.2">
      <c r="C149" s="10"/>
      <c r="D149" s="10"/>
      <c r="E149" s="10"/>
    </row>
    <row r="150" spans="3:5" ht="13.2">
      <c r="C150" s="10"/>
      <c r="D150" s="10"/>
      <c r="E150" s="10"/>
    </row>
    <row r="151" spans="3:5" ht="13.2">
      <c r="C151" s="10"/>
      <c r="D151" s="10"/>
      <c r="E151" s="10"/>
    </row>
    <row r="152" spans="3:5" ht="13.2">
      <c r="C152" s="10"/>
      <c r="D152" s="10"/>
      <c r="E152" s="10"/>
    </row>
    <row r="153" spans="3:5" ht="13.2">
      <c r="C153" s="10"/>
      <c r="D153" s="10"/>
      <c r="E153" s="10"/>
    </row>
    <row r="154" spans="3:5" ht="13.2">
      <c r="C154" s="10"/>
      <c r="D154" s="10"/>
      <c r="E154" s="10"/>
    </row>
    <row r="155" spans="3:5" ht="13.2">
      <c r="C155" s="10"/>
      <c r="D155" s="10"/>
      <c r="E155" s="10"/>
    </row>
    <row r="156" spans="3:5" ht="13.2">
      <c r="C156" s="10"/>
      <c r="D156" s="10"/>
      <c r="E156" s="10"/>
    </row>
    <row r="157" spans="3:5" ht="13.2">
      <c r="C157" s="10"/>
      <c r="D157" s="10"/>
      <c r="E157" s="10"/>
    </row>
    <row r="158" spans="3:5" ht="13.2">
      <c r="C158" s="10"/>
      <c r="D158" s="10"/>
      <c r="E158" s="10"/>
    </row>
    <row r="159" spans="3:5" ht="13.2">
      <c r="C159" s="10"/>
      <c r="D159" s="10"/>
      <c r="E159" s="10"/>
    </row>
    <row r="160" spans="3:5" ht="13.2">
      <c r="C160" s="10"/>
      <c r="D160" s="10"/>
      <c r="E160" s="10"/>
    </row>
    <row r="161" spans="3:5" ht="13.2">
      <c r="C161" s="10"/>
      <c r="D161" s="10"/>
      <c r="E161" s="10"/>
    </row>
    <row r="162" spans="3:5" ht="13.2">
      <c r="C162" s="10"/>
      <c r="D162" s="10"/>
      <c r="E162" s="10"/>
    </row>
    <row r="163" spans="3:5" ht="13.2">
      <c r="C163" s="10"/>
      <c r="D163" s="10"/>
      <c r="E163" s="10"/>
    </row>
    <row r="164" spans="3:5" ht="13.2">
      <c r="C164" s="10"/>
      <c r="D164" s="10"/>
      <c r="E164" s="10"/>
    </row>
    <row r="165" spans="3:5" ht="13.2">
      <c r="C165" s="10"/>
      <c r="D165" s="10"/>
      <c r="E165" s="10"/>
    </row>
    <row r="166" spans="3:5" ht="13.2">
      <c r="C166" s="10"/>
      <c r="D166" s="10"/>
      <c r="E166" s="10"/>
    </row>
    <row r="167" spans="3:5" ht="13.2">
      <c r="C167" s="10"/>
      <c r="D167" s="10"/>
      <c r="E167" s="10"/>
    </row>
    <row r="168" spans="3:5" ht="13.2">
      <c r="C168" s="10"/>
      <c r="D168" s="10"/>
      <c r="E168" s="10"/>
    </row>
    <row r="169" spans="3:5" ht="13.2">
      <c r="C169" s="10"/>
      <c r="D169" s="10"/>
      <c r="E169" s="10"/>
    </row>
    <row r="170" spans="3:5" ht="13.2">
      <c r="C170" s="10"/>
      <c r="D170" s="10"/>
      <c r="E170" s="10"/>
    </row>
    <row r="171" spans="3:5" ht="13.2">
      <c r="C171" s="10"/>
      <c r="D171" s="10"/>
      <c r="E171" s="10"/>
    </row>
    <row r="172" spans="3:5" ht="13.2">
      <c r="C172" s="10"/>
      <c r="D172" s="10"/>
      <c r="E172" s="10"/>
    </row>
    <row r="173" spans="3:5" ht="13.2">
      <c r="C173" s="10"/>
      <c r="D173" s="10"/>
      <c r="E173" s="10"/>
    </row>
    <row r="174" spans="3:5" ht="13.2">
      <c r="C174" s="10"/>
      <c r="D174" s="10"/>
      <c r="E174" s="10"/>
    </row>
    <row r="175" spans="3:5" ht="13.2">
      <c r="C175" s="10"/>
      <c r="D175" s="10"/>
      <c r="E175" s="10"/>
    </row>
    <row r="176" spans="3:5" ht="13.2">
      <c r="C176" s="10"/>
      <c r="D176" s="10"/>
      <c r="E176" s="10"/>
    </row>
    <row r="177" spans="3:5" ht="13.2">
      <c r="C177" s="10"/>
      <c r="D177" s="10"/>
      <c r="E177" s="10"/>
    </row>
    <row r="178" spans="3:5" ht="13.2">
      <c r="C178" s="10"/>
      <c r="D178" s="10"/>
      <c r="E178" s="10"/>
    </row>
    <row r="179" spans="3:5" ht="13.2">
      <c r="C179" s="10"/>
      <c r="D179" s="10"/>
      <c r="E179" s="10"/>
    </row>
    <row r="180" spans="3:5" ht="13.2">
      <c r="C180" s="10"/>
      <c r="D180" s="10"/>
      <c r="E180" s="10"/>
    </row>
    <row r="181" spans="3:5" ht="13.2">
      <c r="C181" s="10"/>
      <c r="D181" s="10"/>
      <c r="E181" s="10"/>
    </row>
    <row r="182" spans="3:5" ht="13.2">
      <c r="C182" s="10"/>
      <c r="D182" s="10"/>
      <c r="E182" s="10"/>
    </row>
    <row r="183" spans="3:5" ht="13.2">
      <c r="C183" s="10"/>
      <c r="D183" s="10"/>
      <c r="E183" s="10"/>
    </row>
    <row r="184" spans="3:5" ht="13.2">
      <c r="C184" s="10"/>
      <c r="D184" s="10"/>
      <c r="E184" s="10"/>
    </row>
    <row r="185" spans="3:5" ht="13.2">
      <c r="C185" s="10"/>
      <c r="D185" s="10"/>
      <c r="E185" s="10"/>
    </row>
    <row r="186" spans="3:5" ht="13.2">
      <c r="C186" s="10"/>
      <c r="D186" s="10"/>
      <c r="E186" s="10"/>
    </row>
    <row r="187" spans="3:5" ht="13.2">
      <c r="C187" s="10"/>
      <c r="D187" s="10"/>
      <c r="E187" s="10"/>
    </row>
    <row r="188" spans="3:5" ht="13.2">
      <c r="C188" s="10"/>
      <c r="D188" s="10"/>
      <c r="E188" s="10"/>
    </row>
    <row r="189" spans="3:5" ht="13.2">
      <c r="C189" s="10"/>
      <c r="D189" s="10"/>
      <c r="E189" s="10"/>
    </row>
    <row r="190" spans="3:5" ht="13.2">
      <c r="C190" s="10"/>
      <c r="D190" s="10"/>
      <c r="E190" s="10"/>
    </row>
    <row r="191" spans="3:5" ht="13.2">
      <c r="C191" s="10"/>
      <c r="D191" s="10"/>
      <c r="E191" s="10"/>
    </row>
    <row r="192" spans="3:5" ht="13.2">
      <c r="C192" s="10"/>
      <c r="D192" s="10"/>
      <c r="E192" s="10"/>
    </row>
    <row r="193" spans="3:5" ht="13.2">
      <c r="C193" s="10"/>
      <c r="D193" s="10"/>
      <c r="E193" s="10"/>
    </row>
    <row r="194" spans="3:5" ht="13.2">
      <c r="C194" s="10"/>
      <c r="D194" s="10"/>
      <c r="E194" s="10"/>
    </row>
    <row r="195" spans="3:5" ht="13.2">
      <c r="C195" s="10"/>
      <c r="D195" s="10"/>
      <c r="E195" s="10"/>
    </row>
    <row r="196" spans="3:5" ht="13.2">
      <c r="C196" s="10"/>
      <c r="D196" s="10"/>
      <c r="E196" s="10"/>
    </row>
    <row r="197" spans="3:5" ht="13.2">
      <c r="C197" s="10"/>
      <c r="D197" s="10"/>
      <c r="E197" s="10"/>
    </row>
    <row r="198" spans="3:5" ht="13.2">
      <c r="C198" s="10"/>
      <c r="D198" s="10"/>
      <c r="E198" s="10"/>
    </row>
    <row r="199" spans="3:5" ht="13.2">
      <c r="C199" s="10"/>
      <c r="D199" s="10"/>
      <c r="E199" s="10"/>
    </row>
    <row r="200" spans="3:5" ht="13.2">
      <c r="C200" s="10"/>
      <c r="D200" s="10"/>
      <c r="E200" s="10"/>
    </row>
    <row r="201" spans="3:5" ht="13.2">
      <c r="C201" s="10"/>
      <c r="D201" s="10"/>
      <c r="E201" s="10"/>
    </row>
    <row r="202" spans="3:5" ht="13.2">
      <c r="C202" s="10"/>
      <c r="D202" s="10"/>
      <c r="E202" s="10"/>
    </row>
    <row r="203" spans="3:5" ht="13.2">
      <c r="C203" s="10"/>
      <c r="D203" s="10"/>
      <c r="E203" s="10"/>
    </row>
    <row r="204" spans="3:5" ht="13.2">
      <c r="C204" s="10"/>
      <c r="D204" s="10"/>
      <c r="E204" s="10"/>
    </row>
    <row r="205" spans="3:5" ht="13.2">
      <c r="C205" s="10"/>
      <c r="D205" s="10"/>
      <c r="E205" s="10"/>
    </row>
    <row r="206" spans="3:5" ht="13.2">
      <c r="C206" s="10"/>
      <c r="D206" s="10"/>
      <c r="E206" s="10"/>
    </row>
    <row r="207" spans="3:5" ht="13.2">
      <c r="C207" s="10"/>
      <c r="D207" s="10"/>
      <c r="E207" s="10"/>
    </row>
    <row r="208" spans="3:5" ht="13.2">
      <c r="C208" s="10"/>
      <c r="D208" s="10"/>
      <c r="E208" s="10"/>
    </row>
    <row r="209" spans="3:5" ht="13.2">
      <c r="C209" s="10"/>
      <c r="D209" s="10"/>
      <c r="E209" s="10"/>
    </row>
    <row r="210" spans="3:5" ht="13.2">
      <c r="C210" s="10"/>
      <c r="D210" s="10"/>
      <c r="E210" s="10"/>
    </row>
    <row r="211" spans="3:5" ht="13.2">
      <c r="C211" s="10"/>
      <c r="D211" s="10"/>
      <c r="E211" s="10"/>
    </row>
    <row r="212" spans="3:5" ht="13.2">
      <c r="C212" s="10"/>
      <c r="D212" s="10"/>
      <c r="E212" s="10"/>
    </row>
    <row r="213" spans="3:5" ht="13.2">
      <c r="C213" s="10"/>
      <c r="D213" s="10"/>
      <c r="E213" s="10"/>
    </row>
    <row r="214" spans="3:5" ht="13.2">
      <c r="C214" s="10"/>
      <c r="D214" s="10"/>
      <c r="E214" s="10"/>
    </row>
    <row r="215" spans="3:5" ht="13.2">
      <c r="C215" s="10"/>
      <c r="D215" s="10"/>
      <c r="E215" s="10"/>
    </row>
    <row r="216" spans="3:5" ht="13.2">
      <c r="C216" s="10"/>
      <c r="D216" s="10"/>
      <c r="E216" s="10"/>
    </row>
    <row r="217" spans="3:5" ht="13.2">
      <c r="C217" s="10"/>
      <c r="D217" s="10"/>
      <c r="E217" s="10"/>
    </row>
    <row r="218" spans="3:5" ht="13.2">
      <c r="C218" s="10"/>
      <c r="D218" s="10"/>
      <c r="E218" s="10"/>
    </row>
    <row r="219" spans="3:5" ht="13.2">
      <c r="C219" s="10"/>
      <c r="D219" s="10"/>
      <c r="E219" s="10"/>
    </row>
    <row r="220" spans="3:5" ht="13.2">
      <c r="C220" s="10"/>
      <c r="D220" s="10"/>
      <c r="E220" s="10"/>
    </row>
    <row r="221" spans="3:5" ht="13.2">
      <c r="C221" s="10"/>
      <c r="D221" s="10"/>
      <c r="E221" s="10"/>
    </row>
    <row r="222" spans="3:5" ht="13.2">
      <c r="C222" s="10"/>
      <c r="D222" s="10"/>
      <c r="E222" s="10"/>
    </row>
    <row r="223" spans="3:5" ht="13.2">
      <c r="C223" s="10"/>
      <c r="D223" s="10"/>
      <c r="E223" s="10"/>
    </row>
    <row r="224" spans="3:5" ht="13.2">
      <c r="C224" s="10"/>
      <c r="D224" s="10"/>
      <c r="E224" s="10"/>
    </row>
    <row r="225" spans="3:5" ht="13.2">
      <c r="C225" s="10"/>
      <c r="D225" s="10"/>
      <c r="E225" s="10"/>
    </row>
    <row r="226" spans="3:5" ht="13.2">
      <c r="C226" s="10"/>
      <c r="D226" s="10"/>
      <c r="E226" s="10"/>
    </row>
    <row r="227" spans="3:5" ht="13.2">
      <c r="C227" s="10"/>
      <c r="D227" s="10"/>
      <c r="E227" s="10"/>
    </row>
    <row r="228" spans="3:5" ht="13.2">
      <c r="C228" s="10"/>
      <c r="D228" s="10"/>
      <c r="E228" s="10"/>
    </row>
    <row r="229" spans="3:5" ht="13.2">
      <c r="C229" s="10"/>
      <c r="D229" s="10"/>
      <c r="E229" s="10"/>
    </row>
    <row r="230" spans="3:5" ht="13.2">
      <c r="C230" s="10"/>
      <c r="D230" s="10"/>
      <c r="E230" s="10"/>
    </row>
    <row r="231" spans="3:5" ht="13.2">
      <c r="C231" s="10"/>
      <c r="D231" s="10"/>
      <c r="E231" s="10"/>
    </row>
    <row r="232" spans="3:5" ht="13.2">
      <c r="C232" s="10"/>
      <c r="D232" s="10"/>
      <c r="E232" s="10"/>
    </row>
    <row r="233" spans="3:5" ht="13.2">
      <c r="C233" s="10"/>
      <c r="D233" s="10"/>
      <c r="E233" s="10"/>
    </row>
    <row r="234" spans="3:5" ht="13.2">
      <c r="C234" s="10"/>
      <c r="D234" s="10"/>
      <c r="E234" s="10"/>
    </row>
    <row r="235" spans="3:5" ht="13.2">
      <c r="C235" s="10"/>
      <c r="D235" s="10"/>
      <c r="E235" s="10"/>
    </row>
    <row r="236" spans="3:5" ht="13.2">
      <c r="C236" s="10"/>
      <c r="D236" s="10"/>
      <c r="E236" s="10"/>
    </row>
    <row r="237" spans="3:5" ht="13.2">
      <c r="C237" s="10"/>
      <c r="D237" s="10"/>
      <c r="E237" s="10"/>
    </row>
    <row r="238" spans="3:5" ht="13.2">
      <c r="C238" s="10"/>
      <c r="D238" s="10"/>
      <c r="E238" s="10"/>
    </row>
    <row r="239" spans="3:5" ht="13.2">
      <c r="C239" s="10"/>
      <c r="D239" s="10"/>
      <c r="E239" s="10"/>
    </row>
    <row r="240" spans="3:5" ht="13.2">
      <c r="C240" s="10"/>
      <c r="D240" s="10"/>
      <c r="E240" s="10"/>
    </row>
    <row r="241" spans="3:5" ht="13.2">
      <c r="C241" s="10"/>
      <c r="D241" s="10"/>
      <c r="E241" s="10"/>
    </row>
    <row r="242" spans="3:5" ht="13.2">
      <c r="C242" s="10"/>
      <c r="D242" s="10"/>
      <c r="E242" s="10"/>
    </row>
    <row r="243" spans="3:5" ht="13.2">
      <c r="C243" s="10"/>
      <c r="D243" s="10"/>
      <c r="E243" s="10"/>
    </row>
    <row r="244" spans="3:5" ht="13.2">
      <c r="C244" s="10"/>
      <c r="D244" s="10"/>
      <c r="E244" s="10"/>
    </row>
    <row r="245" spans="3:5" ht="13.2">
      <c r="C245" s="10"/>
      <c r="D245" s="10"/>
      <c r="E245" s="10"/>
    </row>
    <row r="246" spans="3:5" ht="13.2">
      <c r="C246" s="10"/>
      <c r="D246" s="10"/>
      <c r="E246" s="10"/>
    </row>
    <row r="247" spans="3:5" ht="13.2">
      <c r="C247" s="10"/>
      <c r="D247" s="10"/>
      <c r="E247" s="10"/>
    </row>
    <row r="248" spans="3:5" ht="13.2">
      <c r="C248" s="10"/>
      <c r="D248" s="10"/>
      <c r="E248" s="10"/>
    </row>
    <row r="249" spans="3:5" ht="13.2">
      <c r="C249" s="10"/>
      <c r="D249" s="10"/>
      <c r="E249" s="10"/>
    </row>
    <row r="250" spans="3:5" ht="13.2">
      <c r="C250" s="10"/>
      <c r="D250" s="10"/>
      <c r="E250" s="10"/>
    </row>
    <row r="251" spans="3:5" ht="13.2">
      <c r="C251" s="10"/>
      <c r="D251" s="10"/>
      <c r="E251" s="10"/>
    </row>
    <row r="252" spans="3:5" ht="13.2">
      <c r="C252" s="10"/>
      <c r="D252" s="10"/>
      <c r="E252" s="10"/>
    </row>
    <row r="253" spans="3:5" ht="13.2">
      <c r="C253" s="10"/>
      <c r="D253" s="10"/>
      <c r="E253" s="10"/>
    </row>
    <row r="254" spans="3:5" ht="13.2">
      <c r="C254" s="10"/>
      <c r="D254" s="10"/>
      <c r="E254" s="10"/>
    </row>
    <row r="255" spans="3:5" ht="13.2">
      <c r="C255" s="10"/>
      <c r="D255" s="10"/>
      <c r="E255" s="10"/>
    </row>
    <row r="256" spans="3:5" ht="13.2">
      <c r="C256" s="10"/>
      <c r="D256" s="10"/>
      <c r="E256" s="10"/>
    </row>
    <row r="257" spans="3:5" ht="13.2">
      <c r="C257" s="10"/>
      <c r="D257" s="10"/>
      <c r="E257" s="10"/>
    </row>
    <row r="258" spans="3:5" ht="13.2">
      <c r="C258" s="10"/>
      <c r="D258" s="10"/>
      <c r="E258" s="10"/>
    </row>
    <row r="259" spans="3:5" ht="13.2">
      <c r="C259" s="10"/>
      <c r="D259" s="10"/>
      <c r="E259" s="10"/>
    </row>
    <row r="260" spans="3:5" ht="13.2">
      <c r="C260" s="10"/>
      <c r="D260" s="10"/>
      <c r="E260" s="10"/>
    </row>
    <row r="261" spans="3:5" ht="13.2">
      <c r="C261" s="10"/>
      <c r="D261" s="10"/>
      <c r="E261" s="10"/>
    </row>
    <row r="262" spans="3:5" ht="13.2">
      <c r="C262" s="10"/>
      <c r="D262" s="10"/>
      <c r="E262" s="10"/>
    </row>
    <row r="263" spans="3:5" ht="13.2">
      <c r="C263" s="10"/>
      <c r="D263" s="10"/>
      <c r="E263" s="10"/>
    </row>
    <row r="264" spans="3:5" ht="13.2">
      <c r="C264" s="10"/>
      <c r="D264" s="10"/>
      <c r="E264" s="10"/>
    </row>
    <row r="265" spans="3:5" ht="13.2">
      <c r="C265" s="10"/>
      <c r="D265" s="10"/>
      <c r="E265" s="10"/>
    </row>
    <row r="266" spans="3:5" ht="13.2">
      <c r="C266" s="10"/>
      <c r="D266" s="10"/>
      <c r="E266" s="10"/>
    </row>
    <row r="267" spans="3:5" ht="13.2">
      <c r="C267" s="10"/>
      <c r="D267" s="10"/>
      <c r="E267" s="10"/>
    </row>
    <row r="268" spans="3:5" ht="13.2">
      <c r="C268" s="10"/>
      <c r="D268" s="10"/>
      <c r="E268" s="10"/>
    </row>
    <row r="269" spans="3:5" ht="13.2">
      <c r="C269" s="10"/>
      <c r="D269" s="10"/>
      <c r="E269" s="10"/>
    </row>
    <row r="270" spans="3:5" ht="13.2">
      <c r="C270" s="10"/>
      <c r="D270" s="10"/>
      <c r="E270" s="10"/>
    </row>
    <row r="271" spans="3:5" ht="13.2">
      <c r="C271" s="10"/>
      <c r="D271" s="10"/>
      <c r="E271" s="10"/>
    </row>
    <row r="272" spans="3:5" ht="13.2">
      <c r="C272" s="10"/>
      <c r="D272" s="10"/>
      <c r="E272" s="10"/>
    </row>
    <row r="273" spans="3:5" ht="13.2">
      <c r="C273" s="10"/>
      <c r="D273" s="10"/>
      <c r="E273" s="10"/>
    </row>
    <row r="274" spans="3:5" ht="13.2">
      <c r="C274" s="10"/>
      <c r="D274" s="10"/>
      <c r="E274" s="10"/>
    </row>
    <row r="275" spans="3:5" ht="13.2">
      <c r="C275" s="10"/>
      <c r="D275" s="10"/>
      <c r="E275" s="10"/>
    </row>
    <row r="276" spans="3:5" ht="13.2">
      <c r="C276" s="10"/>
      <c r="D276" s="10"/>
      <c r="E276" s="10"/>
    </row>
    <row r="277" spans="3:5" ht="13.2">
      <c r="C277" s="10"/>
      <c r="D277" s="10"/>
      <c r="E277" s="10"/>
    </row>
    <row r="278" spans="3:5" ht="13.2">
      <c r="C278" s="10"/>
      <c r="D278" s="10"/>
      <c r="E278" s="10"/>
    </row>
    <row r="279" spans="3:5" ht="13.2">
      <c r="C279" s="10"/>
      <c r="D279" s="10"/>
      <c r="E279" s="10"/>
    </row>
    <row r="280" spans="3:5" ht="13.2">
      <c r="C280" s="10"/>
      <c r="D280" s="10"/>
      <c r="E280" s="10"/>
    </row>
    <row r="281" spans="3:5" ht="13.2">
      <c r="C281" s="10"/>
      <c r="D281" s="10"/>
      <c r="E281" s="10"/>
    </row>
    <row r="282" spans="3:5" ht="13.2">
      <c r="C282" s="10"/>
      <c r="D282" s="10"/>
      <c r="E282" s="10"/>
    </row>
    <row r="283" spans="3:5" ht="13.2">
      <c r="C283" s="10"/>
      <c r="D283" s="10"/>
      <c r="E283" s="10"/>
    </row>
    <row r="284" spans="3:5" ht="13.2">
      <c r="C284" s="10"/>
      <c r="D284" s="10"/>
      <c r="E284" s="10"/>
    </row>
    <row r="285" spans="3:5" ht="13.2">
      <c r="C285" s="10"/>
      <c r="D285" s="10"/>
      <c r="E285" s="10"/>
    </row>
    <row r="286" spans="3:5" ht="13.2">
      <c r="C286" s="10"/>
      <c r="D286" s="10"/>
      <c r="E286" s="10"/>
    </row>
    <row r="287" spans="3:5" ht="13.2">
      <c r="C287" s="10"/>
      <c r="D287" s="10"/>
      <c r="E287" s="10"/>
    </row>
    <row r="288" spans="3:5" ht="13.2">
      <c r="C288" s="10"/>
      <c r="D288" s="10"/>
      <c r="E288" s="10"/>
    </row>
    <row r="289" spans="3:5" ht="13.2">
      <c r="C289" s="10"/>
      <c r="D289" s="10"/>
      <c r="E289" s="10"/>
    </row>
    <row r="290" spans="3:5" ht="13.2">
      <c r="C290" s="10"/>
      <c r="D290" s="10"/>
      <c r="E290" s="10"/>
    </row>
    <row r="291" spans="3:5" ht="13.2">
      <c r="C291" s="10"/>
      <c r="D291" s="10"/>
      <c r="E291" s="10"/>
    </row>
    <row r="292" spans="3:5" ht="13.2">
      <c r="C292" s="10"/>
      <c r="D292" s="10"/>
      <c r="E292" s="10"/>
    </row>
    <row r="293" spans="3:5" ht="13.2">
      <c r="C293" s="10"/>
      <c r="D293" s="10"/>
      <c r="E293" s="10"/>
    </row>
    <row r="294" spans="3:5" ht="13.2">
      <c r="C294" s="10"/>
      <c r="D294" s="10"/>
      <c r="E294" s="10"/>
    </row>
    <row r="295" spans="3:5" ht="13.2">
      <c r="C295" s="10"/>
      <c r="D295" s="10"/>
      <c r="E295" s="10"/>
    </row>
    <row r="296" spans="3:5" ht="13.2">
      <c r="C296" s="10"/>
      <c r="D296" s="10"/>
      <c r="E296" s="10"/>
    </row>
    <row r="297" spans="3:5" ht="13.2">
      <c r="C297" s="10"/>
      <c r="D297" s="10"/>
      <c r="E297" s="10"/>
    </row>
    <row r="298" spans="3:5" ht="13.2">
      <c r="C298" s="10"/>
      <c r="D298" s="10"/>
      <c r="E298" s="10"/>
    </row>
    <row r="299" spans="3:5" ht="13.2">
      <c r="C299" s="10"/>
      <c r="D299" s="10"/>
      <c r="E299" s="10"/>
    </row>
    <row r="300" spans="3:5" ht="13.2">
      <c r="C300" s="10"/>
      <c r="D300" s="10"/>
      <c r="E300" s="10"/>
    </row>
    <row r="301" spans="3:5" ht="13.2">
      <c r="C301" s="10"/>
      <c r="D301" s="10"/>
      <c r="E301" s="10"/>
    </row>
    <row r="302" spans="3:5" ht="13.2">
      <c r="C302" s="10"/>
      <c r="D302" s="10"/>
      <c r="E302" s="10"/>
    </row>
    <row r="303" spans="3:5" ht="13.2">
      <c r="C303" s="10"/>
      <c r="D303" s="10"/>
      <c r="E303" s="10"/>
    </row>
    <row r="304" spans="3:5" ht="13.2">
      <c r="C304" s="10"/>
      <c r="D304" s="10"/>
      <c r="E304" s="10"/>
    </row>
    <row r="305" spans="3:5" ht="13.2">
      <c r="C305" s="10"/>
      <c r="D305" s="10"/>
      <c r="E305" s="10"/>
    </row>
    <row r="306" spans="3:5" ht="13.2">
      <c r="C306" s="10"/>
      <c r="D306" s="10"/>
      <c r="E306" s="10"/>
    </row>
    <row r="307" spans="3:5" ht="13.2">
      <c r="C307" s="10"/>
      <c r="D307" s="10"/>
      <c r="E307" s="10"/>
    </row>
    <row r="308" spans="3:5" ht="13.2">
      <c r="C308" s="10"/>
      <c r="D308" s="10"/>
      <c r="E308" s="10"/>
    </row>
    <row r="309" spans="3:5" ht="13.2">
      <c r="C309" s="10"/>
      <c r="D309" s="10"/>
      <c r="E309" s="10"/>
    </row>
    <row r="310" spans="3:5" ht="13.2">
      <c r="C310" s="10"/>
      <c r="D310" s="10"/>
      <c r="E310" s="10"/>
    </row>
    <row r="311" spans="3:5" ht="13.2">
      <c r="C311" s="10"/>
      <c r="D311" s="10"/>
      <c r="E311" s="10"/>
    </row>
    <row r="312" spans="3:5" ht="13.2">
      <c r="C312" s="10"/>
      <c r="D312" s="10"/>
      <c r="E312" s="10"/>
    </row>
    <row r="313" spans="3:5" ht="13.2">
      <c r="C313" s="10"/>
      <c r="D313" s="10"/>
      <c r="E313" s="10"/>
    </row>
    <row r="314" spans="3:5" ht="13.2">
      <c r="C314" s="10"/>
      <c r="D314" s="10"/>
      <c r="E314" s="10"/>
    </row>
    <row r="315" spans="3:5" ht="13.2">
      <c r="C315" s="10"/>
      <c r="D315" s="10"/>
      <c r="E315" s="10"/>
    </row>
    <row r="316" spans="3:5" ht="13.2">
      <c r="C316" s="10"/>
      <c r="D316" s="10"/>
      <c r="E316" s="10"/>
    </row>
    <row r="317" spans="3:5" ht="13.2">
      <c r="C317" s="10"/>
      <c r="D317" s="10"/>
      <c r="E317" s="10"/>
    </row>
    <row r="318" spans="3:5" ht="13.2">
      <c r="C318" s="10"/>
      <c r="D318" s="10"/>
      <c r="E318" s="10"/>
    </row>
    <row r="319" spans="3:5" ht="13.2">
      <c r="C319" s="10"/>
      <c r="D319" s="10"/>
      <c r="E319" s="10"/>
    </row>
    <row r="320" spans="3:5" ht="13.2">
      <c r="C320" s="10"/>
      <c r="D320" s="10"/>
      <c r="E320" s="10"/>
    </row>
    <row r="321" spans="3:5" ht="13.2">
      <c r="C321" s="10"/>
      <c r="D321" s="10"/>
      <c r="E321" s="10"/>
    </row>
    <row r="322" spans="3:5" ht="13.2">
      <c r="C322" s="10"/>
      <c r="D322" s="10"/>
      <c r="E322" s="10"/>
    </row>
    <row r="323" spans="3:5" ht="13.2">
      <c r="C323" s="10"/>
      <c r="D323" s="10"/>
      <c r="E323" s="10"/>
    </row>
    <row r="324" spans="3:5" ht="13.2">
      <c r="C324" s="10"/>
      <c r="D324" s="10"/>
      <c r="E324" s="10"/>
    </row>
    <row r="325" spans="3:5" ht="13.2">
      <c r="C325" s="10"/>
      <c r="D325" s="10"/>
      <c r="E325" s="10"/>
    </row>
    <row r="326" spans="3:5" ht="13.2">
      <c r="C326" s="10"/>
      <c r="D326" s="10"/>
      <c r="E326" s="10"/>
    </row>
    <row r="327" spans="3:5" ht="13.2">
      <c r="C327" s="10"/>
      <c r="D327" s="10"/>
      <c r="E327" s="10"/>
    </row>
    <row r="328" spans="3:5" ht="13.2">
      <c r="C328" s="10"/>
      <c r="D328" s="10"/>
      <c r="E328" s="10"/>
    </row>
    <row r="329" spans="3:5" ht="13.2">
      <c r="C329" s="10"/>
      <c r="D329" s="10"/>
      <c r="E329" s="10"/>
    </row>
    <row r="330" spans="3:5" ht="13.2">
      <c r="C330" s="10"/>
      <c r="D330" s="10"/>
      <c r="E330" s="10"/>
    </row>
    <row r="331" spans="3:5" ht="13.2">
      <c r="C331" s="10"/>
      <c r="D331" s="10"/>
      <c r="E331" s="10"/>
    </row>
    <row r="332" spans="3:5" ht="13.2">
      <c r="C332" s="10"/>
      <c r="D332" s="10"/>
      <c r="E332" s="10"/>
    </row>
    <row r="333" spans="3:5" ht="13.2">
      <c r="C333" s="10"/>
      <c r="D333" s="10"/>
      <c r="E333" s="10"/>
    </row>
    <row r="334" spans="3:5" ht="13.2">
      <c r="C334" s="10"/>
      <c r="D334" s="10"/>
      <c r="E334" s="10"/>
    </row>
    <row r="335" spans="3:5" ht="13.2">
      <c r="C335" s="10"/>
      <c r="D335" s="10"/>
      <c r="E335" s="10"/>
    </row>
    <row r="336" spans="3:5" ht="13.2">
      <c r="C336" s="10"/>
      <c r="D336" s="10"/>
      <c r="E336" s="10"/>
    </row>
    <row r="337" spans="3:5" ht="13.2">
      <c r="C337" s="10"/>
      <c r="D337" s="10"/>
      <c r="E337" s="10"/>
    </row>
    <row r="338" spans="3:5" ht="13.2">
      <c r="C338" s="10"/>
      <c r="D338" s="10"/>
      <c r="E338" s="10"/>
    </row>
    <row r="339" spans="3:5" ht="13.2">
      <c r="C339" s="10"/>
      <c r="D339" s="10"/>
      <c r="E339" s="10"/>
    </row>
    <row r="340" spans="3:5" ht="13.2">
      <c r="C340" s="10"/>
      <c r="D340" s="10"/>
      <c r="E340" s="10"/>
    </row>
    <row r="341" spans="3:5" ht="13.2">
      <c r="C341" s="10"/>
      <c r="D341" s="10"/>
      <c r="E341" s="10"/>
    </row>
    <row r="342" spans="3:5" ht="13.2">
      <c r="C342" s="10"/>
      <c r="D342" s="10"/>
      <c r="E342" s="10"/>
    </row>
    <row r="343" spans="3:5" ht="13.2">
      <c r="C343" s="10"/>
      <c r="D343" s="10"/>
      <c r="E343" s="10"/>
    </row>
    <row r="344" spans="3:5" ht="13.2">
      <c r="C344" s="10"/>
      <c r="D344" s="10"/>
      <c r="E344" s="10"/>
    </row>
    <row r="345" spans="3:5" ht="13.2">
      <c r="C345" s="10"/>
      <c r="D345" s="10"/>
      <c r="E345" s="10"/>
    </row>
    <row r="346" spans="3:5" ht="13.2">
      <c r="C346" s="10"/>
      <c r="D346" s="10"/>
      <c r="E346" s="10"/>
    </row>
    <row r="347" spans="3:5" ht="13.2">
      <c r="C347" s="10"/>
      <c r="D347" s="10"/>
      <c r="E347" s="10"/>
    </row>
    <row r="348" spans="3:5" ht="13.2">
      <c r="C348" s="10"/>
      <c r="D348" s="10"/>
      <c r="E348" s="10"/>
    </row>
    <row r="349" spans="3:5" ht="13.2">
      <c r="C349" s="10"/>
      <c r="D349" s="10"/>
      <c r="E349" s="10"/>
    </row>
    <row r="350" spans="3:5" ht="13.2">
      <c r="C350" s="10"/>
      <c r="D350" s="10"/>
      <c r="E350" s="10"/>
    </row>
    <row r="351" spans="3:5" ht="13.2">
      <c r="C351" s="10"/>
      <c r="D351" s="10"/>
      <c r="E351" s="10"/>
    </row>
    <row r="352" spans="3:5" ht="13.2">
      <c r="C352" s="10"/>
      <c r="D352" s="10"/>
      <c r="E352" s="10"/>
    </row>
    <row r="353" spans="3:5" ht="13.2">
      <c r="C353" s="10"/>
      <c r="D353" s="10"/>
      <c r="E353" s="10"/>
    </row>
    <row r="354" spans="3:5" ht="13.2">
      <c r="C354" s="10"/>
      <c r="D354" s="10"/>
      <c r="E354" s="10"/>
    </row>
    <row r="355" spans="3:5" ht="13.2">
      <c r="C355" s="10"/>
      <c r="D355" s="10"/>
      <c r="E355" s="10"/>
    </row>
    <row r="356" spans="3:5" ht="13.2">
      <c r="C356" s="10"/>
      <c r="D356" s="10"/>
      <c r="E356" s="10"/>
    </row>
    <row r="357" spans="3:5" ht="13.2">
      <c r="C357" s="10"/>
      <c r="D357" s="10"/>
      <c r="E357" s="10"/>
    </row>
    <row r="358" spans="3:5" ht="13.2">
      <c r="C358" s="10"/>
      <c r="D358" s="10"/>
      <c r="E358" s="10"/>
    </row>
    <row r="359" spans="3:5" ht="13.2">
      <c r="C359" s="10"/>
      <c r="D359" s="10"/>
      <c r="E359" s="10"/>
    </row>
    <row r="360" spans="3:5" ht="13.2">
      <c r="C360" s="10"/>
      <c r="D360" s="10"/>
      <c r="E360" s="10"/>
    </row>
    <row r="361" spans="3:5" ht="13.2">
      <c r="C361" s="10"/>
      <c r="D361" s="10"/>
      <c r="E361" s="10"/>
    </row>
    <row r="362" spans="3:5" ht="13.2">
      <c r="C362" s="10"/>
      <c r="D362" s="10"/>
      <c r="E362" s="10"/>
    </row>
    <row r="363" spans="3:5" ht="13.2">
      <c r="C363" s="10"/>
      <c r="D363" s="10"/>
      <c r="E363" s="10"/>
    </row>
    <row r="364" spans="3:5" ht="13.2">
      <c r="C364" s="10"/>
      <c r="D364" s="10"/>
      <c r="E364" s="10"/>
    </row>
    <row r="365" spans="3:5" ht="13.2">
      <c r="C365" s="10"/>
      <c r="D365" s="10"/>
      <c r="E365" s="10"/>
    </row>
    <row r="366" spans="3:5" ht="13.2">
      <c r="C366" s="10"/>
      <c r="D366" s="10"/>
      <c r="E366" s="10"/>
    </row>
    <row r="367" spans="3:5" ht="13.2">
      <c r="C367" s="10"/>
      <c r="D367" s="10"/>
      <c r="E367" s="10"/>
    </row>
    <row r="368" spans="3:5" ht="13.2">
      <c r="C368" s="10"/>
      <c r="D368" s="10"/>
      <c r="E368" s="10"/>
    </row>
    <row r="369" spans="3:5" ht="13.2">
      <c r="C369" s="10"/>
      <c r="D369" s="10"/>
      <c r="E369" s="10"/>
    </row>
    <row r="370" spans="3:5" ht="13.2">
      <c r="C370" s="10"/>
      <c r="D370" s="10"/>
      <c r="E370" s="10"/>
    </row>
    <row r="371" spans="3:5" ht="13.2">
      <c r="C371" s="10"/>
      <c r="D371" s="10"/>
      <c r="E371" s="10"/>
    </row>
    <row r="372" spans="3:5" ht="13.2">
      <c r="C372" s="10"/>
      <c r="D372" s="10"/>
      <c r="E372" s="10"/>
    </row>
    <row r="373" spans="3:5" ht="13.2">
      <c r="C373" s="10"/>
      <c r="D373" s="10"/>
      <c r="E373" s="10"/>
    </row>
    <row r="374" spans="3:5" ht="13.2">
      <c r="C374" s="10"/>
      <c r="D374" s="10"/>
      <c r="E374" s="10"/>
    </row>
    <row r="375" spans="3:5" ht="13.2">
      <c r="C375" s="10"/>
      <c r="D375" s="10"/>
      <c r="E375" s="10"/>
    </row>
    <row r="376" spans="3:5" ht="13.2">
      <c r="C376" s="10"/>
      <c r="D376" s="10"/>
      <c r="E376" s="10"/>
    </row>
    <row r="377" spans="3:5" ht="13.2">
      <c r="C377" s="10"/>
      <c r="D377" s="10"/>
      <c r="E377" s="10"/>
    </row>
    <row r="378" spans="3:5" ht="13.2">
      <c r="C378" s="10"/>
      <c r="D378" s="10"/>
      <c r="E378" s="10"/>
    </row>
    <row r="379" spans="3:5" ht="13.2">
      <c r="C379" s="10"/>
      <c r="D379" s="10"/>
      <c r="E379" s="10"/>
    </row>
    <row r="380" spans="3:5" ht="13.2">
      <c r="C380" s="10"/>
      <c r="D380" s="10"/>
      <c r="E380" s="10"/>
    </row>
    <row r="381" spans="3:5" ht="13.2">
      <c r="C381" s="10"/>
      <c r="D381" s="10"/>
      <c r="E381" s="10"/>
    </row>
    <row r="382" spans="3:5" ht="13.2">
      <c r="C382" s="10"/>
      <c r="D382" s="10"/>
      <c r="E382" s="10"/>
    </row>
    <row r="383" spans="3:5" ht="13.2">
      <c r="C383" s="10"/>
      <c r="D383" s="10"/>
      <c r="E383" s="10"/>
    </row>
    <row r="384" spans="3:5" ht="13.2">
      <c r="C384" s="10"/>
      <c r="D384" s="10"/>
      <c r="E384" s="10"/>
    </row>
    <row r="385" spans="3:5" ht="13.2">
      <c r="C385" s="10"/>
      <c r="D385" s="10"/>
      <c r="E385" s="10"/>
    </row>
    <row r="386" spans="3:5" ht="13.2">
      <c r="C386" s="10"/>
      <c r="D386" s="10"/>
      <c r="E386" s="10"/>
    </row>
    <row r="387" spans="3:5" ht="13.2">
      <c r="C387" s="10"/>
      <c r="D387" s="10"/>
      <c r="E387" s="10"/>
    </row>
    <row r="388" spans="3:5" ht="13.2">
      <c r="C388" s="10"/>
      <c r="D388" s="10"/>
      <c r="E388" s="10"/>
    </row>
    <row r="389" spans="3:5" ht="13.2">
      <c r="C389" s="10"/>
      <c r="D389" s="10"/>
      <c r="E389" s="10"/>
    </row>
    <row r="390" spans="3:5" ht="13.2">
      <c r="C390" s="10"/>
      <c r="D390" s="10"/>
      <c r="E390" s="10"/>
    </row>
    <row r="391" spans="3:5" ht="13.2">
      <c r="C391" s="10"/>
      <c r="D391" s="10"/>
      <c r="E391" s="10"/>
    </row>
    <row r="392" spans="3:5" ht="13.2">
      <c r="C392" s="10"/>
      <c r="D392" s="10"/>
      <c r="E392" s="10"/>
    </row>
    <row r="393" spans="3:5" ht="13.2">
      <c r="C393" s="10"/>
      <c r="D393" s="10"/>
      <c r="E393" s="10"/>
    </row>
    <row r="394" spans="3:5" ht="13.2">
      <c r="C394" s="10"/>
      <c r="D394" s="10"/>
      <c r="E394" s="10"/>
    </row>
    <row r="395" spans="3:5" ht="13.2">
      <c r="C395" s="10"/>
      <c r="D395" s="10"/>
      <c r="E395" s="10"/>
    </row>
    <row r="396" spans="3:5" ht="13.2">
      <c r="C396" s="10"/>
      <c r="D396" s="10"/>
      <c r="E396" s="10"/>
    </row>
    <row r="397" spans="3:5" ht="13.2">
      <c r="C397" s="10"/>
      <c r="D397" s="10"/>
      <c r="E397" s="10"/>
    </row>
    <row r="398" spans="3:5" ht="13.2">
      <c r="C398" s="10"/>
      <c r="D398" s="10"/>
      <c r="E398" s="10"/>
    </row>
    <row r="399" spans="3:5" ht="13.2">
      <c r="C399" s="10"/>
      <c r="D399" s="10"/>
      <c r="E399" s="10"/>
    </row>
    <row r="400" spans="3:5" ht="13.2">
      <c r="C400" s="10"/>
      <c r="D400" s="10"/>
      <c r="E400" s="10"/>
    </row>
    <row r="401" spans="3:5" ht="13.2">
      <c r="C401" s="10"/>
      <c r="D401" s="10"/>
      <c r="E401" s="10"/>
    </row>
    <row r="402" spans="3:5" ht="13.2">
      <c r="C402" s="10"/>
      <c r="D402" s="10"/>
      <c r="E402" s="10"/>
    </row>
    <row r="403" spans="3:5" ht="13.2">
      <c r="C403" s="10"/>
      <c r="D403" s="10"/>
      <c r="E403" s="10"/>
    </row>
    <row r="404" spans="3:5" ht="13.2">
      <c r="C404" s="10"/>
      <c r="D404" s="10"/>
      <c r="E404" s="10"/>
    </row>
    <row r="405" spans="3:5" ht="13.2">
      <c r="C405" s="10"/>
      <c r="D405" s="10"/>
      <c r="E405" s="10"/>
    </row>
    <row r="406" spans="3:5" ht="13.2">
      <c r="C406" s="10"/>
      <c r="D406" s="10"/>
      <c r="E406" s="10"/>
    </row>
    <row r="407" spans="3:5" ht="13.2">
      <c r="C407" s="10"/>
      <c r="D407" s="10"/>
      <c r="E407" s="10"/>
    </row>
    <row r="408" spans="3:5" ht="13.2">
      <c r="C408" s="10"/>
      <c r="D408" s="10"/>
      <c r="E408" s="10"/>
    </row>
    <row r="409" spans="3:5" ht="13.2">
      <c r="C409" s="10"/>
      <c r="D409" s="10"/>
      <c r="E409" s="10"/>
    </row>
    <row r="410" spans="3:5" ht="13.2">
      <c r="C410" s="10"/>
      <c r="D410" s="10"/>
      <c r="E410" s="10"/>
    </row>
    <row r="411" spans="3:5" ht="13.2">
      <c r="C411" s="10"/>
      <c r="D411" s="10"/>
      <c r="E411" s="10"/>
    </row>
    <row r="412" spans="3:5" ht="13.2">
      <c r="C412" s="10"/>
      <c r="D412" s="10"/>
      <c r="E412" s="10"/>
    </row>
    <row r="413" spans="3:5" ht="13.2">
      <c r="C413" s="10"/>
      <c r="D413" s="10"/>
      <c r="E413" s="10"/>
    </row>
    <row r="414" spans="3:5" ht="13.2">
      <c r="C414" s="10"/>
      <c r="D414" s="10"/>
      <c r="E414" s="10"/>
    </row>
    <row r="415" spans="3:5" ht="13.2">
      <c r="C415" s="10"/>
      <c r="D415" s="10"/>
      <c r="E415" s="10"/>
    </row>
    <row r="416" spans="3:5" ht="13.2">
      <c r="C416" s="10"/>
      <c r="D416" s="10"/>
      <c r="E416" s="10"/>
    </row>
    <row r="417" spans="3:5" ht="13.2">
      <c r="C417" s="10"/>
      <c r="D417" s="10"/>
      <c r="E417" s="10"/>
    </row>
    <row r="418" spans="3:5" ht="13.2">
      <c r="C418" s="10"/>
      <c r="D418" s="10"/>
      <c r="E418" s="10"/>
    </row>
    <row r="419" spans="3:5" ht="13.2">
      <c r="C419" s="10"/>
      <c r="D419" s="10"/>
      <c r="E419" s="10"/>
    </row>
    <row r="420" spans="3:5" ht="13.2">
      <c r="C420" s="10"/>
      <c r="D420" s="10"/>
      <c r="E420" s="10"/>
    </row>
    <row r="421" spans="3:5" ht="13.2">
      <c r="C421" s="10"/>
      <c r="D421" s="10"/>
      <c r="E421" s="10"/>
    </row>
    <row r="422" spans="3:5" ht="13.2">
      <c r="C422" s="10"/>
      <c r="D422" s="10"/>
      <c r="E422" s="10"/>
    </row>
    <row r="423" spans="3:5" ht="13.2">
      <c r="C423" s="10"/>
      <c r="D423" s="10"/>
      <c r="E423" s="10"/>
    </row>
    <row r="424" spans="3:5" ht="13.2">
      <c r="C424" s="10"/>
      <c r="D424" s="10"/>
      <c r="E424" s="10"/>
    </row>
    <row r="425" spans="3:5" ht="13.2">
      <c r="C425" s="10"/>
      <c r="D425" s="10"/>
      <c r="E425" s="10"/>
    </row>
    <row r="426" spans="3:5" ht="13.2">
      <c r="C426" s="10"/>
      <c r="D426" s="10"/>
      <c r="E426" s="10"/>
    </row>
    <row r="427" spans="3:5" ht="13.2">
      <c r="C427" s="10"/>
      <c r="D427" s="10"/>
      <c r="E427" s="10"/>
    </row>
    <row r="428" spans="3:5" ht="13.2">
      <c r="C428" s="10"/>
      <c r="D428" s="10"/>
      <c r="E428" s="10"/>
    </row>
    <row r="429" spans="3:5" ht="13.2">
      <c r="C429" s="10"/>
      <c r="D429" s="10"/>
      <c r="E429" s="10"/>
    </row>
    <row r="430" spans="3:5" ht="13.2">
      <c r="C430" s="10"/>
      <c r="D430" s="10"/>
      <c r="E430" s="10"/>
    </row>
    <row r="431" spans="3:5" ht="13.2">
      <c r="C431" s="10"/>
      <c r="D431" s="10"/>
      <c r="E431" s="10"/>
    </row>
    <row r="432" spans="3:5" ht="13.2">
      <c r="C432" s="10"/>
      <c r="D432" s="10"/>
      <c r="E432" s="10"/>
    </row>
    <row r="433" spans="3:5" ht="13.2">
      <c r="C433" s="10"/>
      <c r="D433" s="10"/>
      <c r="E433" s="10"/>
    </row>
    <row r="434" spans="3:5" ht="13.2">
      <c r="C434" s="10"/>
      <c r="D434" s="10"/>
      <c r="E434" s="10"/>
    </row>
    <row r="435" spans="3:5" ht="13.2">
      <c r="C435" s="10"/>
      <c r="D435" s="10"/>
      <c r="E435" s="10"/>
    </row>
    <row r="436" spans="3:5" ht="13.2">
      <c r="C436" s="10"/>
      <c r="D436" s="10"/>
      <c r="E436" s="10"/>
    </row>
    <row r="437" spans="3:5" ht="13.2">
      <c r="C437" s="10"/>
      <c r="D437" s="10"/>
      <c r="E437" s="10"/>
    </row>
    <row r="438" spans="3:5" ht="13.2">
      <c r="C438" s="10"/>
      <c r="D438" s="10"/>
      <c r="E438" s="10"/>
    </row>
    <row r="439" spans="3:5" ht="13.2">
      <c r="C439" s="10"/>
      <c r="D439" s="10"/>
      <c r="E439" s="10"/>
    </row>
    <row r="440" spans="3:5" ht="13.2">
      <c r="C440" s="10"/>
      <c r="D440" s="10"/>
      <c r="E440" s="10"/>
    </row>
    <row r="441" spans="3:5" ht="13.2">
      <c r="C441" s="10"/>
      <c r="D441" s="10"/>
      <c r="E441" s="10"/>
    </row>
    <row r="442" spans="3:5" ht="13.2">
      <c r="C442" s="10"/>
      <c r="D442" s="10"/>
      <c r="E442" s="10"/>
    </row>
    <row r="443" spans="3:5" ht="13.2">
      <c r="C443" s="10"/>
      <c r="D443" s="10"/>
      <c r="E443" s="10"/>
    </row>
    <row r="444" spans="3:5" ht="13.2">
      <c r="C444" s="10"/>
      <c r="D444" s="10"/>
      <c r="E444" s="10"/>
    </row>
    <row r="445" spans="3:5" ht="13.2">
      <c r="C445" s="10"/>
      <c r="D445" s="10"/>
      <c r="E445" s="10"/>
    </row>
    <row r="446" spans="3:5" ht="13.2">
      <c r="C446" s="10"/>
      <c r="D446" s="10"/>
      <c r="E446" s="10"/>
    </row>
    <row r="447" spans="3:5" ht="13.2">
      <c r="C447" s="10"/>
      <c r="D447" s="10"/>
      <c r="E447" s="10"/>
    </row>
    <row r="448" spans="3:5" ht="13.2">
      <c r="C448" s="10"/>
      <c r="D448" s="10"/>
      <c r="E448" s="10"/>
    </row>
    <row r="449" spans="3:5" ht="13.2">
      <c r="C449" s="10"/>
      <c r="D449" s="10"/>
      <c r="E449" s="10"/>
    </row>
    <row r="450" spans="3:5" ht="13.2">
      <c r="C450" s="10"/>
      <c r="D450" s="10"/>
      <c r="E450" s="10"/>
    </row>
    <row r="451" spans="3:5" ht="13.2">
      <c r="C451" s="10"/>
      <c r="D451" s="10"/>
      <c r="E451" s="10"/>
    </row>
    <row r="452" spans="3:5" ht="13.2">
      <c r="C452" s="10"/>
      <c r="D452" s="10"/>
      <c r="E452" s="10"/>
    </row>
    <row r="453" spans="3:5" ht="13.2">
      <c r="C453" s="10"/>
      <c r="D453" s="10"/>
      <c r="E453" s="10"/>
    </row>
    <row r="454" spans="3:5" ht="13.2">
      <c r="C454" s="10"/>
      <c r="D454" s="10"/>
      <c r="E454" s="10"/>
    </row>
    <row r="455" spans="3:5" ht="13.2">
      <c r="C455" s="10"/>
      <c r="D455" s="10"/>
      <c r="E455" s="10"/>
    </row>
    <row r="456" spans="3:5" ht="13.2">
      <c r="C456" s="10"/>
      <c r="D456" s="10"/>
      <c r="E456" s="10"/>
    </row>
    <row r="457" spans="3:5" ht="13.2">
      <c r="C457" s="10"/>
      <c r="D457" s="10"/>
      <c r="E457" s="10"/>
    </row>
    <row r="458" spans="3:5" ht="13.2">
      <c r="C458" s="10"/>
      <c r="D458" s="10"/>
      <c r="E458" s="10"/>
    </row>
    <row r="459" spans="3:5" ht="13.2">
      <c r="C459" s="10"/>
      <c r="D459" s="10"/>
      <c r="E459" s="10"/>
    </row>
    <row r="460" spans="3:5" ht="13.2">
      <c r="C460" s="10"/>
      <c r="D460" s="10"/>
      <c r="E460" s="10"/>
    </row>
    <row r="461" spans="3:5" ht="13.2">
      <c r="C461" s="10"/>
      <c r="D461" s="10"/>
      <c r="E461" s="10"/>
    </row>
    <row r="462" spans="3:5" ht="13.2">
      <c r="C462" s="10"/>
      <c r="D462" s="10"/>
      <c r="E462" s="10"/>
    </row>
    <row r="463" spans="3:5" ht="13.2">
      <c r="C463" s="10"/>
      <c r="D463" s="10"/>
      <c r="E463" s="10"/>
    </row>
    <row r="464" spans="3:5" ht="13.2">
      <c r="C464" s="10"/>
      <c r="D464" s="10"/>
      <c r="E464" s="10"/>
    </row>
    <row r="465" spans="3:5" ht="13.2">
      <c r="C465" s="10"/>
      <c r="D465" s="10"/>
      <c r="E465" s="10"/>
    </row>
    <row r="466" spans="3:5" ht="13.2">
      <c r="C466" s="10"/>
      <c r="D466" s="10"/>
      <c r="E466" s="10"/>
    </row>
    <row r="467" spans="3:5" ht="13.2">
      <c r="C467" s="10"/>
      <c r="D467" s="10"/>
      <c r="E467" s="10"/>
    </row>
    <row r="468" spans="3:5" ht="13.2">
      <c r="C468" s="10"/>
      <c r="D468" s="10"/>
      <c r="E468" s="10"/>
    </row>
    <row r="469" spans="3:5" ht="13.2">
      <c r="C469" s="10"/>
      <c r="D469" s="10"/>
      <c r="E469" s="10"/>
    </row>
    <row r="470" spans="3:5" ht="13.2">
      <c r="C470" s="10"/>
      <c r="D470" s="10"/>
      <c r="E470" s="10"/>
    </row>
    <row r="471" spans="3:5" ht="13.2">
      <c r="C471" s="10"/>
      <c r="D471" s="10"/>
      <c r="E471" s="10"/>
    </row>
    <row r="472" spans="3:5" ht="13.2">
      <c r="C472" s="10"/>
      <c r="D472" s="10"/>
      <c r="E472" s="10"/>
    </row>
    <row r="473" spans="3:5" ht="13.2">
      <c r="C473" s="10"/>
      <c r="D473" s="10"/>
      <c r="E473" s="10"/>
    </row>
    <row r="474" spans="3:5" ht="13.2">
      <c r="C474" s="10"/>
      <c r="D474" s="10"/>
      <c r="E474" s="10"/>
    </row>
    <row r="475" spans="3:5" ht="13.2">
      <c r="C475" s="10"/>
      <c r="D475" s="10"/>
      <c r="E475" s="10"/>
    </row>
    <row r="476" spans="3:5" ht="13.2">
      <c r="C476" s="10"/>
      <c r="D476" s="10"/>
      <c r="E476" s="10"/>
    </row>
    <row r="477" spans="3:5" ht="13.2">
      <c r="C477" s="10"/>
      <c r="D477" s="10"/>
      <c r="E477" s="10"/>
    </row>
    <row r="478" spans="3:5" ht="13.2">
      <c r="C478" s="10"/>
      <c r="D478" s="10"/>
      <c r="E478" s="10"/>
    </row>
    <row r="479" spans="3:5" ht="13.2">
      <c r="C479" s="10"/>
      <c r="D479" s="10"/>
      <c r="E479" s="10"/>
    </row>
    <row r="480" spans="3:5" ht="13.2">
      <c r="C480" s="10"/>
      <c r="D480" s="10"/>
      <c r="E480" s="10"/>
    </row>
    <row r="481" spans="3:5" ht="13.2">
      <c r="C481" s="10"/>
      <c r="D481" s="10"/>
      <c r="E481" s="10"/>
    </row>
    <row r="482" spans="3:5" ht="13.2">
      <c r="C482" s="10"/>
      <c r="D482" s="10"/>
      <c r="E482" s="10"/>
    </row>
    <row r="483" spans="3:5" ht="13.2">
      <c r="C483" s="10"/>
      <c r="D483" s="10"/>
      <c r="E483" s="10"/>
    </row>
    <row r="484" spans="3:5" ht="13.2">
      <c r="C484" s="10"/>
      <c r="D484" s="10"/>
      <c r="E484" s="10"/>
    </row>
    <row r="485" spans="3:5" ht="13.2">
      <c r="C485" s="10"/>
      <c r="D485" s="10"/>
      <c r="E485" s="10"/>
    </row>
    <row r="486" spans="3:5" ht="13.2">
      <c r="C486" s="10"/>
      <c r="D486" s="10"/>
      <c r="E486" s="10"/>
    </row>
    <row r="487" spans="3:5" ht="13.2">
      <c r="C487" s="10"/>
      <c r="D487" s="10"/>
      <c r="E487" s="10"/>
    </row>
    <row r="488" spans="3:5" ht="13.2">
      <c r="C488" s="10"/>
      <c r="D488" s="10"/>
      <c r="E488" s="10"/>
    </row>
    <row r="489" spans="3:5" ht="13.2">
      <c r="C489" s="10"/>
      <c r="D489" s="10"/>
      <c r="E489" s="10"/>
    </row>
    <row r="490" spans="3:5" ht="13.2">
      <c r="C490" s="10"/>
      <c r="D490" s="10"/>
      <c r="E490" s="10"/>
    </row>
    <row r="491" spans="3:5" ht="13.2">
      <c r="C491" s="10"/>
      <c r="D491" s="10"/>
      <c r="E491" s="10"/>
    </row>
    <row r="492" spans="3:5" ht="13.2">
      <c r="C492" s="10"/>
      <c r="D492" s="10"/>
      <c r="E492" s="10"/>
    </row>
    <row r="493" spans="3:5" ht="13.2">
      <c r="C493" s="10"/>
      <c r="D493" s="10"/>
      <c r="E493" s="10"/>
    </row>
    <row r="494" spans="3:5" ht="13.2">
      <c r="C494" s="10"/>
      <c r="D494" s="10"/>
      <c r="E494" s="10"/>
    </row>
    <row r="495" spans="3:5" ht="13.2">
      <c r="C495" s="10"/>
      <c r="D495" s="10"/>
      <c r="E495" s="10"/>
    </row>
    <row r="496" spans="3:5" ht="13.2">
      <c r="C496" s="10"/>
      <c r="D496" s="10"/>
      <c r="E496" s="10"/>
    </row>
    <row r="497" spans="3:5" ht="13.2">
      <c r="C497" s="10"/>
      <c r="D497" s="10"/>
      <c r="E497" s="10"/>
    </row>
    <row r="498" spans="3:5" ht="13.2">
      <c r="C498" s="10"/>
      <c r="D498" s="10"/>
      <c r="E498" s="10"/>
    </row>
    <row r="499" spans="3:5" ht="13.2">
      <c r="C499" s="10"/>
      <c r="D499" s="10"/>
      <c r="E499" s="10"/>
    </row>
    <row r="500" spans="3:5" ht="13.2">
      <c r="C500" s="10"/>
      <c r="D500" s="10"/>
      <c r="E500" s="10"/>
    </row>
    <row r="501" spans="3:5" ht="13.2">
      <c r="C501" s="10"/>
      <c r="D501" s="10"/>
      <c r="E501" s="10"/>
    </row>
    <row r="502" spans="3:5" ht="13.2">
      <c r="C502" s="10"/>
      <c r="D502" s="10"/>
      <c r="E502" s="10"/>
    </row>
    <row r="503" spans="3:5" ht="13.2">
      <c r="C503" s="10"/>
      <c r="D503" s="10"/>
      <c r="E503" s="10"/>
    </row>
    <row r="504" spans="3:5" ht="13.2">
      <c r="C504" s="10"/>
      <c r="D504" s="10"/>
      <c r="E504" s="10"/>
    </row>
    <row r="505" spans="3:5" ht="13.2">
      <c r="C505" s="10"/>
      <c r="D505" s="10"/>
      <c r="E505" s="10"/>
    </row>
    <row r="506" spans="3:5" ht="13.2">
      <c r="C506" s="10"/>
      <c r="D506" s="10"/>
      <c r="E506" s="10"/>
    </row>
    <row r="507" spans="3:5" ht="13.2">
      <c r="C507" s="10"/>
      <c r="D507" s="10"/>
      <c r="E507" s="10"/>
    </row>
    <row r="508" spans="3:5" ht="13.2">
      <c r="C508" s="10"/>
      <c r="D508" s="10"/>
      <c r="E508" s="10"/>
    </row>
    <row r="509" spans="3:5" ht="13.2">
      <c r="C509" s="10"/>
      <c r="D509" s="10"/>
      <c r="E509" s="10"/>
    </row>
    <row r="510" spans="3:5" ht="13.2">
      <c r="C510" s="10"/>
      <c r="D510" s="10"/>
      <c r="E510" s="10"/>
    </row>
    <row r="511" spans="3:5" ht="13.2">
      <c r="C511" s="10"/>
      <c r="D511" s="10"/>
      <c r="E511" s="10"/>
    </row>
    <row r="512" spans="3:5" ht="13.2">
      <c r="C512" s="10"/>
      <c r="D512" s="10"/>
      <c r="E512" s="10"/>
    </row>
    <row r="513" spans="3:5" ht="13.2">
      <c r="C513" s="10"/>
      <c r="D513" s="10"/>
      <c r="E513" s="10"/>
    </row>
    <row r="514" spans="3:5" ht="13.2">
      <c r="C514" s="10"/>
      <c r="D514" s="10"/>
      <c r="E514" s="10"/>
    </row>
    <row r="515" spans="3:5" ht="13.2">
      <c r="C515" s="10"/>
      <c r="D515" s="10"/>
      <c r="E515" s="10"/>
    </row>
    <row r="516" spans="3:5" ht="13.2">
      <c r="C516" s="10"/>
      <c r="D516" s="10"/>
      <c r="E516" s="10"/>
    </row>
    <row r="517" spans="3:5" ht="13.2">
      <c r="C517" s="10"/>
      <c r="D517" s="10"/>
      <c r="E517" s="10"/>
    </row>
    <row r="518" spans="3:5" ht="13.2">
      <c r="C518" s="10"/>
      <c r="D518" s="10"/>
      <c r="E518" s="10"/>
    </row>
    <row r="519" spans="3:5" ht="13.2">
      <c r="C519" s="10"/>
      <c r="D519" s="10"/>
      <c r="E519" s="10"/>
    </row>
    <row r="520" spans="3:5" ht="13.2">
      <c r="C520" s="10"/>
      <c r="D520" s="10"/>
      <c r="E520" s="10"/>
    </row>
    <row r="521" spans="3:5" ht="13.2">
      <c r="C521" s="10"/>
      <c r="D521" s="10"/>
      <c r="E521" s="10"/>
    </row>
    <row r="522" spans="3:5" ht="13.2">
      <c r="C522" s="10"/>
      <c r="D522" s="10"/>
      <c r="E522" s="10"/>
    </row>
    <row r="523" spans="3:5" ht="13.2">
      <c r="C523" s="10"/>
      <c r="D523" s="10"/>
      <c r="E523" s="10"/>
    </row>
    <row r="524" spans="3:5" ht="13.2">
      <c r="C524" s="10"/>
      <c r="D524" s="10"/>
      <c r="E524" s="10"/>
    </row>
    <row r="525" spans="3:5" ht="13.2">
      <c r="C525" s="10"/>
      <c r="D525" s="10"/>
      <c r="E525" s="10"/>
    </row>
    <row r="526" spans="3:5" ht="13.2">
      <c r="C526" s="10"/>
      <c r="D526" s="10"/>
      <c r="E526" s="10"/>
    </row>
    <row r="527" spans="3:5" ht="13.2">
      <c r="C527" s="10"/>
      <c r="D527" s="10"/>
      <c r="E527" s="10"/>
    </row>
    <row r="528" spans="3:5" ht="13.2">
      <c r="C528" s="10"/>
      <c r="D528" s="10"/>
      <c r="E528" s="10"/>
    </row>
    <row r="529" spans="3:5" ht="13.2">
      <c r="C529" s="10"/>
      <c r="D529" s="10"/>
      <c r="E529" s="10"/>
    </row>
    <row r="530" spans="3:5" ht="13.2">
      <c r="C530" s="10"/>
      <c r="D530" s="10"/>
      <c r="E530" s="10"/>
    </row>
    <row r="531" spans="3:5" ht="13.2">
      <c r="C531" s="10"/>
      <c r="D531" s="10"/>
      <c r="E531" s="10"/>
    </row>
    <row r="532" spans="3:5" ht="13.2">
      <c r="C532" s="10"/>
      <c r="D532" s="10"/>
      <c r="E532" s="10"/>
    </row>
    <row r="533" spans="3:5" ht="13.2">
      <c r="C533" s="10"/>
      <c r="D533" s="10"/>
      <c r="E533" s="10"/>
    </row>
    <row r="534" spans="3:5" ht="13.2">
      <c r="C534" s="10"/>
      <c r="D534" s="10"/>
      <c r="E534" s="10"/>
    </row>
    <row r="535" spans="3:5" ht="13.2">
      <c r="C535" s="10"/>
      <c r="D535" s="10"/>
      <c r="E535" s="10"/>
    </row>
    <row r="536" spans="3:5" ht="13.2">
      <c r="C536" s="10"/>
      <c r="D536" s="10"/>
      <c r="E536" s="10"/>
    </row>
    <row r="537" spans="3:5" ht="13.2">
      <c r="C537" s="10"/>
      <c r="D537" s="10"/>
      <c r="E537" s="10"/>
    </row>
    <row r="538" spans="3:5" ht="13.2">
      <c r="C538" s="10"/>
      <c r="D538" s="10"/>
      <c r="E538" s="10"/>
    </row>
    <row r="539" spans="3:5" ht="13.2">
      <c r="C539" s="10"/>
      <c r="D539" s="10"/>
      <c r="E539" s="10"/>
    </row>
    <row r="540" spans="3:5" ht="13.2">
      <c r="C540" s="10"/>
      <c r="D540" s="10"/>
      <c r="E540" s="10"/>
    </row>
    <row r="541" spans="3:5" ht="13.2">
      <c r="C541" s="10"/>
      <c r="D541" s="10"/>
      <c r="E541" s="10"/>
    </row>
    <row r="542" spans="3:5" ht="13.2">
      <c r="C542" s="10"/>
      <c r="D542" s="10"/>
      <c r="E542" s="10"/>
    </row>
    <row r="543" spans="3:5" ht="13.2">
      <c r="C543" s="10"/>
      <c r="D543" s="10"/>
      <c r="E543" s="10"/>
    </row>
    <row r="544" spans="3:5" ht="13.2">
      <c r="C544" s="10"/>
      <c r="D544" s="10"/>
      <c r="E544" s="10"/>
    </row>
    <row r="545" spans="3:5" ht="13.2">
      <c r="C545" s="10"/>
      <c r="D545" s="10"/>
      <c r="E545" s="10"/>
    </row>
    <row r="546" spans="3:5" ht="13.2">
      <c r="C546" s="10"/>
      <c r="D546" s="10"/>
      <c r="E546" s="10"/>
    </row>
    <row r="547" spans="3:5" ht="13.2">
      <c r="C547" s="10"/>
      <c r="D547" s="10"/>
      <c r="E547" s="10"/>
    </row>
    <row r="548" spans="3:5" ht="13.2">
      <c r="C548" s="10"/>
      <c r="D548" s="10"/>
      <c r="E548" s="10"/>
    </row>
    <row r="549" spans="3:5" ht="13.2">
      <c r="C549" s="10"/>
      <c r="D549" s="10"/>
      <c r="E549" s="10"/>
    </row>
    <row r="550" spans="3:5" ht="13.2">
      <c r="C550" s="10"/>
      <c r="D550" s="10"/>
      <c r="E550" s="10"/>
    </row>
    <row r="551" spans="3:5" ht="13.2">
      <c r="C551" s="10"/>
      <c r="D551" s="10"/>
      <c r="E551" s="10"/>
    </row>
    <row r="552" spans="3:5" ht="13.2">
      <c r="C552" s="10"/>
      <c r="D552" s="10"/>
      <c r="E552" s="10"/>
    </row>
    <row r="553" spans="3:5" ht="13.2">
      <c r="C553" s="10"/>
      <c r="D553" s="10"/>
      <c r="E553" s="10"/>
    </row>
    <row r="554" spans="3:5" ht="13.2">
      <c r="C554" s="10"/>
      <c r="D554" s="10"/>
      <c r="E554" s="10"/>
    </row>
    <row r="555" spans="3:5" ht="13.2">
      <c r="C555" s="10"/>
      <c r="D555" s="10"/>
      <c r="E555" s="10"/>
    </row>
    <row r="556" spans="3:5" ht="13.2">
      <c r="C556" s="10"/>
      <c r="D556" s="10"/>
      <c r="E556" s="10"/>
    </row>
    <row r="557" spans="3:5" ht="13.2">
      <c r="C557" s="10"/>
      <c r="D557" s="10"/>
      <c r="E557" s="10"/>
    </row>
    <row r="558" spans="3:5" ht="13.2">
      <c r="C558" s="10"/>
      <c r="D558" s="10"/>
      <c r="E558" s="10"/>
    </row>
    <row r="559" spans="3:5" ht="13.2">
      <c r="C559" s="10"/>
      <c r="D559" s="10"/>
      <c r="E559" s="10"/>
    </row>
    <row r="560" spans="3:5" ht="13.2">
      <c r="C560" s="10"/>
      <c r="D560" s="10"/>
      <c r="E560" s="10"/>
    </row>
    <row r="561" spans="3:5" ht="13.2">
      <c r="C561" s="10"/>
      <c r="D561" s="10"/>
      <c r="E561" s="10"/>
    </row>
    <row r="562" spans="3:5" ht="13.2">
      <c r="C562" s="10"/>
      <c r="D562" s="10"/>
      <c r="E562" s="10"/>
    </row>
    <row r="563" spans="3:5" ht="13.2">
      <c r="C563" s="10"/>
      <c r="D563" s="10"/>
      <c r="E563" s="10"/>
    </row>
    <row r="564" spans="3:5" ht="13.2">
      <c r="C564" s="10"/>
      <c r="D564" s="10"/>
      <c r="E564" s="10"/>
    </row>
    <row r="565" spans="3:5" ht="13.2">
      <c r="C565" s="10"/>
      <c r="D565" s="10"/>
      <c r="E565" s="10"/>
    </row>
    <row r="566" spans="3:5" ht="13.2">
      <c r="C566" s="10"/>
      <c r="D566" s="10"/>
      <c r="E566" s="10"/>
    </row>
    <row r="567" spans="3:5" ht="13.2">
      <c r="C567" s="10"/>
      <c r="D567" s="10"/>
      <c r="E567" s="10"/>
    </row>
    <row r="568" spans="3:5" ht="13.2">
      <c r="C568" s="10"/>
      <c r="D568" s="10"/>
      <c r="E568" s="10"/>
    </row>
    <row r="569" spans="3:5" ht="13.2">
      <c r="C569" s="10"/>
      <c r="D569" s="10"/>
      <c r="E569" s="10"/>
    </row>
    <row r="570" spans="3:5" ht="13.2">
      <c r="C570" s="10"/>
      <c r="D570" s="10"/>
      <c r="E570" s="10"/>
    </row>
    <row r="571" spans="3:5" ht="13.2">
      <c r="C571" s="10"/>
      <c r="D571" s="10"/>
      <c r="E571" s="10"/>
    </row>
    <row r="572" spans="3:5" ht="13.2">
      <c r="C572" s="10"/>
      <c r="D572" s="10"/>
      <c r="E572" s="10"/>
    </row>
    <row r="573" spans="3:5" ht="13.2">
      <c r="C573" s="10"/>
      <c r="D573" s="10"/>
      <c r="E573" s="10"/>
    </row>
    <row r="574" spans="3:5" ht="13.2">
      <c r="C574" s="10"/>
      <c r="D574" s="10"/>
      <c r="E574" s="10"/>
    </row>
    <row r="575" spans="3:5" ht="13.2">
      <c r="C575" s="10"/>
      <c r="D575" s="10"/>
      <c r="E575" s="10"/>
    </row>
    <row r="576" spans="3:5" ht="13.2">
      <c r="C576" s="10"/>
      <c r="D576" s="10"/>
      <c r="E576" s="10"/>
    </row>
    <row r="577" spans="3:5" ht="13.2">
      <c r="C577" s="10"/>
      <c r="D577" s="10"/>
      <c r="E577" s="10"/>
    </row>
    <row r="578" spans="3:5" ht="13.2">
      <c r="C578" s="10"/>
      <c r="D578" s="10"/>
      <c r="E578" s="10"/>
    </row>
    <row r="579" spans="3:5" ht="13.2">
      <c r="C579" s="10"/>
      <c r="D579" s="10"/>
      <c r="E579" s="10"/>
    </row>
    <row r="580" spans="3:5" ht="13.2">
      <c r="C580" s="10"/>
      <c r="D580" s="10"/>
      <c r="E580" s="10"/>
    </row>
    <row r="581" spans="3:5" ht="13.2">
      <c r="C581" s="10"/>
      <c r="D581" s="10"/>
      <c r="E581" s="10"/>
    </row>
    <row r="582" spans="3:5" ht="13.2">
      <c r="C582" s="10"/>
      <c r="D582" s="10"/>
      <c r="E582" s="10"/>
    </row>
    <row r="583" spans="3:5" ht="13.2">
      <c r="C583" s="10"/>
      <c r="D583" s="10"/>
      <c r="E583" s="10"/>
    </row>
    <row r="584" spans="3:5" ht="13.2">
      <c r="C584" s="10"/>
      <c r="D584" s="10"/>
      <c r="E584" s="10"/>
    </row>
    <row r="585" spans="3:5" ht="13.2">
      <c r="C585" s="10"/>
      <c r="D585" s="10"/>
      <c r="E585" s="10"/>
    </row>
    <row r="586" spans="3:5" ht="13.2">
      <c r="C586" s="10"/>
      <c r="D586" s="10"/>
      <c r="E586" s="10"/>
    </row>
    <row r="587" spans="3:5" ht="13.2">
      <c r="C587" s="10"/>
      <c r="D587" s="10"/>
      <c r="E587" s="10"/>
    </row>
    <row r="588" spans="3:5" ht="13.2">
      <c r="C588" s="10"/>
      <c r="D588" s="10"/>
      <c r="E588" s="10"/>
    </row>
    <row r="589" spans="3:5" ht="13.2">
      <c r="C589" s="10"/>
      <c r="D589" s="10"/>
      <c r="E589" s="10"/>
    </row>
    <row r="590" spans="3:5" ht="13.2">
      <c r="C590" s="10"/>
      <c r="D590" s="10"/>
      <c r="E590" s="10"/>
    </row>
    <row r="591" spans="3:5" ht="13.2">
      <c r="C591" s="10"/>
      <c r="D591" s="10"/>
      <c r="E591" s="10"/>
    </row>
    <row r="592" spans="3:5" ht="13.2">
      <c r="C592" s="10"/>
      <c r="D592" s="10"/>
      <c r="E592" s="10"/>
    </row>
    <row r="593" spans="3:5" ht="13.2">
      <c r="C593" s="10"/>
      <c r="D593" s="10"/>
      <c r="E593" s="10"/>
    </row>
    <row r="594" spans="3:5" ht="13.2">
      <c r="C594" s="10"/>
      <c r="D594" s="10"/>
      <c r="E594" s="10"/>
    </row>
    <row r="595" spans="3:5" ht="13.2">
      <c r="C595" s="10"/>
      <c r="D595" s="10"/>
      <c r="E595" s="10"/>
    </row>
    <row r="596" spans="3:5" ht="13.2">
      <c r="C596" s="10"/>
      <c r="D596" s="10"/>
      <c r="E596" s="10"/>
    </row>
    <row r="597" spans="3:5" ht="13.2">
      <c r="C597" s="10"/>
      <c r="D597" s="10"/>
      <c r="E597" s="10"/>
    </row>
    <row r="598" spans="3:5" ht="13.2">
      <c r="C598" s="10"/>
      <c r="D598" s="10"/>
      <c r="E598" s="10"/>
    </row>
    <row r="599" spans="3:5" ht="13.2">
      <c r="C599" s="10"/>
      <c r="D599" s="10"/>
      <c r="E599" s="10"/>
    </row>
    <row r="600" spans="3:5" ht="13.2">
      <c r="C600" s="10"/>
      <c r="D600" s="10"/>
      <c r="E600" s="10"/>
    </row>
    <row r="601" spans="3:5" ht="13.2">
      <c r="C601" s="10"/>
      <c r="D601" s="10"/>
      <c r="E601" s="10"/>
    </row>
    <row r="602" spans="3:5" ht="13.2">
      <c r="C602" s="10"/>
      <c r="D602" s="10"/>
      <c r="E602" s="10"/>
    </row>
    <row r="603" spans="3:5" ht="13.2">
      <c r="C603" s="10"/>
      <c r="D603" s="10"/>
      <c r="E603" s="10"/>
    </row>
    <row r="604" spans="3:5" ht="13.2">
      <c r="C604" s="10"/>
      <c r="D604" s="10"/>
      <c r="E604" s="10"/>
    </row>
    <row r="605" spans="3:5" ht="13.2">
      <c r="C605" s="10"/>
      <c r="D605" s="10"/>
      <c r="E605" s="10"/>
    </row>
    <row r="606" spans="3:5" ht="13.2">
      <c r="C606" s="10"/>
      <c r="D606" s="10"/>
      <c r="E606" s="10"/>
    </row>
    <row r="607" spans="3:5" ht="13.2">
      <c r="C607" s="10"/>
      <c r="D607" s="10"/>
      <c r="E607" s="10"/>
    </row>
    <row r="608" spans="3:5" ht="13.2">
      <c r="C608" s="10"/>
      <c r="D608" s="10"/>
      <c r="E608" s="10"/>
    </row>
    <row r="609" spans="3:5" ht="13.2">
      <c r="C609" s="10"/>
      <c r="D609" s="10"/>
      <c r="E609" s="10"/>
    </row>
    <row r="610" spans="3:5" ht="13.2">
      <c r="C610" s="10"/>
      <c r="D610" s="10"/>
      <c r="E610" s="10"/>
    </row>
    <row r="611" spans="3:5" ht="13.2">
      <c r="C611" s="10"/>
      <c r="D611" s="10"/>
      <c r="E611" s="10"/>
    </row>
    <row r="612" spans="3:5" ht="13.2">
      <c r="C612" s="10"/>
      <c r="D612" s="10"/>
      <c r="E612" s="10"/>
    </row>
    <row r="613" spans="3:5" ht="13.2">
      <c r="C613" s="10"/>
      <c r="D613" s="10"/>
      <c r="E613" s="10"/>
    </row>
    <row r="614" spans="3:5" ht="13.2">
      <c r="C614" s="10"/>
      <c r="D614" s="10"/>
      <c r="E614" s="10"/>
    </row>
    <row r="615" spans="3:5" ht="13.2">
      <c r="C615" s="10"/>
      <c r="D615" s="10"/>
      <c r="E615" s="10"/>
    </row>
    <row r="616" spans="3:5" ht="13.2">
      <c r="C616" s="10"/>
      <c r="D616" s="10"/>
      <c r="E616" s="10"/>
    </row>
    <row r="617" spans="3:5" ht="13.2">
      <c r="C617" s="10"/>
      <c r="D617" s="10"/>
      <c r="E617" s="10"/>
    </row>
    <row r="618" spans="3:5" ht="13.2">
      <c r="C618" s="10"/>
      <c r="D618" s="10"/>
      <c r="E618" s="10"/>
    </row>
    <row r="619" spans="3:5" ht="13.2">
      <c r="C619" s="10"/>
      <c r="D619" s="10"/>
      <c r="E619" s="10"/>
    </row>
    <row r="620" spans="3:5" ht="13.2">
      <c r="C620" s="10"/>
      <c r="D620" s="10"/>
      <c r="E620" s="10"/>
    </row>
    <row r="621" spans="3:5" ht="13.2">
      <c r="C621" s="10"/>
      <c r="D621" s="10"/>
      <c r="E621" s="10"/>
    </row>
    <row r="622" spans="3:5" ht="13.2">
      <c r="C622" s="10"/>
      <c r="D622" s="10"/>
      <c r="E622" s="10"/>
    </row>
    <row r="623" spans="3:5" ht="13.2">
      <c r="C623" s="10"/>
      <c r="D623" s="10"/>
      <c r="E623" s="10"/>
    </row>
    <row r="624" spans="3:5" ht="13.2">
      <c r="C624" s="10"/>
      <c r="D624" s="10"/>
      <c r="E624" s="10"/>
    </row>
    <row r="625" spans="3:5" ht="13.2">
      <c r="C625" s="10"/>
      <c r="D625" s="10"/>
      <c r="E625" s="10"/>
    </row>
    <row r="626" spans="3:5" ht="13.2">
      <c r="C626" s="10"/>
      <c r="D626" s="10"/>
      <c r="E626" s="10"/>
    </row>
    <row r="627" spans="3:5" ht="13.2">
      <c r="C627" s="10"/>
      <c r="D627" s="10"/>
      <c r="E627" s="10"/>
    </row>
    <row r="628" spans="3:5" ht="13.2">
      <c r="C628" s="10"/>
      <c r="D628" s="10"/>
      <c r="E628" s="10"/>
    </row>
    <row r="629" spans="3:5" ht="13.2">
      <c r="C629" s="10"/>
      <c r="D629" s="10"/>
      <c r="E629" s="10"/>
    </row>
    <row r="630" spans="3:5" ht="13.2">
      <c r="C630" s="10"/>
      <c r="D630" s="10"/>
      <c r="E630" s="10"/>
    </row>
    <row r="631" spans="3:5" ht="13.2">
      <c r="C631" s="10"/>
      <c r="D631" s="10"/>
      <c r="E631" s="10"/>
    </row>
    <row r="632" spans="3:5" ht="13.2">
      <c r="C632" s="10"/>
      <c r="D632" s="10"/>
      <c r="E632" s="10"/>
    </row>
    <row r="633" spans="3:5" ht="13.2">
      <c r="C633" s="10"/>
      <c r="D633" s="10"/>
      <c r="E633" s="10"/>
    </row>
    <row r="634" spans="3:5" ht="13.2">
      <c r="C634" s="10"/>
      <c r="D634" s="10"/>
      <c r="E634" s="10"/>
    </row>
    <row r="635" spans="3:5" ht="13.2">
      <c r="C635" s="10"/>
      <c r="D635" s="10"/>
      <c r="E635" s="10"/>
    </row>
    <row r="636" spans="3:5" ht="13.2">
      <c r="C636" s="10"/>
      <c r="D636" s="10"/>
      <c r="E636" s="10"/>
    </row>
    <row r="637" spans="3:5" ht="13.2">
      <c r="C637" s="10"/>
      <c r="D637" s="10"/>
      <c r="E637" s="10"/>
    </row>
    <row r="638" spans="3:5" ht="13.2">
      <c r="C638" s="10"/>
      <c r="D638" s="10"/>
      <c r="E638" s="10"/>
    </row>
    <row r="639" spans="3:5" ht="13.2">
      <c r="C639" s="10"/>
      <c r="D639" s="10"/>
      <c r="E639" s="10"/>
    </row>
    <row r="640" spans="3:5" ht="13.2">
      <c r="C640" s="10"/>
      <c r="D640" s="10"/>
      <c r="E640" s="10"/>
    </row>
    <row r="641" spans="3:5" ht="13.2">
      <c r="C641" s="10"/>
      <c r="D641" s="10"/>
      <c r="E641" s="10"/>
    </row>
    <row r="642" spans="3:5" ht="13.2">
      <c r="C642" s="10"/>
      <c r="D642" s="10"/>
      <c r="E642" s="10"/>
    </row>
    <row r="643" spans="3:5" ht="13.2">
      <c r="C643" s="10"/>
      <c r="D643" s="10"/>
      <c r="E643" s="10"/>
    </row>
    <row r="644" spans="3:5" ht="13.2">
      <c r="C644" s="10"/>
      <c r="D644" s="10"/>
      <c r="E644" s="10"/>
    </row>
    <row r="645" spans="3:5" ht="13.2">
      <c r="C645" s="10"/>
      <c r="D645" s="10"/>
      <c r="E645" s="10"/>
    </row>
    <row r="646" spans="3:5" ht="13.2">
      <c r="C646" s="10"/>
      <c r="D646" s="10"/>
      <c r="E646" s="10"/>
    </row>
    <row r="647" spans="3:5" ht="13.2">
      <c r="C647" s="10"/>
      <c r="D647" s="10"/>
      <c r="E647" s="10"/>
    </row>
    <row r="648" spans="3:5" ht="13.2">
      <c r="C648" s="10"/>
      <c r="D648" s="10"/>
      <c r="E648" s="10"/>
    </row>
    <row r="649" spans="3:5" ht="13.2">
      <c r="C649" s="10"/>
      <c r="D649" s="10"/>
      <c r="E649" s="10"/>
    </row>
    <row r="650" spans="3:5" ht="13.2">
      <c r="C650" s="10"/>
      <c r="D650" s="10"/>
      <c r="E650" s="10"/>
    </row>
    <row r="651" spans="3:5" ht="13.2">
      <c r="C651" s="10"/>
      <c r="D651" s="10"/>
      <c r="E651" s="10"/>
    </row>
    <row r="652" spans="3:5" ht="13.2">
      <c r="C652" s="10"/>
      <c r="D652" s="10"/>
      <c r="E652" s="10"/>
    </row>
    <row r="653" spans="3:5" ht="13.2">
      <c r="C653" s="10"/>
      <c r="D653" s="10"/>
      <c r="E653" s="10"/>
    </row>
    <row r="654" spans="3:5" ht="13.2">
      <c r="C654" s="10"/>
      <c r="D654" s="10"/>
      <c r="E654" s="10"/>
    </row>
    <row r="655" spans="3:5" ht="13.2">
      <c r="C655" s="10"/>
      <c r="D655" s="10"/>
      <c r="E655" s="10"/>
    </row>
    <row r="656" spans="3:5" ht="13.2">
      <c r="C656" s="10"/>
      <c r="D656" s="10"/>
      <c r="E656" s="10"/>
    </row>
    <row r="657" spans="3:5" ht="13.2">
      <c r="C657" s="10"/>
      <c r="D657" s="10"/>
      <c r="E657" s="10"/>
    </row>
    <row r="658" spans="3:5" ht="13.2">
      <c r="C658" s="10"/>
      <c r="D658" s="10"/>
      <c r="E658" s="10"/>
    </row>
    <row r="659" spans="3:5" ht="13.2">
      <c r="C659" s="10"/>
      <c r="D659" s="10"/>
      <c r="E659" s="10"/>
    </row>
    <row r="660" spans="3:5" ht="13.2">
      <c r="C660" s="10"/>
      <c r="D660" s="10"/>
      <c r="E660" s="10"/>
    </row>
    <row r="661" spans="3:5" ht="13.2">
      <c r="C661" s="10"/>
      <c r="D661" s="10"/>
      <c r="E661" s="10"/>
    </row>
    <row r="662" spans="3:5" ht="13.2">
      <c r="C662" s="10"/>
      <c r="D662" s="10"/>
      <c r="E662" s="10"/>
    </row>
    <row r="663" spans="3:5" ht="13.2">
      <c r="C663" s="10"/>
      <c r="D663" s="10"/>
      <c r="E663" s="10"/>
    </row>
    <row r="664" spans="3:5" ht="13.2">
      <c r="C664" s="10"/>
      <c r="D664" s="10"/>
      <c r="E664" s="10"/>
    </row>
    <row r="665" spans="3:5" ht="13.2">
      <c r="C665" s="10"/>
      <c r="D665" s="10"/>
      <c r="E665" s="10"/>
    </row>
    <row r="666" spans="3:5" ht="13.2">
      <c r="C666" s="10"/>
      <c r="D666" s="10"/>
      <c r="E666" s="10"/>
    </row>
    <row r="667" spans="3:5" ht="13.2">
      <c r="C667" s="10"/>
      <c r="D667" s="10"/>
      <c r="E667" s="10"/>
    </row>
    <row r="668" spans="3:5" ht="13.2">
      <c r="C668" s="10"/>
      <c r="D668" s="10"/>
      <c r="E668" s="10"/>
    </row>
    <row r="669" spans="3:5" ht="13.2">
      <c r="C669" s="10"/>
      <c r="D669" s="10"/>
      <c r="E669" s="10"/>
    </row>
    <row r="670" spans="3:5" ht="13.2">
      <c r="C670" s="10"/>
      <c r="D670" s="10"/>
      <c r="E670" s="10"/>
    </row>
    <row r="671" spans="3:5" ht="13.2">
      <c r="C671" s="10"/>
      <c r="D671" s="10"/>
      <c r="E671" s="10"/>
    </row>
    <row r="672" spans="3:5" ht="13.2">
      <c r="C672" s="10"/>
      <c r="D672" s="10"/>
      <c r="E672" s="10"/>
    </row>
    <row r="673" spans="3:5" ht="13.2">
      <c r="C673" s="10"/>
      <c r="D673" s="10"/>
      <c r="E673" s="10"/>
    </row>
    <row r="674" spans="3:5" ht="13.2">
      <c r="C674" s="10"/>
      <c r="D674" s="10"/>
      <c r="E674" s="10"/>
    </row>
    <row r="675" spans="3:5" ht="13.2">
      <c r="C675" s="10"/>
      <c r="D675" s="10"/>
      <c r="E675" s="10"/>
    </row>
    <row r="676" spans="3:5" ht="13.2">
      <c r="C676" s="10"/>
      <c r="D676" s="10"/>
      <c r="E676" s="10"/>
    </row>
    <row r="677" spans="3:5" ht="13.2">
      <c r="C677" s="10"/>
      <c r="D677" s="10"/>
      <c r="E677" s="10"/>
    </row>
    <row r="678" spans="3:5" ht="13.2">
      <c r="C678" s="10"/>
      <c r="D678" s="10"/>
      <c r="E678" s="10"/>
    </row>
    <row r="679" spans="3:5" ht="13.2">
      <c r="C679" s="10"/>
      <c r="D679" s="10"/>
      <c r="E679" s="10"/>
    </row>
    <row r="680" spans="3:5" ht="13.2">
      <c r="C680" s="10"/>
      <c r="D680" s="10"/>
      <c r="E680" s="10"/>
    </row>
    <row r="681" spans="3:5" ht="13.2">
      <c r="C681" s="10"/>
      <c r="D681" s="10"/>
      <c r="E681" s="10"/>
    </row>
    <row r="682" spans="3:5" ht="13.2">
      <c r="C682" s="10"/>
      <c r="D682" s="10"/>
      <c r="E682" s="10"/>
    </row>
    <row r="683" spans="3:5" ht="13.2">
      <c r="C683" s="10"/>
      <c r="D683" s="10"/>
      <c r="E683" s="10"/>
    </row>
    <row r="684" spans="3:5" ht="13.2">
      <c r="C684" s="10"/>
      <c r="D684" s="10"/>
      <c r="E684" s="10"/>
    </row>
    <row r="685" spans="3:5" ht="13.2">
      <c r="C685" s="10"/>
      <c r="D685" s="10"/>
      <c r="E685" s="10"/>
    </row>
    <row r="686" spans="3:5" ht="13.2">
      <c r="C686" s="10"/>
      <c r="D686" s="10"/>
      <c r="E686" s="10"/>
    </row>
    <row r="687" spans="3:5" ht="13.2">
      <c r="C687" s="10"/>
      <c r="D687" s="10"/>
      <c r="E687" s="10"/>
    </row>
    <row r="688" spans="3:5" ht="13.2">
      <c r="C688" s="10"/>
      <c r="D688" s="10"/>
      <c r="E688" s="10"/>
    </row>
    <row r="689" spans="3:5" ht="13.2">
      <c r="C689" s="10"/>
      <c r="D689" s="10"/>
      <c r="E689" s="10"/>
    </row>
    <row r="690" spans="3:5" ht="13.2">
      <c r="C690" s="10"/>
      <c r="D690" s="10"/>
      <c r="E690" s="10"/>
    </row>
    <row r="691" spans="3:5" ht="13.2">
      <c r="C691" s="10"/>
      <c r="D691" s="10"/>
      <c r="E691" s="10"/>
    </row>
    <row r="692" spans="3:5" ht="13.2">
      <c r="C692" s="10"/>
      <c r="D692" s="10"/>
      <c r="E692" s="10"/>
    </row>
    <row r="693" spans="3:5" ht="13.2">
      <c r="C693" s="10"/>
      <c r="D693" s="10"/>
      <c r="E693" s="10"/>
    </row>
    <row r="694" spans="3:5" ht="13.2">
      <c r="C694" s="10"/>
      <c r="D694" s="10"/>
      <c r="E694" s="10"/>
    </row>
    <row r="695" spans="3:5" ht="13.2">
      <c r="C695" s="10"/>
      <c r="D695" s="10"/>
      <c r="E695" s="10"/>
    </row>
    <row r="696" spans="3:5" ht="13.2">
      <c r="C696" s="10"/>
      <c r="D696" s="10"/>
      <c r="E696" s="10"/>
    </row>
    <row r="697" spans="3:5" ht="13.2">
      <c r="C697" s="10"/>
      <c r="D697" s="10"/>
      <c r="E697" s="10"/>
    </row>
    <row r="698" spans="3:5" ht="13.2">
      <c r="C698" s="10"/>
      <c r="D698" s="10"/>
      <c r="E698" s="10"/>
    </row>
    <row r="699" spans="3:5" ht="13.2">
      <c r="C699" s="10"/>
      <c r="D699" s="10"/>
      <c r="E699" s="10"/>
    </row>
    <row r="700" spans="3:5" ht="13.2">
      <c r="C700" s="10"/>
      <c r="D700" s="10"/>
      <c r="E700" s="10"/>
    </row>
    <row r="701" spans="3:5" ht="13.2">
      <c r="C701" s="10"/>
      <c r="D701" s="10"/>
      <c r="E701" s="10"/>
    </row>
    <row r="702" spans="3:5" ht="13.2">
      <c r="C702" s="10"/>
      <c r="D702" s="10"/>
      <c r="E702" s="10"/>
    </row>
    <row r="703" spans="3:5" ht="13.2">
      <c r="C703" s="10"/>
      <c r="D703" s="10"/>
      <c r="E703" s="10"/>
    </row>
    <row r="704" spans="3:5" ht="13.2">
      <c r="C704" s="10"/>
      <c r="D704" s="10"/>
      <c r="E704" s="10"/>
    </row>
    <row r="705" spans="3:5" ht="13.2">
      <c r="C705" s="10"/>
      <c r="D705" s="10"/>
      <c r="E705" s="10"/>
    </row>
    <row r="706" spans="3:5" ht="13.2">
      <c r="C706" s="10"/>
      <c r="D706" s="10"/>
      <c r="E706" s="10"/>
    </row>
    <row r="707" spans="3:5" ht="13.2">
      <c r="C707" s="10"/>
      <c r="D707" s="10"/>
      <c r="E707" s="10"/>
    </row>
    <row r="708" spans="3:5" ht="13.2">
      <c r="C708" s="10"/>
      <c r="D708" s="10"/>
      <c r="E708" s="10"/>
    </row>
    <row r="709" spans="3:5" ht="13.2">
      <c r="C709" s="10"/>
      <c r="D709" s="10"/>
      <c r="E709" s="10"/>
    </row>
    <row r="710" spans="3:5" ht="13.2">
      <c r="C710" s="10"/>
      <c r="D710" s="10"/>
      <c r="E710" s="10"/>
    </row>
    <row r="711" spans="3:5" ht="13.2">
      <c r="C711" s="10"/>
      <c r="D711" s="10"/>
      <c r="E711" s="10"/>
    </row>
    <row r="712" spans="3:5" ht="13.2">
      <c r="C712" s="10"/>
      <c r="D712" s="10"/>
      <c r="E712" s="10"/>
    </row>
    <row r="713" spans="3:5" ht="13.2">
      <c r="C713" s="10"/>
      <c r="D713" s="10"/>
      <c r="E713" s="10"/>
    </row>
    <row r="714" spans="3:5" ht="13.2">
      <c r="C714" s="10"/>
      <c r="D714" s="10"/>
      <c r="E714" s="10"/>
    </row>
    <row r="715" spans="3:5" ht="13.2">
      <c r="C715" s="10"/>
      <c r="D715" s="10"/>
      <c r="E715" s="10"/>
    </row>
    <row r="716" spans="3:5" ht="13.2">
      <c r="C716" s="10"/>
      <c r="D716" s="10"/>
      <c r="E716" s="10"/>
    </row>
    <row r="717" spans="3:5" ht="13.2">
      <c r="C717" s="10"/>
      <c r="D717" s="10"/>
      <c r="E717" s="10"/>
    </row>
    <row r="718" spans="3:5" ht="13.2">
      <c r="C718" s="10"/>
      <c r="D718" s="10"/>
      <c r="E718" s="10"/>
    </row>
    <row r="719" spans="3:5" ht="13.2">
      <c r="C719" s="10"/>
      <c r="D719" s="10"/>
      <c r="E719" s="10"/>
    </row>
    <row r="720" spans="3:5" ht="13.2">
      <c r="C720" s="10"/>
      <c r="D720" s="10"/>
      <c r="E720" s="10"/>
    </row>
    <row r="721" spans="3:5" ht="13.2">
      <c r="C721" s="10"/>
      <c r="D721" s="10"/>
      <c r="E721" s="10"/>
    </row>
    <row r="722" spans="3:5" ht="13.2">
      <c r="C722" s="10"/>
      <c r="D722" s="10"/>
      <c r="E722" s="10"/>
    </row>
    <row r="723" spans="3:5" ht="13.2">
      <c r="C723" s="10"/>
      <c r="D723" s="10"/>
      <c r="E723" s="10"/>
    </row>
    <row r="724" spans="3:5" ht="13.2">
      <c r="C724" s="10"/>
      <c r="D724" s="10"/>
      <c r="E724" s="10"/>
    </row>
    <row r="725" spans="3:5" ht="13.2">
      <c r="C725" s="10"/>
      <c r="D725" s="10"/>
      <c r="E725" s="10"/>
    </row>
    <row r="726" spans="3:5" ht="13.2">
      <c r="C726" s="10"/>
      <c r="D726" s="10"/>
      <c r="E726" s="10"/>
    </row>
    <row r="727" spans="3:5" ht="13.2">
      <c r="C727" s="10"/>
      <c r="D727" s="10"/>
      <c r="E727" s="10"/>
    </row>
    <row r="728" spans="3:5" ht="13.2">
      <c r="C728" s="10"/>
      <c r="D728" s="10"/>
      <c r="E728" s="10"/>
    </row>
    <row r="729" spans="3:5" ht="13.2">
      <c r="C729" s="10"/>
      <c r="D729" s="10"/>
      <c r="E729" s="10"/>
    </row>
    <row r="730" spans="3:5" ht="13.2">
      <c r="C730" s="10"/>
      <c r="D730" s="10"/>
      <c r="E730" s="10"/>
    </row>
    <row r="731" spans="3:5" ht="13.2">
      <c r="C731" s="10"/>
      <c r="D731" s="10"/>
      <c r="E731" s="10"/>
    </row>
    <row r="732" spans="3:5" ht="13.2">
      <c r="C732" s="10"/>
      <c r="D732" s="10"/>
      <c r="E732" s="10"/>
    </row>
    <row r="733" spans="3:5" ht="13.2">
      <c r="C733" s="10"/>
      <c r="D733" s="10"/>
      <c r="E733" s="10"/>
    </row>
    <row r="734" spans="3:5" ht="13.2">
      <c r="C734" s="10"/>
      <c r="D734" s="10"/>
      <c r="E734" s="10"/>
    </row>
    <row r="735" spans="3:5" ht="13.2">
      <c r="C735" s="10"/>
      <c r="D735" s="10"/>
      <c r="E735" s="10"/>
    </row>
    <row r="736" spans="3:5" ht="13.2">
      <c r="C736" s="10"/>
      <c r="D736" s="10"/>
      <c r="E736" s="10"/>
    </row>
    <row r="737" spans="3:5" ht="13.2">
      <c r="C737" s="10"/>
      <c r="D737" s="10"/>
      <c r="E737" s="10"/>
    </row>
    <row r="738" spans="3:5" ht="13.2">
      <c r="C738" s="10"/>
      <c r="D738" s="10"/>
      <c r="E738" s="10"/>
    </row>
    <row r="739" spans="3:5" ht="13.2">
      <c r="C739" s="10"/>
      <c r="D739" s="10"/>
      <c r="E739" s="10"/>
    </row>
    <row r="740" spans="3:5" ht="13.2">
      <c r="C740" s="10"/>
      <c r="D740" s="10"/>
      <c r="E740" s="10"/>
    </row>
    <row r="741" spans="3:5" ht="13.2">
      <c r="C741" s="10"/>
      <c r="D741" s="10"/>
      <c r="E741" s="10"/>
    </row>
    <row r="742" spans="3:5" ht="13.2">
      <c r="C742" s="10"/>
      <c r="D742" s="10"/>
      <c r="E742" s="10"/>
    </row>
    <row r="743" spans="3:5" ht="13.2">
      <c r="C743" s="10"/>
      <c r="D743" s="10"/>
      <c r="E743" s="10"/>
    </row>
    <row r="744" spans="3:5" ht="13.2">
      <c r="C744" s="10"/>
      <c r="D744" s="10"/>
      <c r="E744" s="10"/>
    </row>
    <row r="745" spans="3:5" ht="13.2">
      <c r="C745" s="10"/>
      <c r="D745" s="10"/>
      <c r="E745" s="10"/>
    </row>
    <row r="746" spans="3:5" ht="13.2">
      <c r="C746" s="10"/>
      <c r="D746" s="10"/>
      <c r="E746" s="10"/>
    </row>
    <row r="747" spans="3:5" ht="13.2">
      <c r="C747" s="10"/>
      <c r="D747" s="10"/>
      <c r="E747" s="10"/>
    </row>
    <row r="748" spans="3:5" ht="13.2">
      <c r="C748" s="10"/>
      <c r="D748" s="10"/>
      <c r="E748" s="10"/>
    </row>
    <row r="749" spans="3:5" ht="13.2">
      <c r="C749" s="10"/>
      <c r="D749" s="10"/>
      <c r="E749" s="10"/>
    </row>
    <row r="750" spans="3:5" ht="13.2">
      <c r="C750" s="10"/>
      <c r="D750" s="10"/>
      <c r="E750" s="10"/>
    </row>
    <row r="751" spans="3:5" ht="13.2">
      <c r="C751" s="10"/>
      <c r="D751" s="10"/>
      <c r="E751" s="10"/>
    </row>
    <row r="752" spans="3:5" ht="13.2">
      <c r="C752" s="10"/>
      <c r="D752" s="10"/>
      <c r="E752" s="10"/>
    </row>
    <row r="753" spans="3:5" ht="13.2">
      <c r="C753" s="10"/>
      <c r="D753" s="10"/>
      <c r="E753" s="10"/>
    </row>
    <row r="754" spans="3:5" ht="13.2">
      <c r="C754" s="10"/>
      <c r="D754" s="10"/>
      <c r="E754" s="10"/>
    </row>
    <row r="755" spans="3:5" ht="13.2">
      <c r="C755" s="10"/>
      <c r="D755" s="10"/>
      <c r="E755" s="10"/>
    </row>
    <row r="756" spans="3:5" ht="13.2">
      <c r="C756" s="10"/>
      <c r="D756" s="10"/>
      <c r="E756" s="10"/>
    </row>
    <row r="757" spans="3:5" ht="13.2">
      <c r="C757" s="10"/>
      <c r="D757" s="10"/>
      <c r="E757" s="10"/>
    </row>
    <row r="758" spans="3:5" ht="13.2">
      <c r="C758" s="10"/>
      <c r="D758" s="10"/>
      <c r="E758" s="10"/>
    </row>
    <row r="759" spans="3:5" ht="13.2">
      <c r="C759" s="10"/>
      <c r="D759" s="10"/>
      <c r="E759" s="10"/>
    </row>
    <row r="760" spans="3:5" ht="13.2">
      <c r="C760" s="10"/>
      <c r="D760" s="10"/>
      <c r="E760" s="10"/>
    </row>
    <row r="761" spans="3:5" ht="13.2">
      <c r="C761" s="10"/>
      <c r="D761" s="10"/>
      <c r="E761" s="10"/>
    </row>
    <row r="762" spans="3:5" ht="13.2">
      <c r="C762" s="10"/>
      <c r="D762" s="10"/>
      <c r="E762" s="10"/>
    </row>
    <row r="763" spans="3:5" ht="13.2">
      <c r="C763" s="10"/>
      <c r="D763" s="10"/>
      <c r="E763" s="10"/>
    </row>
    <row r="764" spans="3:5" ht="13.2">
      <c r="C764" s="10"/>
      <c r="D764" s="10"/>
      <c r="E764" s="10"/>
    </row>
    <row r="765" spans="3:5" ht="13.2">
      <c r="C765" s="10"/>
      <c r="D765" s="10"/>
      <c r="E765" s="10"/>
    </row>
    <row r="766" spans="3:5" ht="13.2">
      <c r="C766" s="10"/>
      <c r="D766" s="10"/>
      <c r="E766" s="10"/>
    </row>
    <row r="767" spans="3:5" ht="13.2">
      <c r="C767" s="10"/>
      <c r="D767" s="10"/>
      <c r="E767" s="10"/>
    </row>
    <row r="768" spans="3:5" ht="13.2">
      <c r="C768" s="10"/>
      <c r="D768" s="10"/>
      <c r="E768" s="10"/>
    </row>
    <row r="769" spans="3:5" ht="13.2">
      <c r="C769" s="10"/>
      <c r="D769" s="10"/>
      <c r="E769" s="10"/>
    </row>
    <row r="770" spans="3:5" ht="13.2">
      <c r="C770" s="10"/>
      <c r="D770" s="10"/>
      <c r="E770" s="10"/>
    </row>
    <row r="771" spans="3:5" ht="13.2">
      <c r="C771" s="10"/>
      <c r="D771" s="10"/>
      <c r="E771" s="10"/>
    </row>
    <row r="772" spans="3:5" ht="13.2">
      <c r="C772" s="10"/>
      <c r="D772" s="10"/>
      <c r="E772" s="10"/>
    </row>
    <row r="773" spans="3:5" ht="13.2">
      <c r="C773" s="10"/>
      <c r="D773" s="10"/>
      <c r="E773" s="10"/>
    </row>
    <row r="774" spans="3:5" ht="13.2">
      <c r="C774" s="10"/>
      <c r="D774" s="10"/>
      <c r="E774" s="10"/>
    </row>
    <row r="775" spans="3:5" ht="13.2">
      <c r="C775" s="10"/>
      <c r="D775" s="10"/>
      <c r="E775" s="10"/>
    </row>
    <row r="776" spans="3:5" ht="13.2">
      <c r="C776" s="10"/>
      <c r="D776" s="10"/>
      <c r="E776" s="10"/>
    </row>
    <row r="777" spans="3:5" ht="13.2">
      <c r="C777" s="10"/>
      <c r="D777" s="10"/>
      <c r="E777" s="10"/>
    </row>
    <row r="778" spans="3:5" ht="13.2">
      <c r="C778" s="10"/>
      <c r="D778" s="10"/>
      <c r="E778" s="10"/>
    </row>
    <row r="779" spans="3:5" ht="13.2">
      <c r="C779" s="10"/>
      <c r="D779" s="10"/>
      <c r="E779" s="10"/>
    </row>
    <row r="780" spans="3:5" ht="13.2">
      <c r="C780" s="10"/>
      <c r="D780" s="10"/>
      <c r="E780" s="10"/>
    </row>
    <row r="781" spans="3:5" ht="13.2">
      <c r="C781" s="10"/>
      <c r="D781" s="10"/>
      <c r="E781" s="10"/>
    </row>
    <row r="782" spans="3:5" ht="13.2">
      <c r="C782" s="10"/>
      <c r="D782" s="10"/>
      <c r="E782" s="10"/>
    </row>
    <row r="783" spans="3:5" ht="13.2">
      <c r="C783" s="10"/>
      <c r="D783" s="10"/>
      <c r="E783" s="10"/>
    </row>
    <row r="784" spans="3:5" ht="13.2">
      <c r="C784" s="10"/>
      <c r="D784" s="10"/>
      <c r="E784" s="10"/>
    </row>
    <row r="785" spans="3:5" ht="13.2">
      <c r="C785" s="10"/>
      <c r="D785" s="10"/>
      <c r="E785" s="10"/>
    </row>
    <row r="786" spans="3:5" ht="13.2">
      <c r="C786" s="10"/>
      <c r="D786" s="10"/>
      <c r="E786" s="10"/>
    </row>
    <row r="787" spans="3:5" ht="13.2">
      <c r="C787" s="10"/>
      <c r="D787" s="10"/>
      <c r="E787" s="10"/>
    </row>
    <row r="788" spans="3:5" ht="13.2">
      <c r="C788" s="10"/>
      <c r="D788" s="10"/>
      <c r="E788" s="10"/>
    </row>
    <row r="789" spans="3:5" ht="13.2">
      <c r="C789" s="10"/>
      <c r="D789" s="10"/>
      <c r="E789" s="10"/>
    </row>
    <row r="790" spans="3:5" ht="13.2">
      <c r="C790" s="10"/>
      <c r="D790" s="10"/>
      <c r="E790" s="10"/>
    </row>
    <row r="791" spans="3:5" ht="13.2">
      <c r="C791" s="10"/>
      <c r="D791" s="10"/>
      <c r="E791" s="10"/>
    </row>
    <row r="792" spans="3:5" ht="13.2">
      <c r="C792" s="10"/>
      <c r="D792" s="10"/>
      <c r="E792" s="10"/>
    </row>
    <row r="793" spans="3:5" ht="13.2">
      <c r="C793" s="10"/>
      <c r="D793" s="10"/>
      <c r="E793" s="10"/>
    </row>
    <row r="794" spans="3:5" ht="13.2">
      <c r="C794" s="10"/>
      <c r="D794" s="10"/>
      <c r="E794" s="10"/>
    </row>
    <row r="795" spans="3:5" ht="13.2">
      <c r="C795" s="10"/>
      <c r="D795" s="10"/>
      <c r="E795" s="10"/>
    </row>
    <row r="796" spans="3:5" ht="13.2">
      <c r="C796" s="10"/>
      <c r="D796" s="10"/>
      <c r="E796" s="10"/>
    </row>
    <row r="797" spans="3:5" ht="13.2">
      <c r="C797" s="10"/>
      <c r="D797" s="10"/>
      <c r="E797" s="10"/>
    </row>
    <row r="798" spans="3:5" ht="13.2">
      <c r="C798" s="10"/>
      <c r="D798" s="10"/>
      <c r="E798" s="10"/>
    </row>
    <row r="799" spans="3:5" ht="13.2">
      <c r="C799" s="10"/>
      <c r="D799" s="10"/>
      <c r="E799" s="10"/>
    </row>
    <row r="800" spans="3:5" ht="13.2">
      <c r="C800" s="10"/>
      <c r="D800" s="10"/>
      <c r="E800" s="10"/>
    </row>
    <row r="801" spans="3:5" ht="13.2">
      <c r="C801" s="10"/>
      <c r="D801" s="10"/>
      <c r="E801" s="10"/>
    </row>
    <row r="802" spans="3:5" ht="13.2">
      <c r="C802" s="10"/>
      <c r="D802" s="10"/>
      <c r="E802" s="10"/>
    </row>
    <row r="803" spans="3:5" ht="13.2">
      <c r="C803" s="10"/>
      <c r="D803" s="10"/>
      <c r="E803" s="10"/>
    </row>
    <row r="804" spans="3:5" ht="13.2">
      <c r="C804" s="10"/>
      <c r="D804" s="10"/>
      <c r="E804" s="10"/>
    </row>
    <row r="805" spans="3:5" ht="13.2">
      <c r="C805" s="10"/>
      <c r="D805" s="10"/>
      <c r="E805" s="10"/>
    </row>
    <row r="806" spans="3:5" ht="13.2">
      <c r="C806" s="10"/>
      <c r="D806" s="10"/>
      <c r="E806" s="10"/>
    </row>
    <row r="807" spans="3:5" ht="13.2">
      <c r="C807" s="10"/>
      <c r="D807" s="10"/>
      <c r="E807" s="10"/>
    </row>
    <row r="808" spans="3:5" ht="13.2">
      <c r="C808" s="10"/>
      <c r="D808" s="10"/>
      <c r="E808" s="10"/>
    </row>
    <row r="809" spans="3:5" ht="13.2">
      <c r="C809" s="10"/>
      <c r="D809" s="10"/>
      <c r="E809" s="10"/>
    </row>
    <row r="810" spans="3:5" ht="13.2">
      <c r="C810" s="10"/>
      <c r="D810" s="10"/>
      <c r="E810" s="10"/>
    </row>
    <row r="811" spans="3:5" ht="13.2">
      <c r="C811" s="10"/>
      <c r="D811" s="10"/>
      <c r="E811" s="10"/>
    </row>
    <row r="812" spans="3:5" ht="13.2">
      <c r="C812" s="10"/>
      <c r="D812" s="10"/>
      <c r="E812" s="10"/>
    </row>
    <row r="813" spans="3:5" ht="13.2">
      <c r="C813" s="10"/>
      <c r="D813" s="10"/>
      <c r="E813" s="10"/>
    </row>
    <row r="814" spans="3:5" ht="13.2">
      <c r="C814" s="10"/>
      <c r="D814" s="10"/>
      <c r="E814" s="10"/>
    </row>
    <row r="815" spans="3:5" ht="13.2">
      <c r="C815" s="10"/>
      <c r="D815" s="10"/>
      <c r="E815" s="10"/>
    </row>
    <row r="816" spans="3:5" ht="13.2">
      <c r="C816" s="10"/>
      <c r="D816" s="10"/>
      <c r="E816" s="10"/>
    </row>
    <row r="817" spans="3:5" ht="13.2">
      <c r="C817" s="10"/>
      <c r="D817" s="10"/>
      <c r="E817" s="10"/>
    </row>
    <row r="818" spans="3:5" ht="13.2">
      <c r="C818" s="10"/>
      <c r="D818" s="10"/>
      <c r="E818" s="10"/>
    </row>
    <row r="819" spans="3:5" ht="13.2">
      <c r="C819" s="10"/>
      <c r="D819" s="10"/>
      <c r="E819" s="10"/>
    </row>
    <row r="820" spans="3:5" ht="13.2">
      <c r="C820" s="10"/>
      <c r="D820" s="10"/>
      <c r="E820" s="10"/>
    </row>
    <row r="821" spans="3:5" ht="13.2">
      <c r="C821" s="10"/>
      <c r="D821" s="10"/>
      <c r="E821" s="10"/>
    </row>
    <row r="822" spans="3:5" ht="13.2">
      <c r="C822" s="10"/>
      <c r="D822" s="10"/>
      <c r="E822" s="10"/>
    </row>
    <row r="823" spans="3:5" ht="13.2">
      <c r="C823" s="10"/>
      <c r="D823" s="10"/>
      <c r="E823" s="10"/>
    </row>
    <row r="824" spans="3:5" ht="13.2">
      <c r="C824" s="10"/>
      <c r="D824" s="10"/>
      <c r="E824" s="10"/>
    </row>
    <row r="825" spans="3:5" ht="13.2">
      <c r="C825" s="10"/>
      <c r="D825" s="10"/>
      <c r="E825" s="10"/>
    </row>
    <row r="826" spans="3:5" ht="13.2">
      <c r="C826" s="10"/>
      <c r="D826" s="10"/>
      <c r="E826" s="10"/>
    </row>
    <row r="827" spans="3:5" ht="13.2">
      <c r="C827" s="10"/>
      <c r="D827" s="10"/>
      <c r="E827" s="10"/>
    </row>
    <row r="828" spans="3:5" ht="13.2">
      <c r="C828" s="10"/>
      <c r="D828" s="10"/>
      <c r="E828" s="10"/>
    </row>
    <row r="829" spans="3:5" ht="13.2">
      <c r="C829" s="10"/>
      <c r="D829" s="10"/>
      <c r="E829" s="10"/>
    </row>
    <row r="830" spans="3:5" ht="13.2">
      <c r="C830" s="10"/>
      <c r="D830" s="10"/>
      <c r="E830" s="10"/>
    </row>
    <row r="831" spans="3:5" ht="13.2">
      <c r="C831" s="10"/>
      <c r="D831" s="10"/>
      <c r="E831" s="10"/>
    </row>
    <row r="832" spans="3:5" ht="13.2">
      <c r="C832" s="10"/>
      <c r="D832" s="10"/>
      <c r="E832" s="10"/>
    </row>
    <row r="833" spans="3:5" ht="13.2">
      <c r="C833" s="10"/>
      <c r="D833" s="10"/>
      <c r="E833" s="10"/>
    </row>
    <row r="834" spans="3:5" ht="13.2">
      <c r="C834" s="10"/>
      <c r="D834" s="10"/>
      <c r="E834" s="10"/>
    </row>
    <row r="835" spans="3:5" ht="13.2">
      <c r="C835" s="10"/>
      <c r="D835" s="10"/>
      <c r="E835" s="10"/>
    </row>
    <row r="836" spans="3:5" ht="13.2">
      <c r="C836" s="10"/>
      <c r="D836" s="10"/>
      <c r="E836" s="10"/>
    </row>
    <row r="837" spans="3:5" ht="13.2">
      <c r="C837" s="10"/>
      <c r="D837" s="10"/>
      <c r="E837" s="10"/>
    </row>
    <row r="838" spans="3:5" ht="13.2">
      <c r="C838" s="10"/>
      <c r="D838" s="10"/>
      <c r="E838" s="10"/>
    </row>
    <row r="839" spans="3:5" ht="13.2">
      <c r="C839" s="10"/>
      <c r="D839" s="10"/>
      <c r="E839" s="10"/>
    </row>
    <row r="840" spans="3:5" ht="13.2">
      <c r="C840" s="10"/>
      <c r="D840" s="10"/>
      <c r="E840" s="10"/>
    </row>
    <row r="841" spans="3:5" ht="13.2">
      <c r="C841" s="10"/>
      <c r="D841" s="10"/>
      <c r="E841" s="10"/>
    </row>
    <row r="842" spans="3:5" ht="13.2">
      <c r="C842" s="10"/>
      <c r="D842" s="10"/>
      <c r="E842" s="10"/>
    </row>
    <row r="843" spans="3:5" ht="13.2">
      <c r="C843" s="10"/>
      <c r="D843" s="10"/>
      <c r="E843" s="10"/>
    </row>
    <row r="844" spans="3:5" ht="13.2">
      <c r="C844" s="10"/>
      <c r="D844" s="10"/>
      <c r="E844" s="10"/>
    </row>
    <row r="845" spans="3:5" ht="13.2">
      <c r="C845" s="10"/>
      <c r="D845" s="10"/>
      <c r="E845" s="10"/>
    </row>
    <row r="846" spans="3:5" ht="13.2">
      <c r="C846" s="10"/>
      <c r="D846" s="10"/>
      <c r="E846" s="10"/>
    </row>
    <row r="847" spans="3:5" ht="13.2">
      <c r="C847" s="10"/>
      <c r="D847" s="10"/>
      <c r="E847" s="10"/>
    </row>
    <row r="848" spans="3:5" ht="13.2">
      <c r="C848" s="10"/>
      <c r="D848" s="10"/>
      <c r="E848" s="10"/>
    </row>
    <row r="849" spans="3:5" ht="13.2">
      <c r="C849" s="10"/>
      <c r="D849" s="10"/>
      <c r="E849" s="10"/>
    </row>
    <row r="850" spans="3:5" ht="13.2">
      <c r="C850" s="10"/>
      <c r="D850" s="10"/>
      <c r="E850" s="10"/>
    </row>
    <row r="851" spans="3:5" ht="13.2">
      <c r="C851" s="10"/>
      <c r="D851" s="10"/>
      <c r="E851" s="10"/>
    </row>
    <row r="852" spans="3:5" ht="13.2">
      <c r="C852" s="10"/>
      <c r="D852" s="10"/>
      <c r="E852" s="10"/>
    </row>
    <row r="853" spans="3:5" ht="13.2">
      <c r="C853" s="10"/>
      <c r="D853" s="10"/>
      <c r="E853" s="10"/>
    </row>
    <row r="854" spans="3:5" ht="13.2">
      <c r="C854" s="10"/>
      <c r="D854" s="10"/>
      <c r="E854" s="10"/>
    </row>
    <row r="855" spans="3:5" ht="13.2">
      <c r="C855" s="10"/>
      <c r="D855" s="10"/>
      <c r="E855" s="10"/>
    </row>
    <row r="856" spans="3:5" ht="13.2">
      <c r="C856" s="10"/>
      <c r="D856" s="10"/>
      <c r="E856" s="10"/>
    </row>
    <row r="857" spans="3:5" ht="13.2">
      <c r="C857" s="10"/>
      <c r="D857" s="10"/>
      <c r="E857" s="10"/>
    </row>
    <row r="858" spans="3:5" ht="13.2">
      <c r="C858" s="10"/>
      <c r="D858" s="10"/>
      <c r="E858" s="10"/>
    </row>
    <row r="859" spans="3:5" ht="13.2">
      <c r="C859" s="10"/>
      <c r="D859" s="10"/>
      <c r="E859" s="10"/>
    </row>
    <row r="860" spans="3:5" ht="13.2">
      <c r="C860" s="10"/>
      <c r="D860" s="10"/>
      <c r="E860" s="10"/>
    </row>
    <row r="861" spans="3:5" ht="13.2">
      <c r="C861" s="10"/>
      <c r="D861" s="10"/>
      <c r="E861" s="10"/>
    </row>
    <row r="862" spans="3:5" ht="13.2">
      <c r="C862" s="10"/>
      <c r="D862" s="10"/>
      <c r="E862" s="10"/>
    </row>
    <row r="863" spans="3:5" ht="13.2">
      <c r="C863" s="10"/>
      <c r="D863" s="10"/>
      <c r="E863" s="10"/>
    </row>
    <row r="864" spans="3:5" ht="13.2">
      <c r="C864" s="10"/>
      <c r="D864" s="10"/>
      <c r="E864" s="10"/>
    </row>
    <row r="865" spans="3:5" ht="13.2">
      <c r="C865" s="10"/>
      <c r="D865" s="10"/>
      <c r="E865" s="10"/>
    </row>
    <row r="866" spans="3:5" ht="13.2">
      <c r="C866" s="10"/>
      <c r="D866" s="10"/>
      <c r="E866" s="10"/>
    </row>
    <row r="867" spans="3:5" ht="13.2">
      <c r="C867" s="10"/>
      <c r="D867" s="10"/>
      <c r="E867" s="10"/>
    </row>
    <row r="868" spans="3:5" ht="13.2">
      <c r="C868" s="10"/>
      <c r="D868" s="10"/>
      <c r="E868" s="10"/>
    </row>
    <row r="869" spans="3:5" ht="13.2">
      <c r="C869" s="10"/>
      <c r="D869" s="10"/>
      <c r="E869" s="10"/>
    </row>
    <row r="870" spans="3:5" ht="13.2">
      <c r="C870" s="10"/>
      <c r="D870" s="10"/>
      <c r="E870" s="10"/>
    </row>
    <row r="871" spans="3:5" ht="13.2">
      <c r="C871" s="10"/>
      <c r="D871" s="10"/>
      <c r="E871" s="10"/>
    </row>
    <row r="872" spans="3:5" ht="13.2">
      <c r="C872" s="10"/>
      <c r="D872" s="10"/>
      <c r="E872" s="10"/>
    </row>
    <row r="873" spans="3:5" ht="13.2">
      <c r="C873" s="10"/>
      <c r="D873" s="10"/>
      <c r="E873" s="10"/>
    </row>
    <row r="874" spans="3:5" ht="13.2">
      <c r="C874" s="10"/>
      <c r="D874" s="10"/>
      <c r="E874" s="10"/>
    </row>
    <row r="875" spans="3:5" ht="13.2">
      <c r="C875" s="10"/>
      <c r="D875" s="10"/>
      <c r="E875" s="10"/>
    </row>
    <row r="876" spans="3:5" ht="13.2">
      <c r="C876" s="10"/>
      <c r="D876" s="10"/>
      <c r="E876" s="10"/>
    </row>
    <row r="877" spans="3:5" ht="13.2">
      <c r="C877" s="10"/>
      <c r="D877" s="10"/>
      <c r="E877" s="10"/>
    </row>
    <row r="878" spans="3:5" ht="13.2">
      <c r="C878" s="10"/>
      <c r="D878" s="10"/>
      <c r="E878" s="10"/>
    </row>
    <row r="879" spans="3:5" ht="13.2">
      <c r="C879" s="10"/>
      <c r="D879" s="10"/>
      <c r="E879" s="10"/>
    </row>
    <row r="880" spans="3:5" ht="13.2">
      <c r="C880" s="10"/>
      <c r="D880" s="10"/>
      <c r="E880" s="10"/>
    </row>
    <row r="881" spans="3:5" ht="13.2">
      <c r="C881" s="10"/>
      <c r="D881" s="10"/>
      <c r="E881" s="10"/>
    </row>
    <row r="882" spans="3:5" ht="13.2">
      <c r="C882" s="10"/>
      <c r="D882" s="10"/>
      <c r="E882" s="10"/>
    </row>
    <row r="883" spans="3:5" ht="13.2">
      <c r="C883" s="10"/>
      <c r="D883" s="10"/>
      <c r="E883" s="10"/>
    </row>
    <row r="884" spans="3:5" ht="13.2">
      <c r="C884" s="10"/>
      <c r="D884" s="10"/>
      <c r="E884" s="10"/>
    </row>
    <row r="885" spans="3:5" ht="13.2">
      <c r="C885" s="10"/>
      <c r="D885" s="10"/>
      <c r="E885" s="10"/>
    </row>
    <row r="886" spans="3:5" ht="13.2">
      <c r="C886" s="10"/>
      <c r="D886" s="10"/>
      <c r="E886" s="10"/>
    </row>
    <row r="887" spans="3:5" ht="13.2">
      <c r="C887" s="10"/>
      <c r="D887" s="10"/>
      <c r="E887" s="10"/>
    </row>
    <row r="888" spans="3:5" ht="13.2">
      <c r="C888" s="10"/>
      <c r="D888" s="10"/>
      <c r="E888" s="10"/>
    </row>
    <row r="889" spans="3:5" ht="13.2">
      <c r="C889" s="10"/>
      <c r="D889" s="10"/>
      <c r="E889" s="10"/>
    </row>
    <row r="890" spans="3:5" ht="13.2">
      <c r="C890" s="10"/>
      <c r="D890" s="10"/>
      <c r="E890" s="10"/>
    </row>
    <row r="891" spans="3:5" ht="13.2">
      <c r="C891" s="10"/>
      <c r="D891" s="10"/>
      <c r="E891" s="10"/>
    </row>
    <row r="892" spans="3:5" ht="13.2">
      <c r="C892" s="10"/>
      <c r="D892" s="10"/>
      <c r="E892" s="10"/>
    </row>
    <row r="893" spans="3:5" ht="13.2">
      <c r="C893" s="10"/>
      <c r="D893" s="10"/>
      <c r="E893" s="10"/>
    </row>
    <row r="894" spans="3:5" ht="13.2">
      <c r="C894" s="10"/>
      <c r="D894" s="10"/>
      <c r="E894" s="10"/>
    </row>
    <row r="895" spans="3:5" ht="13.2">
      <c r="C895" s="10"/>
      <c r="D895" s="10"/>
      <c r="E895" s="10"/>
    </row>
    <row r="896" spans="3:5" ht="13.2">
      <c r="C896" s="10"/>
      <c r="D896" s="10"/>
      <c r="E896" s="10"/>
    </row>
    <row r="897" spans="3:5" ht="13.2">
      <c r="C897" s="10"/>
      <c r="D897" s="10"/>
      <c r="E897" s="10"/>
    </row>
    <row r="898" spans="3:5" ht="13.2">
      <c r="C898" s="10"/>
      <c r="D898" s="10"/>
      <c r="E898" s="10"/>
    </row>
    <row r="899" spans="3:5" ht="13.2">
      <c r="C899" s="10"/>
      <c r="D899" s="10"/>
      <c r="E899" s="10"/>
    </row>
    <row r="900" spans="3:5" ht="13.2">
      <c r="C900" s="10"/>
      <c r="D900" s="10"/>
      <c r="E900" s="10"/>
    </row>
    <row r="901" spans="3:5" ht="13.2">
      <c r="C901" s="10"/>
      <c r="D901" s="10"/>
      <c r="E901" s="10"/>
    </row>
    <row r="902" spans="3:5" ht="13.2">
      <c r="C902" s="10"/>
      <c r="D902" s="10"/>
      <c r="E902" s="10"/>
    </row>
    <row r="903" spans="3:5" ht="13.2">
      <c r="C903" s="10"/>
      <c r="D903" s="10"/>
      <c r="E903" s="10"/>
    </row>
    <row r="904" spans="3:5" ht="13.2">
      <c r="C904" s="10"/>
      <c r="D904" s="10"/>
      <c r="E904" s="10"/>
    </row>
    <row r="905" spans="3:5" ht="13.2">
      <c r="C905" s="10"/>
      <c r="D905" s="10"/>
      <c r="E905" s="10"/>
    </row>
    <row r="906" spans="3:5" ht="13.2">
      <c r="C906" s="10"/>
      <c r="D906" s="10"/>
      <c r="E906" s="10"/>
    </row>
    <row r="907" spans="3:5" ht="13.2">
      <c r="C907" s="10"/>
      <c r="D907" s="10"/>
      <c r="E907" s="10"/>
    </row>
    <row r="908" spans="3:5" ht="13.2">
      <c r="C908" s="10"/>
      <c r="D908" s="10"/>
      <c r="E908" s="10"/>
    </row>
    <row r="909" spans="3:5" ht="13.2">
      <c r="C909" s="10"/>
      <c r="D909" s="10"/>
      <c r="E909" s="10"/>
    </row>
    <row r="910" spans="3:5" ht="13.2">
      <c r="C910" s="10"/>
      <c r="D910" s="10"/>
      <c r="E910" s="10"/>
    </row>
    <row r="911" spans="3:5" ht="13.2">
      <c r="C911" s="10"/>
      <c r="D911" s="10"/>
      <c r="E911" s="10"/>
    </row>
    <row r="912" spans="3:5" ht="13.2">
      <c r="C912" s="10"/>
      <c r="D912" s="10"/>
      <c r="E912" s="10"/>
    </row>
    <row r="913" spans="3:5" ht="13.2">
      <c r="C913" s="10"/>
      <c r="D913" s="10"/>
      <c r="E913" s="10"/>
    </row>
    <row r="914" spans="3:5" ht="13.2">
      <c r="C914" s="10"/>
      <c r="D914" s="10"/>
      <c r="E914" s="10"/>
    </row>
    <row r="915" spans="3:5" ht="13.2">
      <c r="C915" s="10"/>
      <c r="D915" s="10"/>
      <c r="E915" s="10"/>
    </row>
    <row r="916" spans="3:5" ht="13.2">
      <c r="C916" s="10"/>
      <c r="D916" s="10"/>
      <c r="E916" s="10"/>
    </row>
    <row r="917" spans="3:5" ht="13.2">
      <c r="C917" s="10"/>
      <c r="D917" s="10"/>
      <c r="E917" s="10"/>
    </row>
    <row r="918" spans="3:5" ht="13.2">
      <c r="C918" s="10"/>
      <c r="D918" s="10"/>
      <c r="E918" s="10"/>
    </row>
    <row r="919" spans="3:5" ht="13.2">
      <c r="C919" s="10"/>
      <c r="D919" s="10"/>
      <c r="E919" s="10"/>
    </row>
    <row r="920" spans="3:5" ht="13.2">
      <c r="C920" s="10"/>
      <c r="D920" s="10"/>
      <c r="E920" s="10"/>
    </row>
    <row r="921" spans="3:5" ht="13.2">
      <c r="C921" s="10"/>
      <c r="D921" s="10"/>
      <c r="E921" s="10"/>
    </row>
    <row r="922" spans="3:5" ht="13.2">
      <c r="C922" s="10"/>
      <c r="D922" s="10"/>
      <c r="E922" s="10"/>
    </row>
    <row r="923" spans="3:5" ht="13.2">
      <c r="C923" s="10"/>
      <c r="D923" s="10"/>
      <c r="E923" s="10"/>
    </row>
    <row r="924" spans="3:5" ht="13.2">
      <c r="C924" s="10"/>
      <c r="D924" s="10"/>
      <c r="E924" s="10"/>
    </row>
    <row r="925" spans="3:5" ht="13.2">
      <c r="C925" s="10"/>
      <c r="D925" s="10"/>
      <c r="E925" s="10"/>
    </row>
    <row r="926" spans="3:5" ht="13.2">
      <c r="C926" s="10"/>
      <c r="D926" s="10"/>
      <c r="E926" s="10"/>
    </row>
    <row r="927" spans="3:5" ht="13.2">
      <c r="C927" s="10"/>
      <c r="D927" s="10"/>
      <c r="E927" s="10"/>
    </row>
    <row r="928" spans="3:5" ht="13.2">
      <c r="C928" s="10"/>
      <c r="D928" s="10"/>
      <c r="E928" s="10"/>
    </row>
    <row r="929" spans="3:5" ht="13.2">
      <c r="C929" s="10"/>
      <c r="D929" s="10"/>
      <c r="E929" s="10"/>
    </row>
    <row r="930" spans="3:5" ht="13.2">
      <c r="C930" s="10"/>
      <c r="D930" s="10"/>
      <c r="E930" s="10"/>
    </row>
    <row r="931" spans="3:5" ht="13.2">
      <c r="C931" s="10"/>
      <c r="D931" s="10"/>
      <c r="E931" s="10"/>
    </row>
    <row r="932" spans="3:5" ht="13.2">
      <c r="C932" s="10"/>
      <c r="D932" s="10"/>
      <c r="E932" s="10"/>
    </row>
    <row r="933" spans="3:5" ht="13.2">
      <c r="C933" s="10"/>
      <c r="D933" s="10"/>
      <c r="E933" s="10"/>
    </row>
    <row r="934" spans="3:5" ht="13.2">
      <c r="C934" s="10"/>
      <c r="D934" s="10"/>
      <c r="E934" s="10"/>
    </row>
    <row r="935" spans="3:5" ht="13.2">
      <c r="C935" s="10"/>
      <c r="D935" s="10"/>
      <c r="E935" s="10"/>
    </row>
    <row r="936" spans="3:5" ht="13.2">
      <c r="C936" s="10"/>
      <c r="D936" s="10"/>
      <c r="E936" s="10"/>
    </row>
    <row r="937" spans="3:5" ht="13.2">
      <c r="C937" s="10"/>
      <c r="D937" s="10"/>
      <c r="E937" s="10"/>
    </row>
    <row r="938" spans="3:5" ht="13.2">
      <c r="C938" s="10"/>
      <c r="D938" s="10"/>
      <c r="E938" s="10"/>
    </row>
    <row r="939" spans="3:5" ht="13.2">
      <c r="C939" s="10"/>
      <c r="D939" s="10"/>
      <c r="E939" s="10"/>
    </row>
    <row r="940" spans="3:5" ht="13.2">
      <c r="C940" s="10"/>
      <c r="D940" s="10"/>
      <c r="E940" s="10"/>
    </row>
    <row r="941" spans="3:5" ht="13.2">
      <c r="C941" s="10"/>
      <c r="D941" s="10"/>
      <c r="E941" s="10"/>
    </row>
    <row r="942" spans="3:5" ht="13.2">
      <c r="C942" s="10"/>
      <c r="D942" s="10"/>
      <c r="E942" s="10"/>
    </row>
    <row r="943" spans="3:5" ht="13.2">
      <c r="C943" s="10"/>
      <c r="D943" s="10"/>
      <c r="E943" s="10"/>
    </row>
    <row r="944" spans="3:5" ht="13.2">
      <c r="C944" s="10"/>
      <c r="D944" s="10"/>
      <c r="E944" s="10"/>
    </row>
    <row r="945" spans="3:5" ht="13.2">
      <c r="C945" s="10"/>
      <c r="D945" s="10"/>
      <c r="E945" s="10"/>
    </row>
    <row r="946" spans="3:5" ht="13.2">
      <c r="C946" s="10"/>
      <c r="D946" s="10"/>
      <c r="E946" s="10"/>
    </row>
    <row r="947" spans="3:5" ht="13.2">
      <c r="C947" s="10"/>
      <c r="D947" s="10"/>
      <c r="E947" s="10"/>
    </row>
    <row r="948" spans="3:5" ht="13.2">
      <c r="C948" s="10"/>
      <c r="D948" s="10"/>
      <c r="E948" s="10"/>
    </row>
    <row r="949" spans="3:5" ht="13.2">
      <c r="C949" s="10"/>
      <c r="D949" s="10"/>
      <c r="E949" s="10"/>
    </row>
    <row r="950" spans="3:5" ht="13.2">
      <c r="C950" s="10"/>
      <c r="D950" s="10"/>
      <c r="E950" s="10"/>
    </row>
    <row r="951" spans="3:5" ht="13.2">
      <c r="C951" s="10"/>
      <c r="D951" s="10"/>
      <c r="E951" s="10"/>
    </row>
    <row r="952" spans="3:5" ht="13.2">
      <c r="C952" s="10"/>
      <c r="D952" s="10"/>
      <c r="E952" s="10"/>
    </row>
    <row r="953" spans="3:5" ht="13.2">
      <c r="C953" s="10"/>
      <c r="D953" s="10"/>
      <c r="E953" s="10"/>
    </row>
    <row r="954" spans="3:5" ht="13.2">
      <c r="C954" s="10"/>
      <c r="D954" s="10"/>
      <c r="E954" s="10"/>
    </row>
    <row r="955" spans="3:5" ht="13.2">
      <c r="C955" s="10"/>
      <c r="D955" s="10"/>
      <c r="E955" s="10"/>
    </row>
    <row r="956" spans="3:5" ht="13.2">
      <c r="C956" s="10"/>
      <c r="D956" s="10"/>
      <c r="E956" s="10"/>
    </row>
    <row r="957" spans="3:5" ht="13.2">
      <c r="C957" s="10"/>
      <c r="D957" s="10"/>
      <c r="E957" s="10"/>
    </row>
    <row r="958" spans="3:5" ht="13.2">
      <c r="C958" s="10"/>
      <c r="D958" s="10"/>
      <c r="E958" s="10"/>
    </row>
    <row r="959" spans="3:5" ht="13.2">
      <c r="C959" s="10"/>
      <c r="D959" s="10"/>
      <c r="E959" s="10"/>
    </row>
    <row r="960" spans="3:5" ht="13.2">
      <c r="C960" s="10"/>
      <c r="D960" s="10"/>
      <c r="E960" s="10"/>
    </row>
    <row r="961" spans="3:5" ht="13.2">
      <c r="C961" s="10"/>
      <c r="D961" s="10"/>
      <c r="E961" s="10"/>
    </row>
    <row r="962" spans="3:5" ht="13.2">
      <c r="C962" s="10"/>
      <c r="D962" s="10"/>
      <c r="E962" s="10"/>
    </row>
    <row r="963" spans="3:5" ht="13.2">
      <c r="C963" s="10"/>
      <c r="D963" s="10"/>
      <c r="E963" s="10"/>
    </row>
    <row r="964" spans="3:5" ht="13.2">
      <c r="C964" s="10"/>
      <c r="D964" s="10"/>
      <c r="E964" s="10"/>
    </row>
    <row r="965" spans="3:5" ht="13.2">
      <c r="C965" s="10"/>
      <c r="D965" s="10"/>
      <c r="E965" s="10"/>
    </row>
    <row r="966" spans="3:5" ht="13.2">
      <c r="C966" s="10"/>
      <c r="D966" s="10"/>
      <c r="E966" s="10"/>
    </row>
    <row r="967" spans="3:5" ht="13.2">
      <c r="C967" s="10"/>
      <c r="D967" s="10"/>
      <c r="E967" s="10"/>
    </row>
    <row r="968" spans="3:5" ht="13.2">
      <c r="C968" s="10"/>
      <c r="D968" s="10"/>
      <c r="E968" s="10"/>
    </row>
    <row r="969" spans="3:5" ht="13.2">
      <c r="C969" s="10"/>
      <c r="D969" s="10"/>
      <c r="E969" s="10"/>
    </row>
    <row r="970" spans="3:5" ht="13.2">
      <c r="C970" s="10"/>
      <c r="D970" s="10"/>
      <c r="E970" s="10"/>
    </row>
    <row r="971" spans="3:5" ht="13.2">
      <c r="C971" s="10"/>
      <c r="D971" s="10"/>
      <c r="E971" s="10"/>
    </row>
    <row r="972" spans="3:5" ht="13.2">
      <c r="C972" s="10"/>
      <c r="D972" s="10"/>
      <c r="E972" s="10"/>
    </row>
    <row r="973" spans="3:5" ht="13.2">
      <c r="C973" s="10"/>
      <c r="D973" s="10"/>
      <c r="E973" s="10"/>
    </row>
    <row r="974" spans="3:5" ht="13.2">
      <c r="C974" s="10"/>
      <c r="D974" s="10"/>
      <c r="E974" s="10"/>
    </row>
    <row r="975" spans="3:5" ht="13.2">
      <c r="C975" s="10"/>
      <c r="D975" s="10"/>
      <c r="E975" s="10"/>
    </row>
    <row r="976" spans="3:5" ht="13.2">
      <c r="C976" s="10"/>
      <c r="D976" s="10"/>
      <c r="E976" s="10"/>
    </row>
    <row r="977" spans="3:5" ht="13.2">
      <c r="C977" s="10"/>
      <c r="D977" s="10"/>
      <c r="E977" s="10"/>
    </row>
    <row r="978" spans="3:5" ht="13.2">
      <c r="C978" s="10"/>
      <c r="D978" s="10"/>
      <c r="E978" s="10"/>
    </row>
    <row r="979" spans="3:5" ht="13.2">
      <c r="C979" s="10"/>
      <c r="D979" s="10"/>
      <c r="E979" s="10"/>
    </row>
    <row r="980" spans="3:5" ht="13.2">
      <c r="C980" s="10"/>
      <c r="D980" s="10"/>
      <c r="E980" s="10"/>
    </row>
    <row r="981" spans="3:5" ht="13.2">
      <c r="C981" s="10"/>
      <c r="D981" s="10"/>
      <c r="E981" s="10"/>
    </row>
    <row r="982" spans="3:5" ht="13.2">
      <c r="C982" s="10"/>
      <c r="D982" s="10"/>
      <c r="E982" s="10"/>
    </row>
    <row r="983" spans="3:5" ht="13.2">
      <c r="C983" s="10"/>
      <c r="D983" s="10"/>
      <c r="E983" s="10"/>
    </row>
    <row r="984" spans="3:5" ht="13.2">
      <c r="C984" s="10"/>
      <c r="D984" s="10"/>
      <c r="E984" s="10"/>
    </row>
    <row r="985" spans="3:5" ht="13.2">
      <c r="C985" s="10"/>
      <c r="D985" s="10"/>
      <c r="E985" s="10"/>
    </row>
    <row r="986" spans="3:5" ht="13.2">
      <c r="C986" s="10"/>
      <c r="D986" s="10"/>
      <c r="E986" s="10"/>
    </row>
    <row r="987" spans="3:5" ht="13.2">
      <c r="C987" s="10"/>
      <c r="D987" s="10"/>
      <c r="E987" s="10"/>
    </row>
    <row r="988" spans="3:5" ht="13.2">
      <c r="C988" s="10"/>
      <c r="D988" s="10"/>
      <c r="E988" s="10"/>
    </row>
    <row r="989" spans="3:5" ht="13.2">
      <c r="C989" s="10"/>
      <c r="D989" s="10"/>
      <c r="E989" s="10"/>
    </row>
    <row r="990" spans="3:5" ht="13.2">
      <c r="C990" s="10"/>
      <c r="D990" s="10"/>
      <c r="E990" s="10"/>
    </row>
    <row r="991" spans="3:5" ht="13.2">
      <c r="C991" s="10"/>
      <c r="D991" s="10"/>
      <c r="E991" s="10"/>
    </row>
    <row r="992" spans="3:5" ht="13.2">
      <c r="C992" s="10"/>
      <c r="D992" s="10"/>
      <c r="E992" s="10"/>
    </row>
    <row r="993" spans="3:5" ht="13.2">
      <c r="C993" s="10"/>
      <c r="D993" s="10"/>
      <c r="E993" s="10"/>
    </row>
    <row r="994" spans="3:5" ht="13.2">
      <c r="C994" s="10"/>
      <c r="D994" s="10"/>
      <c r="E994" s="10"/>
    </row>
    <row r="995" spans="3:5" ht="13.2">
      <c r="C995" s="10"/>
      <c r="D995" s="10"/>
      <c r="E995" s="10"/>
    </row>
    <row r="996" spans="3:5" ht="13.2">
      <c r="C996" s="10"/>
      <c r="D996" s="10"/>
      <c r="E996" s="10"/>
    </row>
    <row r="997" spans="3:5" ht="13.2">
      <c r="C997" s="10"/>
      <c r="D997" s="10"/>
      <c r="E997" s="10"/>
    </row>
    <row r="998" spans="3:5" ht="13.2">
      <c r="C998" s="10"/>
      <c r="D998" s="10"/>
      <c r="E998" s="10"/>
    </row>
    <row r="999" spans="3:5" ht="13.2">
      <c r="C999" s="10"/>
      <c r="D999" s="10"/>
      <c r="E999" s="10"/>
    </row>
    <row r="1000" spans="3:5" ht="13.2">
      <c r="C1000" s="10"/>
      <c r="D1000" s="10"/>
      <c r="E1000" s="10"/>
    </row>
    <row r="1001" spans="3:5" ht="13.2">
      <c r="C1001" s="10"/>
      <c r="D1001" s="10"/>
      <c r="E1001" s="10"/>
    </row>
  </sheetData>
  <mergeCells count="12">
    <mergeCell ref="F1:AE1"/>
    <mergeCell ref="A2:A3"/>
    <mergeCell ref="B2:B3"/>
    <mergeCell ref="G2:K2"/>
    <mergeCell ref="L2:O2"/>
    <mergeCell ref="P2:S2"/>
    <mergeCell ref="T2:W2"/>
    <mergeCell ref="X2:AB2"/>
    <mergeCell ref="AC2:AF2"/>
    <mergeCell ref="AG2:AG3"/>
    <mergeCell ref="AH2:AH3"/>
    <mergeCell ref="AI2:AI3"/>
  </mergeCells>
  <dataValidations count="2">
    <dataValidation type="list" allowBlank="1" showErrorMessage="1" sqref="F4:AF8 F9:Q9 S9:AF9 F10:AF86" xr:uid="{00000000-0002-0000-0500-000000000000}">
      <formula1>"አለ/ች,ቀሪ,ፍቃድ"</formula1>
    </dataValidation>
    <dataValidation type="list" allowBlank="1" showErrorMessage="1" sqref="D4:D19" xr:uid="{00000000-0002-0000-0500-000001000000}">
      <formula1>"ወ,ሴ"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FF"/>
    <outlinePr summaryBelow="0" summaryRight="0"/>
  </sheetPr>
  <dimension ref="A2:AF85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6640625" defaultRowHeight="15.75" customHeight="1"/>
  <cols>
    <col min="2" max="2" width="21.109375" customWidth="1"/>
    <col min="3" max="3" width="9.33203125" customWidth="1"/>
    <col min="4" max="4" width="8.6640625" customWidth="1"/>
  </cols>
  <sheetData>
    <row r="2" spans="1:32" ht="15.75" customHeight="1">
      <c r="A2" s="329" t="s">
        <v>0</v>
      </c>
      <c r="B2" s="329" t="s">
        <v>1</v>
      </c>
      <c r="C2" s="5"/>
      <c r="D2" s="6"/>
      <c r="E2" s="154"/>
      <c r="F2" s="322" t="s">
        <v>2</v>
      </c>
      <c r="G2" s="311"/>
      <c r="H2" s="311"/>
      <c r="I2" s="312"/>
      <c r="J2" s="325" t="s">
        <v>6</v>
      </c>
      <c r="K2" s="311"/>
      <c r="L2" s="311"/>
      <c r="M2" s="311"/>
      <c r="N2" s="312"/>
      <c r="O2" s="325" t="s">
        <v>10</v>
      </c>
      <c r="P2" s="311"/>
      <c r="Q2" s="311"/>
      <c r="R2" s="311"/>
      <c r="S2" s="325" t="s">
        <v>12</v>
      </c>
      <c r="T2" s="311"/>
      <c r="U2" s="311"/>
      <c r="V2" s="311"/>
      <c r="W2" s="325" t="s">
        <v>15</v>
      </c>
      <c r="X2" s="311"/>
      <c r="Y2" s="311"/>
      <c r="Z2" s="311"/>
      <c r="AA2" s="14" t="s">
        <v>17</v>
      </c>
      <c r="AB2" s="22"/>
      <c r="AC2" s="331"/>
      <c r="AD2" s="311"/>
      <c r="AE2" s="311"/>
      <c r="AF2" s="312"/>
    </row>
    <row r="3" spans="1:32" ht="15.75" customHeight="1">
      <c r="A3" s="314"/>
      <c r="B3" s="314"/>
      <c r="C3" s="15" t="s">
        <v>5</v>
      </c>
      <c r="D3" s="15" t="s">
        <v>7</v>
      </c>
      <c r="E3" s="15" t="s">
        <v>8</v>
      </c>
      <c r="F3" s="21">
        <v>4</v>
      </c>
      <c r="G3" s="21">
        <v>11</v>
      </c>
      <c r="H3" s="21">
        <v>18</v>
      </c>
      <c r="I3" s="21">
        <v>25</v>
      </c>
      <c r="J3" s="21">
        <v>2</v>
      </c>
      <c r="K3" s="21">
        <v>9</v>
      </c>
      <c r="L3" s="24">
        <v>16</v>
      </c>
      <c r="M3" s="24">
        <v>23</v>
      </c>
      <c r="N3" s="24">
        <v>30</v>
      </c>
      <c r="O3" s="24">
        <v>7</v>
      </c>
      <c r="P3" s="24">
        <v>14</v>
      </c>
      <c r="Q3" s="24">
        <v>21</v>
      </c>
      <c r="R3" s="24">
        <v>28</v>
      </c>
      <c r="S3" s="24">
        <v>5</v>
      </c>
      <c r="T3" s="24">
        <v>12</v>
      </c>
      <c r="U3" s="27">
        <v>19</v>
      </c>
      <c r="V3" s="27">
        <v>26</v>
      </c>
      <c r="W3" s="24">
        <v>3</v>
      </c>
      <c r="X3" s="24">
        <v>10</v>
      </c>
      <c r="Y3" s="24">
        <v>17</v>
      </c>
      <c r="Z3" s="21">
        <v>24</v>
      </c>
      <c r="AA3" s="21">
        <v>1</v>
      </c>
      <c r="AB3" s="157"/>
      <c r="AC3" s="158"/>
      <c r="AD3" s="158"/>
      <c r="AE3" s="158"/>
      <c r="AF3" s="155"/>
    </row>
    <row r="4" spans="1:32">
      <c r="A4" s="159" t="s">
        <v>678</v>
      </c>
      <c r="B4" s="160" t="s">
        <v>679</v>
      </c>
      <c r="C4" s="82">
        <v>13</v>
      </c>
      <c r="D4" s="82" t="s">
        <v>35</v>
      </c>
      <c r="E4" s="82">
        <v>913579078</v>
      </c>
      <c r="F4" s="45"/>
      <c r="G4" s="42" t="s">
        <v>27</v>
      </c>
      <c r="H4" s="42" t="s">
        <v>27</v>
      </c>
      <c r="I4" s="42"/>
      <c r="J4" s="42"/>
      <c r="K4" s="44"/>
      <c r="L4" s="42" t="s">
        <v>27</v>
      </c>
      <c r="M4" s="42" t="s">
        <v>27</v>
      </c>
      <c r="N4" s="44"/>
      <c r="O4" s="44"/>
      <c r="P4" s="42" t="s">
        <v>27</v>
      </c>
      <c r="Q4" s="44"/>
      <c r="R4" s="42"/>
      <c r="S4" s="42" t="s">
        <v>27</v>
      </c>
      <c r="T4" s="44"/>
      <c r="U4" s="44"/>
      <c r="V4" s="44"/>
      <c r="W4" s="42" t="s">
        <v>27</v>
      </c>
      <c r="X4" s="42" t="s">
        <v>27</v>
      </c>
      <c r="Y4" s="42" t="s">
        <v>27</v>
      </c>
      <c r="Z4" s="44"/>
      <c r="AA4" s="44"/>
      <c r="AB4" s="44"/>
      <c r="AC4" s="42"/>
      <c r="AD4" s="44"/>
      <c r="AE4" s="44"/>
      <c r="AF4" s="46"/>
    </row>
    <row r="5" spans="1:32">
      <c r="A5" s="159" t="s">
        <v>680</v>
      </c>
      <c r="B5" s="160" t="s">
        <v>681</v>
      </c>
      <c r="C5" s="82">
        <v>18</v>
      </c>
      <c r="D5" s="82" t="s">
        <v>35</v>
      </c>
      <c r="E5" s="161">
        <v>983074028</v>
      </c>
      <c r="F5" s="45"/>
      <c r="G5" s="42"/>
      <c r="H5" s="42"/>
      <c r="I5" s="42"/>
      <c r="J5" s="42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6"/>
    </row>
    <row r="6" spans="1:32">
      <c r="A6" s="159" t="s">
        <v>682</v>
      </c>
      <c r="B6" s="162" t="s">
        <v>683</v>
      </c>
      <c r="C6" s="82"/>
      <c r="D6" s="82" t="s">
        <v>26</v>
      </c>
      <c r="E6" s="163">
        <v>913059712</v>
      </c>
      <c r="F6" s="45"/>
      <c r="G6" s="42"/>
      <c r="H6" s="42" t="s">
        <v>27</v>
      </c>
      <c r="I6" s="42" t="s">
        <v>27</v>
      </c>
      <c r="J6" s="42" t="s">
        <v>27</v>
      </c>
      <c r="K6" s="42" t="s">
        <v>27</v>
      </c>
      <c r="L6" s="42" t="s">
        <v>27</v>
      </c>
      <c r="M6" s="44"/>
      <c r="N6" s="44"/>
      <c r="O6" s="44"/>
      <c r="P6" s="42" t="s">
        <v>27</v>
      </c>
      <c r="Q6" s="44"/>
      <c r="R6" s="42" t="s">
        <v>27</v>
      </c>
      <c r="S6" s="44"/>
      <c r="T6" s="44"/>
      <c r="U6" s="44"/>
      <c r="V6" s="44"/>
      <c r="W6" s="44"/>
      <c r="X6" s="44"/>
      <c r="Y6" s="42" t="s">
        <v>27</v>
      </c>
      <c r="Z6" s="44"/>
      <c r="AA6" s="44"/>
      <c r="AB6" s="44"/>
      <c r="AC6" s="42"/>
      <c r="AD6" s="42"/>
      <c r="AE6" s="44"/>
      <c r="AF6" s="46"/>
    </row>
    <row r="7" spans="1:32">
      <c r="A7" s="159" t="s">
        <v>684</v>
      </c>
      <c r="B7" s="160" t="s">
        <v>685</v>
      </c>
      <c r="C7" s="82"/>
      <c r="D7" s="82" t="s">
        <v>26</v>
      </c>
      <c r="E7" s="164">
        <v>910974373</v>
      </c>
      <c r="F7" s="45"/>
      <c r="G7" s="42"/>
      <c r="H7" s="42"/>
      <c r="I7" s="42"/>
      <c r="J7" s="42" t="s">
        <v>27</v>
      </c>
      <c r="K7" s="44"/>
      <c r="L7" s="42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6"/>
    </row>
    <row r="8" spans="1:32">
      <c r="A8" s="159" t="s">
        <v>686</v>
      </c>
      <c r="B8" s="160" t="s">
        <v>687</v>
      </c>
      <c r="C8" s="82">
        <v>16</v>
      </c>
      <c r="D8" s="82" t="s">
        <v>35</v>
      </c>
      <c r="E8" s="82">
        <v>995311164</v>
      </c>
      <c r="F8" s="45"/>
      <c r="G8" s="42"/>
      <c r="H8" s="42"/>
      <c r="I8" s="42"/>
      <c r="J8" s="42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2" t="s">
        <v>27</v>
      </c>
      <c r="Y8" s="42" t="s">
        <v>27</v>
      </c>
      <c r="Z8" s="44"/>
      <c r="AA8" s="44"/>
      <c r="AB8" s="44"/>
      <c r="AC8" s="44"/>
      <c r="AD8" s="44"/>
      <c r="AE8" s="44"/>
      <c r="AF8" s="46"/>
    </row>
    <row r="9" spans="1:32">
      <c r="A9" s="159" t="s">
        <v>688</v>
      </c>
      <c r="B9" s="160" t="s">
        <v>689</v>
      </c>
      <c r="C9" s="82"/>
      <c r="D9" s="82" t="s">
        <v>35</v>
      </c>
      <c r="E9" s="82"/>
      <c r="F9" s="45"/>
      <c r="G9" s="42"/>
      <c r="H9" s="42"/>
      <c r="I9" s="42" t="s">
        <v>19</v>
      </c>
      <c r="J9" s="42" t="s">
        <v>112</v>
      </c>
      <c r="K9" s="44"/>
      <c r="L9" s="44"/>
      <c r="M9" s="44"/>
      <c r="N9" s="44"/>
      <c r="O9" s="44"/>
      <c r="P9" s="44"/>
      <c r="Q9" s="44"/>
      <c r="S9" s="44"/>
      <c r="T9" s="44"/>
      <c r="U9" s="44"/>
      <c r="V9" s="42"/>
      <c r="W9" s="42"/>
      <c r="X9" s="42"/>
      <c r="Y9" s="42"/>
      <c r="Z9" s="42"/>
      <c r="AA9" s="44"/>
      <c r="AB9" s="44"/>
      <c r="AC9" s="42"/>
      <c r="AD9" s="42"/>
      <c r="AE9" s="44"/>
      <c r="AF9" s="46"/>
    </row>
    <row r="10" spans="1:32">
      <c r="A10" s="159" t="s">
        <v>690</v>
      </c>
      <c r="B10" s="160" t="s">
        <v>691</v>
      </c>
      <c r="C10" s="82">
        <v>16</v>
      </c>
      <c r="D10" s="82" t="s">
        <v>35</v>
      </c>
      <c r="E10" s="82">
        <v>970301836</v>
      </c>
      <c r="F10" s="45"/>
      <c r="G10" s="42"/>
      <c r="H10" s="42"/>
      <c r="I10" s="42"/>
      <c r="J10" s="42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6"/>
    </row>
    <row r="11" spans="1:32">
      <c r="A11" s="159" t="s">
        <v>692</v>
      </c>
      <c r="B11" s="160" t="s">
        <v>693</v>
      </c>
      <c r="C11" s="82"/>
      <c r="D11" s="82" t="s">
        <v>35</v>
      </c>
      <c r="E11" s="165">
        <v>911158007</v>
      </c>
      <c r="F11" s="45"/>
      <c r="G11" s="42"/>
      <c r="H11" s="42"/>
      <c r="I11" s="42"/>
      <c r="J11" s="42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6"/>
    </row>
    <row r="12" spans="1:32">
      <c r="A12" s="159" t="s">
        <v>694</v>
      </c>
      <c r="B12" s="160" t="s">
        <v>695</v>
      </c>
      <c r="C12" s="82"/>
      <c r="D12" s="82" t="s">
        <v>35</v>
      </c>
      <c r="E12" s="163">
        <v>972211887</v>
      </c>
      <c r="F12" s="45"/>
      <c r="G12" s="42"/>
      <c r="H12" s="42"/>
      <c r="I12" s="42"/>
      <c r="J12" s="42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2"/>
      <c r="AD12" s="44"/>
      <c r="AE12" s="44"/>
      <c r="AF12" s="46"/>
    </row>
    <row r="13" spans="1:32">
      <c r="A13" s="159" t="s">
        <v>696</v>
      </c>
      <c r="B13" s="166" t="s">
        <v>67</v>
      </c>
      <c r="C13" s="167">
        <v>17</v>
      </c>
      <c r="D13" s="167" t="s">
        <v>26</v>
      </c>
      <c r="E13" s="168">
        <v>986204381</v>
      </c>
      <c r="F13" s="45"/>
      <c r="G13" s="169"/>
      <c r="H13" s="169"/>
      <c r="I13" s="169"/>
      <c r="J13" s="169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42"/>
      <c r="AD13" s="42"/>
      <c r="AE13" s="42"/>
      <c r="AF13" s="46"/>
    </row>
    <row r="14" spans="1:32">
      <c r="A14" s="159" t="s">
        <v>697</v>
      </c>
      <c r="B14" s="160" t="s">
        <v>698</v>
      </c>
      <c r="C14" s="82"/>
      <c r="D14" s="82" t="s">
        <v>35</v>
      </c>
      <c r="E14" s="171">
        <v>940393420</v>
      </c>
      <c r="F14" s="45"/>
      <c r="G14" s="42"/>
      <c r="H14" s="42"/>
      <c r="I14" s="42"/>
      <c r="J14" s="42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6"/>
    </row>
    <row r="15" spans="1:32">
      <c r="A15" s="159" t="s">
        <v>699</v>
      </c>
      <c r="B15" s="160" t="s">
        <v>700</v>
      </c>
      <c r="C15" s="82"/>
      <c r="D15" s="82" t="s">
        <v>35</v>
      </c>
      <c r="E15" s="163">
        <v>910563029</v>
      </c>
      <c r="F15" s="45"/>
      <c r="G15" s="42"/>
      <c r="H15" s="42" t="s">
        <v>27</v>
      </c>
      <c r="I15" s="42" t="s">
        <v>27</v>
      </c>
      <c r="J15" s="42" t="s">
        <v>27</v>
      </c>
      <c r="K15" s="44"/>
      <c r="L15" s="44"/>
      <c r="M15" s="44"/>
      <c r="N15" s="44"/>
      <c r="O15" s="42" t="s">
        <v>19</v>
      </c>
      <c r="P15" s="42" t="s">
        <v>27</v>
      </c>
      <c r="Q15" s="42" t="s">
        <v>27</v>
      </c>
      <c r="R15" s="42" t="s">
        <v>27</v>
      </c>
      <c r="S15" s="44"/>
      <c r="T15" s="42" t="s">
        <v>27</v>
      </c>
      <c r="U15" s="44"/>
      <c r="V15" s="42" t="s">
        <v>27</v>
      </c>
      <c r="W15" s="42" t="s">
        <v>27</v>
      </c>
      <c r="X15" s="42" t="s">
        <v>27</v>
      </c>
      <c r="Y15" s="42" t="s">
        <v>27</v>
      </c>
      <c r="Z15" s="42"/>
      <c r="AA15" s="44"/>
      <c r="AB15" s="44"/>
      <c r="AC15" s="42"/>
      <c r="AD15" s="44"/>
      <c r="AE15" s="44"/>
      <c r="AF15" s="46"/>
    </row>
    <row r="16" spans="1:32">
      <c r="A16" s="159" t="s">
        <v>701</v>
      </c>
      <c r="B16" s="160" t="s">
        <v>702</v>
      </c>
      <c r="C16" s="82">
        <v>16</v>
      </c>
      <c r="D16" s="82" t="s">
        <v>26</v>
      </c>
      <c r="E16" s="82">
        <v>911861551</v>
      </c>
      <c r="F16" s="45"/>
      <c r="G16" s="42"/>
      <c r="H16" s="42"/>
      <c r="I16" s="42"/>
      <c r="J16" s="42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6"/>
    </row>
    <row r="17" spans="1:32">
      <c r="A17" s="159" t="s">
        <v>703</v>
      </c>
      <c r="B17" s="160" t="s">
        <v>704</v>
      </c>
      <c r="C17" s="82">
        <v>18</v>
      </c>
      <c r="D17" s="82" t="s">
        <v>35</v>
      </c>
      <c r="E17" s="82">
        <v>979527555</v>
      </c>
      <c r="F17" s="45"/>
      <c r="G17" s="42"/>
      <c r="H17" s="42"/>
      <c r="I17" s="42"/>
      <c r="J17" s="42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6"/>
    </row>
    <row r="18" spans="1:32">
      <c r="A18" s="159" t="s">
        <v>705</v>
      </c>
      <c r="B18" s="174" t="s">
        <v>706</v>
      </c>
      <c r="C18" s="82">
        <v>18</v>
      </c>
      <c r="D18" s="82" t="s">
        <v>35</v>
      </c>
      <c r="E18" s="175">
        <v>965716692</v>
      </c>
      <c r="F18" s="45"/>
      <c r="G18" s="42" t="s">
        <v>27</v>
      </c>
      <c r="H18" s="42" t="s">
        <v>27</v>
      </c>
      <c r="I18" s="42" t="s">
        <v>27</v>
      </c>
      <c r="J18" s="42" t="s">
        <v>27</v>
      </c>
      <c r="K18" s="44"/>
      <c r="L18" s="42" t="s">
        <v>27</v>
      </c>
      <c r="M18" s="44"/>
      <c r="N18" s="44"/>
      <c r="O18" s="42" t="s">
        <v>27</v>
      </c>
      <c r="P18" s="42" t="s">
        <v>27</v>
      </c>
      <c r="Q18" s="44"/>
      <c r="R18" s="44"/>
      <c r="S18" s="44"/>
      <c r="T18" s="44"/>
      <c r="U18" s="44"/>
      <c r="V18" s="44"/>
      <c r="W18" s="42" t="s">
        <v>27</v>
      </c>
      <c r="X18" s="42" t="s">
        <v>27</v>
      </c>
      <c r="Y18" s="42" t="s">
        <v>27</v>
      </c>
      <c r="Z18" s="44"/>
      <c r="AA18" s="44"/>
      <c r="AB18" s="44"/>
      <c r="AC18" s="44"/>
      <c r="AD18" s="42"/>
      <c r="AE18" s="44"/>
      <c r="AF18" s="46"/>
    </row>
    <row r="19" spans="1:32">
      <c r="A19" s="159" t="s">
        <v>707</v>
      </c>
      <c r="B19" s="160" t="s">
        <v>708</v>
      </c>
      <c r="C19" s="82"/>
      <c r="D19" s="82" t="s">
        <v>35</v>
      </c>
      <c r="E19" s="163">
        <v>911220342</v>
      </c>
      <c r="F19" s="45"/>
      <c r="G19" s="42"/>
      <c r="H19" s="42"/>
      <c r="I19" s="42"/>
      <c r="J19" s="42"/>
      <c r="K19" s="44"/>
      <c r="L19" s="44"/>
      <c r="M19" s="44"/>
      <c r="N19" s="44"/>
      <c r="O19" s="44"/>
      <c r="P19" s="44"/>
      <c r="Q19" s="44"/>
      <c r="R19" s="42" t="s">
        <v>27</v>
      </c>
      <c r="S19" s="44"/>
      <c r="T19" s="44"/>
      <c r="U19" s="44"/>
      <c r="V19" s="42" t="s">
        <v>27</v>
      </c>
      <c r="W19" s="42" t="s">
        <v>27</v>
      </c>
      <c r="X19" s="44"/>
      <c r="Y19" s="42" t="s">
        <v>27</v>
      </c>
      <c r="Z19" s="44"/>
      <c r="AA19" s="44"/>
      <c r="AB19" s="44"/>
      <c r="AC19" s="44"/>
      <c r="AD19" s="42"/>
      <c r="AE19" s="44"/>
      <c r="AF19" s="46"/>
    </row>
    <row r="20" spans="1:32">
      <c r="A20" s="159" t="s">
        <v>709</v>
      </c>
      <c r="B20" s="176" t="s">
        <v>710</v>
      </c>
      <c r="C20" s="177">
        <v>21</v>
      </c>
      <c r="D20" s="177" t="s">
        <v>35</v>
      </c>
      <c r="E20" s="178">
        <v>984207298</v>
      </c>
      <c r="F20" s="45"/>
      <c r="G20" s="42"/>
      <c r="H20" s="42"/>
      <c r="I20" s="42"/>
      <c r="J20" s="42"/>
      <c r="K20" s="42" t="s">
        <v>27</v>
      </c>
      <c r="L20" s="42" t="s">
        <v>27</v>
      </c>
      <c r="M20" s="44"/>
      <c r="N20" s="44"/>
      <c r="O20" s="44"/>
      <c r="P20" s="44"/>
      <c r="Q20" s="44"/>
      <c r="R20" s="42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6"/>
    </row>
    <row r="21" spans="1:32">
      <c r="A21" s="159" t="s">
        <v>711</v>
      </c>
      <c r="B21" s="179" t="s">
        <v>712</v>
      </c>
      <c r="C21" s="180"/>
      <c r="D21" s="177" t="s">
        <v>35</v>
      </c>
      <c r="E21" s="178">
        <v>954997215</v>
      </c>
      <c r="F21" s="45"/>
      <c r="G21" s="42"/>
      <c r="H21" s="42"/>
      <c r="I21" s="42"/>
      <c r="J21" s="42"/>
      <c r="K21" s="44"/>
      <c r="L21" s="42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2"/>
      <c r="Y21" s="42"/>
      <c r="Z21" s="42"/>
      <c r="AA21" s="44"/>
      <c r="AB21" s="44"/>
      <c r="AC21" s="44"/>
      <c r="AD21" s="42"/>
      <c r="AE21" s="44"/>
      <c r="AF21" s="46"/>
    </row>
    <row r="22" spans="1:32">
      <c r="A22" s="159" t="s">
        <v>713</v>
      </c>
      <c r="B22" s="179" t="s">
        <v>714</v>
      </c>
      <c r="C22" s="180"/>
      <c r="D22" s="177" t="s">
        <v>35</v>
      </c>
      <c r="E22" s="181">
        <v>912959496</v>
      </c>
      <c r="F22" s="45"/>
      <c r="G22" s="42"/>
      <c r="H22" s="42"/>
      <c r="I22" s="42"/>
      <c r="J22" s="42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6"/>
    </row>
    <row r="23" spans="1:32">
      <c r="A23" s="159" t="s">
        <v>715</v>
      </c>
      <c r="B23" s="179" t="s">
        <v>716</v>
      </c>
      <c r="C23" s="180"/>
      <c r="D23" s="177" t="s">
        <v>26</v>
      </c>
      <c r="E23" s="181">
        <v>911602070</v>
      </c>
      <c r="F23" s="45"/>
      <c r="G23" s="42"/>
      <c r="H23" s="42"/>
      <c r="I23" s="42"/>
      <c r="J23" s="42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6"/>
    </row>
    <row r="24" spans="1:32">
      <c r="A24" s="159" t="s">
        <v>717</v>
      </c>
      <c r="B24" s="182" t="s">
        <v>718</v>
      </c>
      <c r="C24" s="180"/>
      <c r="D24" s="177" t="s">
        <v>35</v>
      </c>
      <c r="E24" s="177">
        <v>943041742</v>
      </c>
      <c r="F24" s="45"/>
      <c r="G24" s="42"/>
      <c r="H24" s="42"/>
      <c r="I24" s="42"/>
      <c r="J24" s="42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6"/>
    </row>
    <row r="25" spans="1:32">
      <c r="A25" s="159" t="s">
        <v>719</v>
      </c>
      <c r="B25" s="179" t="s">
        <v>720</v>
      </c>
      <c r="C25" s="177">
        <v>17</v>
      </c>
      <c r="D25" s="177" t="s">
        <v>35</v>
      </c>
      <c r="E25" s="181">
        <v>911306478</v>
      </c>
      <c r="F25" s="45"/>
      <c r="G25" s="42"/>
      <c r="H25" s="42" t="s">
        <v>27</v>
      </c>
      <c r="I25" s="42" t="s">
        <v>27</v>
      </c>
      <c r="J25" s="42" t="s">
        <v>27</v>
      </c>
      <c r="K25" s="44"/>
      <c r="L25" s="42"/>
      <c r="M25" s="42" t="s">
        <v>27</v>
      </c>
      <c r="N25" s="42" t="s">
        <v>27</v>
      </c>
      <c r="O25" s="44"/>
      <c r="P25" s="42" t="s">
        <v>27</v>
      </c>
      <c r="Q25" s="44"/>
      <c r="R25" s="42" t="s">
        <v>27</v>
      </c>
      <c r="S25" s="42"/>
      <c r="T25" s="42"/>
      <c r="U25" s="42"/>
      <c r="V25" s="44"/>
      <c r="W25" s="42" t="s">
        <v>27</v>
      </c>
      <c r="X25" s="42"/>
      <c r="Y25" s="42" t="s">
        <v>27</v>
      </c>
      <c r="Z25" s="42"/>
      <c r="AA25" s="44"/>
      <c r="AB25" s="44"/>
      <c r="AC25" s="42"/>
      <c r="AD25" s="44"/>
      <c r="AE25" s="44"/>
      <c r="AF25" s="46"/>
    </row>
    <row r="26" spans="1:32">
      <c r="A26" s="159" t="s">
        <v>721</v>
      </c>
      <c r="B26" s="176" t="s">
        <v>722</v>
      </c>
      <c r="C26" s="177">
        <v>23</v>
      </c>
      <c r="D26" s="177" t="s">
        <v>35</v>
      </c>
      <c r="E26" s="178">
        <v>963690076</v>
      </c>
      <c r="F26" s="45"/>
      <c r="G26" s="42"/>
      <c r="H26" s="42" t="s">
        <v>27</v>
      </c>
      <c r="I26" s="42"/>
      <c r="J26" s="42"/>
      <c r="K26" s="44"/>
      <c r="L26" s="42" t="s">
        <v>27</v>
      </c>
      <c r="M26" s="42" t="s">
        <v>27</v>
      </c>
      <c r="N26" s="44"/>
      <c r="O26" s="44"/>
      <c r="P26" s="42" t="s">
        <v>27</v>
      </c>
      <c r="Q26" s="44"/>
      <c r="R26" s="42" t="s">
        <v>27</v>
      </c>
      <c r="S26" s="44"/>
      <c r="T26" s="44"/>
      <c r="U26" s="44"/>
      <c r="V26" s="44"/>
      <c r="W26" s="44"/>
      <c r="X26" s="44"/>
      <c r="Y26" s="42" t="s">
        <v>27</v>
      </c>
      <c r="Z26" s="44"/>
      <c r="AA26" s="44"/>
      <c r="AB26" s="44"/>
      <c r="AC26" s="42"/>
      <c r="AD26" s="44"/>
      <c r="AE26" s="44"/>
      <c r="AF26" s="46"/>
    </row>
    <row r="27" spans="1:32">
      <c r="A27" s="159" t="s">
        <v>723</v>
      </c>
      <c r="B27" s="179" t="s">
        <v>724</v>
      </c>
      <c r="C27" s="180"/>
      <c r="D27" s="177" t="s">
        <v>35</v>
      </c>
      <c r="E27" s="181">
        <v>912173333</v>
      </c>
      <c r="F27" s="45"/>
      <c r="G27" s="42"/>
      <c r="H27" s="42"/>
      <c r="I27" s="42"/>
      <c r="J27" s="42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6"/>
    </row>
    <row r="28" spans="1:32">
      <c r="A28" s="159" t="s">
        <v>725</v>
      </c>
      <c r="B28" s="179" t="s">
        <v>726</v>
      </c>
      <c r="C28" s="180"/>
      <c r="D28" s="177" t="s">
        <v>35</v>
      </c>
      <c r="E28" s="178">
        <v>948191466</v>
      </c>
      <c r="F28" s="45"/>
      <c r="G28" s="42"/>
      <c r="H28" s="42"/>
      <c r="I28" s="42"/>
      <c r="J28" s="42"/>
      <c r="K28" s="44"/>
      <c r="L28" s="44"/>
      <c r="M28" s="44"/>
      <c r="N28" s="44"/>
      <c r="O28" s="44"/>
      <c r="P28" s="44"/>
      <c r="Q28" s="44"/>
      <c r="R28" s="44"/>
      <c r="S28" s="44"/>
      <c r="T28" s="42"/>
      <c r="U28" s="44"/>
      <c r="V28" s="44"/>
      <c r="W28" s="42"/>
      <c r="X28" s="44"/>
      <c r="Y28" s="42"/>
      <c r="Z28" s="44"/>
      <c r="AA28" s="44"/>
      <c r="AB28" s="44"/>
      <c r="AC28" s="44"/>
      <c r="AD28" s="44"/>
      <c r="AE28" s="44"/>
      <c r="AF28" s="46"/>
    </row>
    <row r="29" spans="1:32">
      <c r="A29" s="159" t="s">
        <v>727</v>
      </c>
      <c r="B29" s="179" t="s">
        <v>728</v>
      </c>
      <c r="C29" s="177">
        <v>15</v>
      </c>
      <c r="D29" s="177" t="s">
        <v>26</v>
      </c>
      <c r="E29" s="181">
        <v>914857670</v>
      </c>
      <c r="F29" s="45"/>
      <c r="G29" s="42"/>
      <c r="H29" s="42"/>
      <c r="I29" s="42"/>
      <c r="J29" s="42"/>
      <c r="K29" s="42"/>
      <c r="L29" s="42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6"/>
    </row>
    <row r="30" spans="1:32">
      <c r="A30" s="159" t="s">
        <v>729</v>
      </c>
      <c r="B30" s="176" t="s">
        <v>730</v>
      </c>
      <c r="C30" s="177">
        <v>26</v>
      </c>
      <c r="D30" s="177" t="s">
        <v>26</v>
      </c>
      <c r="E30" s="178">
        <v>985471567</v>
      </c>
      <c r="F30" s="45"/>
      <c r="G30" s="42"/>
      <c r="H30" s="42" t="s">
        <v>27</v>
      </c>
      <c r="I30" s="42"/>
      <c r="J30" s="42"/>
      <c r="K30" s="44"/>
      <c r="L30" s="44"/>
      <c r="M30" s="44"/>
      <c r="N30" s="44"/>
      <c r="O30" s="44"/>
      <c r="P30" s="44"/>
      <c r="Q30" s="44"/>
      <c r="R30" s="42"/>
      <c r="S30" s="44"/>
      <c r="T30" s="44"/>
      <c r="U30" s="44"/>
      <c r="V30" s="44"/>
      <c r="W30" s="44"/>
      <c r="X30" s="44"/>
      <c r="Y30" s="42" t="s">
        <v>27</v>
      </c>
      <c r="Z30" s="44"/>
      <c r="AA30" s="44"/>
      <c r="AB30" s="44"/>
      <c r="AC30" s="42"/>
      <c r="AD30" s="42"/>
      <c r="AE30" s="44"/>
      <c r="AF30" s="46"/>
    </row>
    <row r="31" spans="1:32">
      <c r="A31" s="159" t="s">
        <v>731</v>
      </c>
      <c r="B31" s="176" t="s">
        <v>732</v>
      </c>
      <c r="C31" s="177">
        <v>23</v>
      </c>
      <c r="D31" s="177" t="s">
        <v>35</v>
      </c>
      <c r="E31" s="178">
        <v>995002831</v>
      </c>
      <c r="F31" s="45"/>
      <c r="G31" s="42"/>
      <c r="H31" s="42"/>
      <c r="I31" s="42" t="s">
        <v>27</v>
      </c>
      <c r="J31" s="42" t="s">
        <v>27</v>
      </c>
      <c r="K31" s="44"/>
      <c r="L31" s="44"/>
      <c r="M31" s="42" t="s">
        <v>27</v>
      </c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2"/>
      <c r="AD31" s="44"/>
      <c r="AE31" s="44"/>
      <c r="AF31" s="46"/>
    </row>
    <row r="32" spans="1:32">
      <c r="A32" s="159" t="s">
        <v>733</v>
      </c>
      <c r="B32" s="179" t="s">
        <v>734</v>
      </c>
      <c r="C32" s="180"/>
      <c r="D32" s="177" t="s">
        <v>26</v>
      </c>
      <c r="E32" s="181">
        <v>913959829</v>
      </c>
      <c r="F32" s="45"/>
      <c r="G32" s="42"/>
      <c r="H32" s="42"/>
      <c r="I32" s="42"/>
      <c r="J32" s="42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6"/>
    </row>
    <row r="33" spans="1:32">
      <c r="A33" s="159" t="s">
        <v>735</v>
      </c>
      <c r="B33" s="176" t="s">
        <v>736</v>
      </c>
      <c r="C33" s="177">
        <v>23</v>
      </c>
      <c r="D33" s="177" t="s">
        <v>35</v>
      </c>
      <c r="E33" s="178">
        <v>924152555</v>
      </c>
      <c r="F33" s="45"/>
      <c r="G33" s="42"/>
      <c r="H33" s="42" t="s">
        <v>27</v>
      </c>
      <c r="I33" s="42"/>
      <c r="J33" s="42"/>
      <c r="K33" s="44"/>
      <c r="L33" s="44"/>
      <c r="M33" s="44"/>
      <c r="N33" s="44"/>
      <c r="O33" s="44"/>
      <c r="P33" s="42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2"/>
      <c r="AD33" s="42"/>
      <c r="AE33" s="44"/>
      <c r="AF33" s="46"/>
    </row>
    <row r="34" spans="1:32" ht="13.8">
      <c r="A34" s="159" t="s">
        <v>737</v>
      </c>
      <c r="B34" s="176" t="s">
        <v>738</v>
      </c>
      <c r="C34" s="180"/>
      <c r="D34" s="177" t="s">
        <v>35</v>
      </c>
      <c r="E34" s="178">
        <v>902711356</v>
      </c>
      <c r="F34" s="45"/>
      <c r="G34" s="42"/>
      <c r="H34" s="42"/>
      <c r="I34" s="42"/>
      <c r="J34" s="42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6"/>
    </row>
    <row r="35" spans="1:32" ht="13.8">
      <c r="A35" s="159" t="s">
        <v>739</v>
      </c>
      <c r="B35" s="176" t="s">
        <v>740</v>
      </c>
      <c r="C35" s="177">
        <v>26</v>
      </c>
      <c r="D35" s="177" t="s">
        <v>35</v>
      </c>
      <c r="E35" s="178">
        <v>937445610</v>
      </c>
      <c r="F35" s="45"/>
      <c r="G35" s="42"/>
      <c r="H35" s="42" t="s">
        <v>19</v>
      </c>
      <c r="I35" s="42" t="s">
        <v>19</v>
      </c>
      <c r="J35" s="42" t="s">
        <v>27</v>
      </c>
      <c r="K35" s="44"/>
      <c r="L35" s="44"/>
      <c r="M35" s="44"/>
      <c r="N35" s="44"/>
      <c r="O35" s="44"/>
      <c r="P35" s="44"/>
      <c r="Q35" s="42"/>
      <c r="R35" s="44"/>
      <c r="S35" s="44"/>
      <c r="T35" s="44"/>
      <c r="U35" s="44"/>
      <c r="V35" s="44"/>
      <c r="W35" s="44"/>
      <c r="X35" s="42"/>
      <c r="Y35" s="42"/>
      <c r="Z35" s="44"/>
      <c r="AA35" s="44"/>
      <c r="AB35" s="44"/>
      <c r="AC35" s="44"/>
      <c r="AD35" s="44"/>
      <c r="AE35" s="44"/>
      <c r="AF35" s="46"/>
    </row>
    <row r="36" spans="1:32" ht="13.8">
      <c r="A36" s="159" t="s">
        <v>741</v>
      </c>
      <c r="B36" s="176" t="s">
        <v>742</v>
      </c>
      <c r="C36" s="180"/>
      <c r="D36" s="177" t="s">
        <v>26</v>
      </c>
      <c r="E36" s="178">
        <v>963170384</v>
      </c>
      <c r="F36" s="45"/>
      <c r="G36" s="42"/>
      <c r="H36" s="42"/>
      <c r="I36" s="42"/>
      <c r="J36" s="42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2" t="s">
        <v>27</v>
      </c>
      <c r="Y36" s="42" t="s">
        <v>27</v>
      </c>
      <c r="Z36" s="44"/>
      <c r="AA36" s="44"/>
      <c r="AB36" s="44"/>
      <c r="AC36" s="44"/>
      <c r="AD36" s="44"/>
      <c r="AE36" s="44"/>
      <c r="AF36" s="46"/>
    </row>
    <row r="37" spans="1:32" ht="13.8">
      <c r="A37" s="159" t="s">
        <v>743</v>
      </c>
      <c r="B37" s="179" t="s">
        <v>744</v>
      </c>
      <c r="C37" s="177">
        <v>17</v>
      </c>
      <c r="D37" s="177" t="s">
        <v>26</v>
      </c>
      <c r="E37" s="181">
        <v>901021405</v>
      </c>
      <c r="F37" s="45"/>
      <c r="G37" s="42"/>
      <c r="H37" s="42"/>
      <c r="I37" s="42"/>
      <c r="J37" s="42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6"/>
    </row>
    <row r="38" spans="1:32" ht="13.8">
      <c r="A38" s="159" t="s">
        <v>745</v>
      </c>
      <c r="B38" s="179" t="s">
        <v>746</v>
      </c>
      <c r="C38" s="180"/>
      <c r="D38" s="177" t="s">
        <v>26</v>
      </c>
      <c r="E38" s="181">
        <v>912878321</v>
      </c>
      <c r="F38" s="45"/>
      <c r="G38" s="42" t="s">
        <v>27</v>
      </c>
      <c r="H38" s="42" t="s">
        <v>27</v>
      </c>
      <c r="I38" s="42"/>
      <c r="J38" s="42"/>
      <c r="K38" s="44"/>
      <c r="L38" s="42" t="s">
        <v>27</v>
      </c>
      <c r="M38" s="42" t="s">
        <v>27</v>
      </c>
      <c r="N38" s="44"/>
      <c r="O38" s="42" t="s">
        <v>27</v>
      </c>
      <c r="P38" s="42" t="s">
        <v>27</v>
      </c>
      <c r="Q38" s="44"/>
      <c r="R38" s="42" t="s">
        <v>27</v>
      </c>
      <c r="S38" s="44"/>
      <c r="T38" s="44"/>
      <c r="U38" s="44"/>
      <c r="V38" s="44"/>
      <c r="W38" s="42" t="s">
        <v>27</v>
      </c>
      <c r="X38" s="42" t="s">
        <v>27</v>
      </c>
      <c r="Y38" s="42" t="s">
        <v>27</v>
      </c>
      <c r="Z38" s="44"/>
      <c r="AA38" s="44"/>
      <c r="AB38" s="44"/>
      <c r="AC38" s="42"/>
      <c r="AD38" s="42"/>
      <c r="AE38" s="44"/>
      <c r="AF38" s="46"/>
    </row>
    <row r="39" spans="1:32" ht="13.8">
      <c r="A39" s="159" t="s">
        <v>747</v>
      </c>
      <c r="B39" s="176" t="s">
        <v>748</v>
      </c>
      <c r="C39" s="180"/>
      <c r="D39" s="177" t="s">
        <v>26</v>
      </c>
      <c r="E39" s="178">
        <v>936441706</v>
      </c>
      <c r="F39" s="45"/>
      <c r="G39" s="42" t="s">
        <v>27</v>
      </c>
      <c r="H39" s="42" t="s">
        <v>27</v>
      </c>
      <c r="I39" s="42" t="s">
        <v>27</v>
      </c>
      <c r="J39" s="42" t="s">
        <v>27</v>
      </c>
      <c r="K39" s="44"/>
      <c r="L39" s="44"/>
      <c r="M39" s="44"/>
      <c r="N39" s="44"/>
      <c r="O39" s="44"/>
      <c r="P39" s="44"/>
      <c r="Q39" s="44"/>
      <c r="R39" s="42" t="s">
        <v>27</v>
      </c>
      <c r="S39" s="44"/>
      <c r="T39" s="44"/>
      <c r="U39" s="44"/>
      <c r="V39" s="44"/>
      <c r="W39" s="44"/>
      <c r="X39" s="44"/>
      <c r="Y39" s="42"/>
      <c r="Z39" s="44"/>
      <c r="AA39" s="44"/>
      <c r="AB39" s="44"/>
      <c r="AC39" s="44"/>
      <c r="AD39" s="44"/>
      <c r="AE39" s="44"/>
      <c r="AF39" s="46"/>
    </row>
    <row r="40" spans="1:32" ht="13.8">
      <c r="A40" s="159" t="s">
        <v>749</v>
      </c>
      <c r="B40" s="176" t="s">
        <v>750</v>
      </c>
      <c r="C40" s="180"/>
      <c r="D40" s="177" t="s">
        <v>26</v>
      </c>
      <c r="E40" s="178">
        <v>914835621</v>
      </c>
      <c r="F40" s="45"/>
      <c r="G40" s="42" t="s">
        <v>27</v>
      </c>
      <c r="H40" s="42"/>
      <c r="I40" s="42"/>
      <c r="J40" s="42"/>
      <c r="K40" s="44"/>
      <c r="L40" s="44"/>
      <c r="M40" s="44"/>
      <c r="N40" s="44"/>
      <c r="O40" s="44"/>
      <c r="P40" s="44"/>
      <c r="Q40" s="44"/>
      <c r="R40" s="42" t="s">
        <v>27</v>
      </c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2"/>
      <c r="AE40" s="44"/>
      <c r="AF40" s="46"/>
    </row>
    <row r="41" spans="1:32" ht="13.8">
      <c r="A41" s="159" t="s">
        <v>751</v>
      </c>
      <c r="B41" s="176" t="s">
        <v>752</v>
      </c>
      <c r="C41" s="180"/>
      <c r="D41" s="177" t="s">
        <v>35</v>
      </c>
      <c r="E41" s="178">
        <v>946616529</v>
      </c>
      <c r="F41" s="45"/>
      <c r="G41" s="42"/>
      <c r="H41" s="42"/>
      <c r="I41" s="42"/>
      <c r="J41" s="42"/>
      <c r="K41" s="44"/>
      <c r="L41" s="42"/>
      <c r="M41" s="42" t="s">
        <v>27</v>
      </c>
      <c r="N41" s="44"/>
      <c r="O41" s="44"/>
      <c r="P41" s="44"/>
      <c r="Q41" s="44"/>
      <c r="R41" s="42" t="s">
        <v>27</v>
      </c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6"/>
    </row>
    <row r="42" spans="1:32" ht="13.8">
      <c r="A42" s="159" t="s">
        <v>753</v>
      </c>
      <c r="B42" s="179" t="s">
        <v>754</v>
      </c>
      <c r="C42" s="177">
        <v>18</v>
      </c>
      <c r="D42" s="177" t="s">
        <v>26</v>
      </c>
      <c r="E42" s="181">
        <v>911991218</v>
      </c>
      <c r="F42" s="45"/>
      <c r="G42" s="42"/>
      <c r="H42" s="42"/>
      <c r="I42" s="42"/>
      <c r="J42" s="42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6"/>
    </row>
    <row r="43" spans="1:32" ht="13.8">
      <c r="A43" s="159" t="s">
        <v>757</v>
      </c>
      <c r="B43" s="179" t="s">
        <v>758</v>
      </c>
      <c r="C43" s="180"/>
      <c r="D43" s="177" t="s">
        <v>35</v>
      </c>
      <c r="E43" s="197">
        <v>969064737</v>
      </c>
      <c r="F43" s="45"/>
      <c r="G43" s="42" t="s">
        <v>19</v>
      </c>
      <c r="H43" s="42" t="s">
        <v>27</v>
      </c>
      <c r="I43" s="42" t="s">
        <v>19</v>
      </c>
      <c r="J43" s="42" t="s">
        <v>27</v>
      </c>
      <c r="K43" s="44"/>
      <c r="L43" s="44"/>
      <c r="M43" s="44"/>
      <c r="N43" s="44"/>
      <c r="O43" s="44"/>
      <c r="P43" s="42" t="s">
        <v>27</v>
      </c>
      <c r="Q43" s="44"/>
      <c r="R43" s="42" t="s">
        <v>27</v>
      </c>
      <c r="S43" s="44"/>
      <c r="T43" s="44"/>
      <c r="U43" s="44"/>
      <c r="V43" s="44"/>
      <c r="W43" s="42" t="s">
        <v>27</v>
      </c>
      <c r="X43" s="44"/>
      <c r="Y43" s="42" t="s">
        <v>27</v>
      </c>
      <c r="Z43" s="44"/>
      <c r="AA43" s="44"/>
      <c r="AB43" s="44"/>
      <c r="AC43" s="42"/>
      <c r="AD43" s="44"/>
      <c r="AE43" s="44"/>
      <c r="AF43" s="46"/>
    </row>
    <row r="44" spans="1:32" ht="13.8">
      <c r="A44" s="159" t="s">
        <v>759</v>
      </c>
      <c r="B44" s="179" t="s">
        <v>760</v>
      </c>
      <c r="C44" s="200"/>
      <c r="D44" s="177" t="s">
        <v>35</v>
      </c>
      <c r="E44" s="177">
        <v>911861551</v>
      </c>
      <c r="F44" s="45"/>
      <c r="G44" s="42"/>
      <c r="H44" s="42"/>
      <c r="I44" s="42"/>
      <c r="J44" s="42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6"/>
    </row>
    <row r="45" spans="1:32" ht="13.8">
      <c r="A45" s="159" t="s">
        <v>761</v>
      </c>
      <c r="B45" s="176" t="s">
        <v>762</v>
      </c>
      <c r="C45" s="180"/>
      <c r="D45" s="177" t="s">
        <v>35</v>
      </c>
      <c r="E45" s="181">
        <v>977133373</v>
      </c>
      <c r="F45" s="45"/>
      <c r="G45" s="42"/>
      <c r="H45" s="42" t="s">
        <v>27</v>
      </c>
      <c r="I45" s="42"/>
      <c r="J45" s="42"/>
      <c r="K45" s="44"/>
      <c r="L45" s="42"/>
      <c r="M45" s="42"/>
      <c r="N45" s="42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2"/>
      <c r="AE45" s="44"/>
      <c r="AF45" s="46"/>
    </row>
    <row r="46" spans="1:32" ht="13.8">
      <c r="A46" s="159" t="s">
        <v>763</v>
      </c>
      <c r="B46" s="176" t="s">
        <v>764</v>
      </c>
      <c r="C46" s="177">
        <v>20</v>
      </c>
      <c r="D46" s="177" t="s">
        <v>35</v>
      </c>
      <c r="E46" s="178">
        <v>930253213</v>
      </c>
      <c r="F46" s="45"/>
      <c r="G46" s="42"/>
      <c r="H46" s="42"/>
      <c r="I46" s="42"/>
      <c r="J46" s="42"/>
      <c r="K46" s="44"/>
      <c r="L46" s="44"/>
      <c r="M46" s="44"/>
      <c r="N46" s="44"/>
      <c r="O46" s="44"/>
      <c r="P46" s="44"/>
      <c r="Q46" s="44"/>
      <c r="R46" s="42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6"/>
    </row>
    <row r="47" spans="1:32" ht="13.8">
      <c r="A47" s="159" t="s">
        <v>765</v>
      </c>
      <c r="B47" s="179" t="s">
        <v>766</v>
      </c>
      <c r="C47" s="177">
        <v>28</v>
      </c>
      <c r="D47" s="177" t="s">
        <v>26</v>
      </c>
      <c r="E47" s="177">
        <v>975871283</v>
      </c>
      <c r="F47" s="45"/>
      <c r="G47" s="42"/>
      <c r="H47" s="42"/>
      <c r="I47" s="42"/>
      <c r="J47" s="42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2"/>
      <c r="AD47" s="42"/>
      <c r="AE47" s="44"/>
      <c r="AF47" s="46"/>
    </row>
    <row r="48" spans="1:32" ht="13.8">
      <c r="A48" s="159" t="s">
        <v>767</v>
      </c>
      <c r="B48" s="179" t="s">
        <v>768</v>
      </c>
      <c r="C48" s="180"/>
      <c r="D48" s="177" t="s">
        <v>35</v>
      </c>
      <c r="E48" s="181">
        <v>989969727</v>
      </c>
      <c r="F48" s="45"/>
      <c r="G48" s="42" t="s">
        <v>27</v>
      </c>
      <c r="H48" s="42" t="s">
        <v>27</v>
      </c>
      <c r="I48" s="42"/>
      <c r="J48" s="42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2" t="s">
        <v>27</v>
      </c>
      <c r="Y48" s="42" t="s">
        <v>27</v>
      </c>
      <c r="Z48" s="44"/>
      <c r="AA48" s="44"/>
      <c r="AB48" s="44"/>
      <c r="AC48" s="44"/>
      <c r="AD48" s="44"/>
      <c r="AE48" s="44"/>
      <c r="AF48" s="46"/>
    </row>
    <row r="49" spans="1:32" ht="13.8">
      <c r="A49" s="159" t="s">
        <v>769</v>
      </c>
      <c r="B49" s="176" t="s">
        <v>770</v>
      </c>
      <c r="C49" s="180"/>
      <c r="D49" s="177" t="s">
        <v>35</v>
      </c>
      <c r="E49" s="178">
        <v>940166212</v>
      </c>
      <c r="F49" s="45"/>
      <c r="G49" s="42"/>
      <c r="H49" s="42"/>
      <c r="I49" s="42"/>
      <c r="J49" s="42"/>
      <c r="K49" s="44"/>
      <c r="L49" s="42" t="s">
        <v>27</v>
      </c>
      <c r="M49" s="42" t="s">
        <v>27</v>
      </c>
      <c r="N49" s="44"/>
      <c r="O49" s="44"/>
      <c r="P49" s="42" t="s">
        <v>27</v>
      </c>
      <c r="Q49" s="44"/>
      <c r="R49" s="42" t="s">
        <v>27</v>
      </c>
      <c r="S49" s="44"/>
      <c r="T49" s="44"/>
      <c r="U49" s="44"/>
      <c r="V49" s="44"/>
      <c r="W49" s="44"/>
      <c r="X49" s="44"/>
      <c r="Y49" s="44"/>
      <c r="Z49" s="42"/>
      <c r="AA49" s="44"/>
      <c r="AB49" s="44"/>
      <c r="AC49" s="42"/>
      <c r="AD49" s="44"/>
      <c r="AE49" s="44"/>
      <c r="AF49" s="46"/>
    </row>
    <row r="50" spans="1:32" ht="13.8">
      <c r="A50" s="159" t="s">
        <v>771</v>
      </c>
      <c r="B50" s="179" t="s">
        <v>772</v>
      </c>
      <c r="C50" s="177">
        <v>16</v>
      </c>
      <c r="D50" s="177" t="s">
        <v>26</v>
      </c>
      <c r="E50" s="177">
        <v>906635039</v>
      </c>
      <c r="F50" s="45"/>
      <c r="G50" s="42" t="s">
        <v>27</v>
      </c>
      <c r="H50" s="42"/>
      <c r="I50" s="42"/>
      <c r="J50" s="42" t="s">
        <v>27</v>
      </c>
      <c r="K50" s="44"/>
      <c r="L50" s="44"/>
      <c r="M50" s="44"/>
      <c r="N50" s="42"/>
      <c r="O50" s="44"/>
      <c r="P50" s="44"/>
      <c r="Q50" s="44"/>
      <c r="R50" s="42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2"/>
      <c r="AE50" s="44"/>
      <c r="AF50" s="46"/>
    </row>
    <row r="51" spans="1:32" ht="13.8">
      <c r="A51" s="159" t="s">
        <v>773</v>
      </c>
      <c r="B51" s="179" t="s">
        <v>774</v>
      </c>
      <c r="C51" s="177">
        <v>16</v>
      </c>
      <c r="D51" s="177" t="s">
        <v>26</v>
      </c>
      <c r="E51" s="181">
        <v>911991218</v>
      </c>
      <c r="F51" s="45"/>
      <c r="G51" s="42"/>
      <c r="H51" s="42"/>
      <c r="I51" s="42"/>
      <c r="J51" s="42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2"/>
      <c r="AD51" s="44"/>
      <c r="AE51" s="44"/>
      <c r="AF51" s="46"/>
    </row>
    <row r="52" spans="1:32" ht="13.8">
      <c r="A52" s="159" t="s">
        <v>777</v>
      </c>
      <c r="B52" s="179" t="s">
        <v>778</v>
      </c>
      <c r="C52" s="177">
        <v>20</v>
      </c>
      <c r="D52" s="177" t="s">
        <v>26</v>
      </c>
      <c r="E52" s="177">
        <v>901230331</v>
      </c>
      <c r="F52" s="45"/>
      <c r="G52" s="42"/>
      <c r="H52" s="42"/>
      <c r="I52" s="42"/>
      <c r="J52" s="42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2"/>
      <c r="AA52" s="44"/>
      <c r="AB52" s="44"/>
      <c r="AC52" s="42"/>
      <c r="AD52" s="44"/>
      <c r="AE52" s="44"/>
      <c r="AF52" s="46"/>
    </row>
    <row r="53" spans="1:32" ht="13.8">
      <c r="A53" s="159" t="s">
        <v>779</v>
      </c>
      <c r="B53" s="179" t="s">
        <v>780</v>
      </c>
      <c r="C53" s="177">
        <v>19</v>
      </c>
      <c r="D53" s="177" t="s">
        <v>26</v>
      </c>
      <c r="E53" s="177">
        <v>926953738</v>
      </c>
      <c r="F53" s="45"/>
      <c r="G53" s="42" t="s">
        <v>27</v>
      </c>
      <c r="H53" s="42" t="s">
        <v>27</v>
      </c>
      <c r="I53" s="42" t="s">
        <v>27</v>
      </c>
      <c r="J53" s="42" t="s">
        <v>27</v>
      </c>
      <c r="K53" s="44"/>
      <c r="L53" s="42"/>
      <c r="M53" s="42"/>
      <c r="N53" s="42"/>
      <c r="O53" s="44"/>
      <c r="P53" s="42" t="s">
        <v>27</v>
      </c>
      <c r="Q53" s="44"/>
      <c r="R53" s="44"/>
      <c r="S53" s="44"/>
      <c r="T53" s="44"/>
      <c r="U53" s="44"/>
      <c r="V53" s="44"/>
      <c r="W53" s="42" t="s">
        <v>27</v>
      </c>
      <c r="X53" s="42" t="s">
        <v>27</v>
      </c>
      <c r="Y53" s="42" t="s">
        <v>27</v>
      </c>
      <c r="Z53" s="44"/>
      <c r="AA53" s="44"/>
      <c r="AB53" s="44"/>
      <c r="AC53" s="44"/>
      <c r="AD53" s="44"/>
      <c r="AE53" s="44"/>
      <c r="AF53" s="46"/>
    </row>
    <row r="54" spans="1:32" ht="13.8">
      <c r="A54" s="159" t="s">
        <v>783</v>
      </c>
      <c r="B54" s="179" t="s">
        <v>784</v>
      </c>
      <c r="C54" s="180"/>
      <c r="D54" s="177" t="s">
        <v>35</v>
      </c>
      <c r="E54" s="181">
        <v>944148606</v>
      </c>
      <c r="F54" s="45"/>
      <c r="G54" s="42"/>
      <c r="H54" s="42" t="s">
        <v>27</v>
      </c>
      <c r="I54" s="42" t="s">
        <v>27</v>
      </c>
      <c r="J54" s="42" t="s">
        <v>27</v>
      </c>
      <c r="K54" s="44"/>
      <c r="L54" s="42" t="s">
        <v>27</v>
      </c>
      <c r="M54" s="42" t="s">
        <v>27</v>
      </c>
      <c r="N54" s="44"/>
      <c r="O54" s="44"/>
      <c r="P54" s="42" t="s">
        <v>27</v>
      </c>
      <c r="Q54" s="44"/>
      <c r="R54" s="44"/>
      <c r="S54" s="44"/>
      <c r="T54" s="44"/>
      <c r="U54" s="44"/>
      <c r="V54" s="44"/>
      <c r="W54" s="44"/>
      <c r="X54" s="42" t="s">
        <v>27</v>
      </c>
      <c r="Y54" s="42" t="s">
        <v>27</v>
      </c>
      <c r="Z54" s="44"/>
      <c r="AA54" s="44"/>
      <c r="AB54" s="44"/>
      <c r="AC54" s="42"/>
      <c r="AD54" s="44"/>
      <c r="AE54" s="44"/>
      <c r="AF54" s="46"/>
    </row>
    <row r="55" spans="1:32" ht="13.8">
      <c r="A55" s="159" t="s">
        <v>785</v>
      </c>
      <c r="B55" s="179" t="s">
        <v>786</v>
      </c>
      <c r="C55" s="180"/>
      <c r="D55" s="177" t="s">
        <v>35</v>
      </c>
      <c r="E55" s="177">
        <v>946331830</v>
      </c>
      <c r="F55" s="45"/>
      <c r="G55" s="42"/>
      <c r="H55" s="42"/>
      <c r="I55" s="42"/>
      <c r="J55" s="42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6"/>
    </row>
    <row r="56" spans="1:32" ht="13.8">
      <c r="A56" s="159" t="s">
        <v>789</v>
      </c>
      <c r="B56" s="176" t="s">
        <v>790</v>
      </c>
      <c r="C56" s="180"/>
      <c r="D56" s="177" t="s">
        <v>35</v>
      </c>
      <c r="E56" s="178">
        <v>903324210</v>
      </c>
      <c r="F56" s="45"/>
      <c r="G56" s="42"/>
      <c r="H56" s="42"/>
      <c r="I56" s="42"/>
      <c r="J56" s="42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6"/>
    </row>
    <row r="57" spans="1:32" ht="13.8">
      <c r="A57" s="159" t="s">
        <v>791</v>
      </c>
      <c r="B57" s="179" t="s">
        <v>792</v>
      </c>
      <c r="C57" s="180"/>
      <c r="D57" s="177" t="s">
        <v>26</v>
      </c>
      <c r="E57" s="177">
        <v>921222122</v>
      </c>
      <c r="F57" s="45"/>
      <c r="G57" s="42"/>
      <c r="H57" s="42"/>
      <c r="I57" s="42"/>
      <c r="J57" s="42"/>
      <c r="K57" s="44"/>
      <c r="L57" s="44"/>
      <c r="M57" s="42" t="s">
        <v>27</v>
      </c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6"/>
    </row>
    <row r="58" spans="1:32" ht="13.8">
      <c r="A58" s="159" t="s">
        <v>795</v>
      </c>
      <c r="B58" s="179" t="s">
        <v>796</v>
      </c>
      <c r="C58" s="177">
        <v>14</v>
      </c>
      <c r="D58" s="177" t="s">
        <v>35</v>
      </c>
      <c r="E58" s="181">
        <v>911871348</v>
      </c>
      <c r="F58" s="45"/>
      <c r="G58" s="42"/>
      <c r="H58" s="42"/>
      <c r="I58" s="42"/>
      <c r="J58" s="42"/>
      <c r="K58" s="44"/>
      <c r="L58" s="42"/>
      <c r="M58" s="42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6"/>
    </row>
    <row r="59" spans="1:32" ht="13.8">
      <c r="A59" s="159" t="s">
        <v>797</v>
      </c>
      <c r="B59" s="179" t="s">
        <v>798</v>
      </c>
      <c r="C59" s="177">
        <v>17</v>
      </c>
      <c r="D59" s="177" t="s">
        <v>35</v>
      </c>
      <c r="E59" s="177">
        <v>916676551</v>
      </c>
      <c r="F59" s="45"/>
      <c r="G59" s="42" t="s">
        <v>27</v>
      </c>
      <c r="H59" s="42" t="s">
        <v>27</v>
      </c>
      <c r="I59" s="42" t="s">
        <v>27</v>
      </c>
      <c r="J59" s="42" t="s">
        <v>27</v>
      </c>
      <c r="K59" s="42" t="s">
        <v>19</v>
      </c>
      <c r="L59" s="42" t="s">
        <v>27</v>
      </c>
      <c r="M59" s="44"/>
      <c r="N59" s="44"/>
      <c r="O59" s="44"/>
      <c r="P59" s="44"/>
      <c r="Q59" s="44"/>
      <c r="R59" s="42" t="s">
        <v>27</v>
      </c>
      <c r="S59" s="44"/>
      <c r="T59" s="44"/>
      <c r="U59" s="44"/>
      <c r="V59" s="44"/>
      <c r="W59" s="44"/>
      <c r="X59" s="42" t="s">
        <v>27</v>
      </c>
      <c r="Y59" s="42" t="s">
        <v>27</v>
      </c>
      <c r="Z59" s="44"/>
      <c r="AA59" s="44"/>
      <c r="AB59" s="44"/>
      <c r="AC59" s="42"/>
      <c r="AD59" s="42"/>
      <c r="AE59" s="44"/>
      <c r="AF59" s="46"/>
    </row>
    <row r="60" spans="1:32" ht="13.8">
      <c r="A60" s="159" t="s">
        <v>801</v>
      </c>
      <c r="B60" s="207" t="s">
        <v>802</v>
      </c>
      <c r="C60" s="208">
        <v>19</v>
      </c>
      <c r="D60" s="208" t="s">
        <v>26</v>
      </c>
      <c r="E60" s="209">
        <v>900297515</v>
      </c>
      <c r="F60" s="45"/>
      <c r="G60" s="42"/>
      <c r="H60" s="42"/>
      <c r="I60" s="42"/>
      <c r="J60" s="42"/>
      <c r="K60" s="44"/>
      <c r="L60" s="44"/>
      <c r="M60" s="44"/>
      <c r="N60" s="44"/>
      <c r="O60" s="44"/>
      <c r="P60" s="44"/>
      <c r="Q60" s="44"/>
      <c r="R60" s="42" t="s">
        <v>27</v>
      </c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2"/>
      <c r="AD60" s="44"/>
      <c r="AE60" s="44"/>
      <c r="AF60" s="46"/>
    </row>
    <row r="61" spans="1:32" ht="13.8">
      <c r="A61" s="159" t="s">
        <v>804</v>
      </c>
      <c r="B61" s="179" t="s">
        <v>805</v>
      </c>
      <c r="C61" s="177">
        <v>26</v>
      </c>
      <c r="D61" s="177" t="s">
        <v>35</v>
      </c>
      <c r="E61" s="177">
        <v>923537518</v>
      </c>
      <c r="F61" s="45"/>
      <c r="G61" s="42"/>
      <c r="H61" s="42" t="s">
        <v>27</v>
      </c>
      <c r="I61" s="42"/>
      <c r="J61" s="42"/>
      <c r="K61" s="42" t="s">
        <v>27</v>
      </c>
      <c r="L61" s="42" t="s">
        <v>27</v>
      </c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6"/>
    </row>
    <row r="62" spans="1:32" ht="13.8">
      <c r="A62" s="159" t="s">
        <v>808</v>
      </c>
      <c r="B62" s="179" t="s">
        <v>809</v>
      </c>
      <c r="C62" s="177">
        <v>29</v>
      </c>
      <c r="D62" s="177" t="s">
        <v>35</v>
      </c>
      <c r="E62" s="177">
        <v>954979876</v>
      </c>
      <c r="F62" s="45"/>
      <c r="G62" s="42"/>
      <c r="H62" s="42"/>
      <c r="I62" s="42"/>
      <c r="J62" s="42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6"/>
    </row>
    <row r="63" spans="1:32" ht="13.8">
      <c r="A63" s="159" t="s">
        <v>810</v>
      </c>
      <c r="B63" s="210" t="s">
        <v>811</v>
      </c>
      <c r="C63" s="164">
        <v>23</v>
      </c>
      <c r="D63" s="164" t="s">
        <v>26</v>
      </c>
      <c r="E63" s="164">
        <v>995076448</v>
      </c>
      <c r="F63" s="45"/>
      <c r="G63" s="42"/>
      <c r="H63" s="42"/>
      <c r="I63" s="42"/>
      <c r="J63" s="42"/>
      <c r="K63" s="44"/>
      <c r="L63" s="44"/>
      <c r="M63" s="44"/>
      <c r="N63" s="44"/>
      <c r="O63" s="44"/>
      <c r="P63" s="44"/>
      <c r="Q63" s="44"/>
      <c r="R63" s="42"/>
      <c r="S63" s="44"/>
      <c r="T63" s="42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6"/>
    </row>
    <row r="64" spans="1:32" ht="13.8">
      <c r="A64" s="159" t="s">
        <v>812</v>
      </c>
      <c r="B64" s="139" t="s">
        <v>815</v>
      </c>
      <c r="C64" s="140">
        <v>14</v>
      </c>
      <c r="D64" s="141"/>
      <c r="E64" s="140">
        <v>911393351</v>
      </c>
      <c r="F64" s="45"/>
      <c r="G64" s="42"/>
      <c r="H64" s="42" t="s">
        <v>27</v>
      </c>
      <c r="I64" s="42" t="s">
        <v>27</v>
      </c>
      <c r="J64" s="42" t="s">
        <v>27</v>
      </c>
      <c r="K64" s="44"/>
      <c r="L64" s="42" t="s">
        <v>112</v>
      </c>
      <c r="M64" s="42" t="s">
        <v>27</v>
      </c>
      <c r="N64" s="44"/>
      <c r="O64" s="44"/>
      <c r="P64" s="42" t="s">
        <v>27</v>
      </c>
      <c r="Q64" s="44"/>
      <c r="R64" s="42"/>
      <c r="S64" s="44"/>
      <c r="T64" s="42"/>
      <c r="U64" s="44"/>
      <c r="V64" s="42" t="s">
        <v>27</v>
      </c>
      <c r="W64" s="42" t="s">
        <v>27</v>
      </c>
      <c r="X64" s="42"/>
      <c r="Y64" s="42" t="s">
        <v>27</v>
      </c>
      <c r="Z64" s="42"/>
      <c r="AA64" s="44"/>
      <c r="AB64" s="44"/>
      <c r="AC64" s="44"/>
      <c r="AD64" s="44"/>
      <c r="AE64" s="44"/>
      <c r="AF64" s="46"/>
    </row>
    <row r="65" spans="1:32" ht="13.8">
      <c r="A65" s="159" t="s">
        <v>817</v>
      </c>
      <c r="B65" s="139" t="s">
        <v>818</v>
      </c>
      <c r="C65" s="140"/>
      <c r="D65" s="140" t="s">
        <v>26</v>
      </c>
      <c r="E65" s="140">
        <v>973257691</v>
      </c>
      <c r="F65" s="45"/>
      <c r="G65" s="42"/>
      <c r="H65" s="42"/>
      <c r="I65" s="42"/>
      <c r="J65" s="42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6"/>
    </row>
    <row r="66" spans="1:32" ht="13.8">
      <c r="A66" s="159" t="s">
        <v>820</v>
      </c>
      <c r="B66" s="139" t="s">
        <v>821</v>
      </c>
      <c r="C66" s="140">
        <v>24</v>
      </c>
      <c r="D66" s="140" t="s">
        <v>35</v>
      </c>
      <c r="E66" s="140">
        <v>994439728</v>
      </c>
      <c r="F66" s="45"/>
      <c r="G66" s="42"/>
      <c r="H66" s="42"/>
      <c r="I66" s="42"/>
      <c r="J66" s="42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6"/>
    </row>
    <row r="67" spans="1:32" ht="13.8">
      <c r="A67" s="159" t="s">
        <v>823</v>
      </c>
      <c r="B67" s="139" t="s">
        <v>824</v>
      </c>
      <c r="C67" s="140">
        <v>17</v>
      </c>
      <c r="D67" s="140" t="s">
        <v>35</v>
      </c>
      <c r="E67" s="140">
        <v>934456066</v>
      </c>
      <c r="F67" s="45"/>
      <c r="G67" s="42"/>
      <c r="H67" s="42"/>
      <c r="I67" s="42"/>
      <c r="J67" s="42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6"/>
    </row>
    <row r="68" spans="1:32" ht="13.8">
      <c r="A68" s="159" t="s">
        <v>825</v>
      </c>
      <c r="B68" s="139" t="s">
        <v>826</v>
      </c>
      <c r="C68" s="140">
        <v>15</v>
      </c>
      <c r="D68" s="140" t="s">
        <v>341</v>
      </c>
      <c r="E68" s="140">
        <v>940394781</v>
      </c>
      <c r="F68" s="45"/>
      <c r="G68" s="42"/>
      <c r="H68" s="42"/>
      <c r="I68" s="42"/>
      <c r="J68" s="42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6"/>
    </row>
    <row r="69" spans="1:32" ht="13.8">
      <c r="A69" s="159" t="s">
        <v>829</v>
      </c>
      <c r="B69" s="139" t="s">
        <v>830</v>
      </c>
      <c r="C69" s="140">
        <v>25</v>
      </c>
      <c r="D69" s="141"/>
      <c r="E69" s="140">
        <v>973748672</v>
      </c>
      <c r="F69" s="45"/>
      <c r="G69" s="42"/>
      <c r="H69" s="42"/>
      <c r="I69" s="42"/>
      <c r="J69" s="42"/>
      <c r="K69" s="44"/>
      <c r="L69" s="44"/>
      <c r="M69" s="44"/>
      <c r="N69" s="44"/>
      <c r="O69" s="44"/>
      <c r="P69" s="44"/>
      <c r="Q69" s="44"/>
      <c r="R69" s="42" t="s">
        <v>27</v>
      </c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6"/>
    </row>
    <row r="70" spans="1:32" ht="13.8">
      <c r="A70" s="159" t="s">
        <v>831</v>
      </c>
      <c r="B70" s="139" t="s">
        <v>832</v>
      </c>
      <c r="C70" s="140">
        <v>28</v>
      </c>
      <c r="D70" s="141"/>
      <c r="E70" s="140">
        <v>941555881</v>
      </c>
      <c r="F70" s="150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2"/>
      <c r="S70" s="42" t="s">
        <v>27</v>
      </c>
      <c r="T70" s="44"/>
      <c r="U70" s="44"/>
      <c r="V70" s="44"/>
      <c r="W70" s="42"/>
      <c r="X70" s="42" t="s">
        <v>27</v>
      </c>
      <c r="Y70" s="44"/>
      <c r="Z70" s="42"/>
      <c r="AA70" s="44"/>
      <c r="AB70" s="44"/>
      <c r="AC70" s="44"/>
      <c r="AD70" s="44"/>
      <c r="AE70" s="44"/>
      <c r="AF70" s="46"/>
    </row>
    <row r="71" spans="1:32" ht="13.8">
      <c r="A71" s="159" t="s">
        <v>836</v>
      </c>
      <c r="B71" s="139" t="s">
        <v>837</v>
      </c>
      <c r="C71" s="140">
        <v>19</v>
      </c>
      <c r="D71" s="140" t="s">
        <v>35</v>
      </c>
      <c r="E71" s="140">
        <v>909501009</v>
      </c>
      <c r="F71" s="45"/>
      <c r="G71" s="42"/>
      <c r="H71" s="42"/>
      <c r="I71" s="42"/>
      <c r="J71" s="42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6"/>
    </row>
    <row r="72" spans="1:32" ht="13.8">
      <c r="A72" s="159" t="s">
        <v>838</v>
      </c>
      <c r="B72" s="139" t="s">
        <v>839</v>
      </c>
      <c r="C72" s="140">
        <v>27</v>
      </c>
      <c r="D72" s="140" t="s">
        <v>26</v>
      </c>
      <c r="E72" s="140">
        <v>985641271</v>
      </c>
      <c r="F72" s="45"/>
      <c r="G72" s="42" t="s">
        <v>27</v>
      </c>
      <c r="H72" s="42" t="s">
        <v>27</v>
      </c>
      <c r="I72" s="42" t="s">
        <v>27</v>
      </c>
      <c r="J72" s="42" t="s">
        <v>27</v>
      </c>
      <c r="K72" s="42" t="s">
        <v>19</v>
      </c>
      <c r="L72" s="42" t="s">
        <v>27</v>
      </c>
      <c r="M72" s="42" t="s">
        <v>27</v>
      </c>
      <c r="N72" s="44"/>
      <c r="O72" s="44"/>
      <c r="P72" s="44"/>
      <c r="Q72" s="44"/>
      <c r="R72" s="42" t="s">
        <v>27</v>
      </c>
      <c r="S72" s="44"/>
      <c r="T72" s="44"/>
      <c r="U72" s="44"/>
      <c r="V72" s="44"/>
      <c r="W72" s="44"/>
      <c r="X72" s="42" t="s">
        <v>27</v>
      </c>
      <c r="Y72" s="44"/>
      <c r="Z72" s="44"/>
      <c r="AA72" s="44"/>
      <c r="AB72" s="44"/>
      <c r="AC72" s="42"/>
      <c r="AD72" s="44"/>
      <c r="AE72" s="44"/>
      <c r="AF72" s="46"/>
    </row>
    <row r="73" spans="1:32" ht="13.8">
      <c r="A73" s="159" t="s">
        <v>840</v>
      </c>
      <c r="B73" s="139" t="s">
        <v>841</v>
      </c>
      <c r="C73" s="140">
        <v>35</v>
      </c>
      <c r="D73" s="140" t="s">
        <v>26</v>
      </c>
      <c r="E73" s="140">
        <v>972202959</v>
      </c>
      <c r="F73" s="45"/>
      <c r="G73" s="42"/>
      <c r="H73" s="42"/>
      <c r="I73" s="42"/>
      <c r="J73" s="42"/>
      <c r="K73" s="44"/>
      <c r="L73" s="42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6"/>
    </row>
    <row r="74" spans="1:32" ht="13.8">
      <c r="A74" s="159" t="s">
        <v>844</v>
      </c>
      <c r="B74" s="139" t="s">
        <v>845</v>
      </c>
      <c r="C74" s="140">
        <v>16</v>
      </c>
      <c r="D74" s="140" t="s">
        <v>35</v>
      </c>
      <c r="E74" s="140">
        <v>921330537</v>
      </c>
      <c r="F74" s="45"/>
      <c r="G74" s="42"/>
      <c r="H74" s="42"/>
      <c r="I74" s="42"/>
      <c r="J74" s="42"/>
      <c r="K74" s="44"/>
      <c r="L74" s="42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6"/>
    </row>
    <row r="75" spans="1:32" ht="13.8">
      <c r="A75" s="159" t="s">
        <v>846</v>
      </c>
      <c r="B75" s="139" t="s">
        <v>847</v>
      </c>
      <c r="C75" s="140">
        <v>25</v>
      </c>
      <c r="D75" s="140" t="s">
        <v>35</v>
      </c>
      <c r="E75" s="140">
        <v>973748677</v>
      </c>
      <c r="F75" s="45"/>
      <c r="G75" s="42" t="s">
        <v>27</v>
      </c>
      <c r="H75" s="42" t="s">
        <v>27</v>
      </c>
      <c r="I75" s="42"/>
      <c r="J75" s="42"/>
      <c r="K75" s="44"/>
      <c r="L75" s="42" t="s">
        <v>27</v>
      </c>
      <c r="M75" s="42" t="s">
        <v>27</v>
      </c>
      <c r="N75" s="44"/>
      <c r="O75" s="44"/>
      <c r="P75" s="42" t="s">
        <v>27</v>
      </c>
      <c r="Q75" s="44"/>
      <c r="R75" s="42"/>
      <c r="S75" s="44"/>
      <c r="T75" s="44"/>
      <c r="U75" s="44"/>
      <c r="V75" s="44"/>
      <c r="W75" s="44"/>
      <c r="X75" s="42" t="s">
        <v>27</v>
      </c>
      <c r="Y75" s="42" t="s">
        <v>27</v>
      </c>
      <c r="Z75" s="44"/>
      <c r="AA75" s="44"/>
      <c r="AB75" s="44"/>
      <c r="AC75" s="42"/>
      <c r="AD75" s="44"/>
      <c r="AE75" s="44"/>
      <c r="AF75" s="46"/>
    </row>
    <row r="76" spans="1:32" ht="13.8">
      <c r="A76" s="159" t="s">
        <v>850</v>
      </c>
      <c r="B76" s="139" t="s">
        <v>851</v>
      </c>
      <c r="C76" s="140">
        <v>25</v>
      </c>
      <c r="D76" s="140" t="s">
        <v>26</v>
      </c>
      <c r="E76" s="140">
        <v>978780485</v>
      </c>
      <c r="F76" s="45"/>
      <c r="G76" s="42"/>
      <c r="H76" s="42"/>
      <c r="I76" s="42"/>
      <c r="J76" s="42"/>
      <c r="K76" s="44"/>
      <c r="L76" s="42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6"/>
    </row>
    <row r="77" spans="1:32" ht="13.8">
      <c r="A77" s="159" t="s">
        <v>852</v>
      </c>
      <c r="B77" s="139" t="s">
        <v>853</v>
      </c>
      <c r="C77" s="140">
        <v>17</v>
      </c>
      <c r="D77" s="141"/>
      <c r="E77" s="140">
        <v>934739880</v>
      </c>
      <c r="F77" s="150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6"/>
    </row>
    <row r="78" spans="1:32" ht="13.8">
      <c r="A78" s="159" t="s">
        <v>855</v>
      </c>
      <c r="B78" s="4"/>
      <c r="C78" s="141"/>
      <c r="D78" s="141"/>
      <c r="E78" s="141"/>
      <c r="F78" s="150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6"/>
    </row>
    <row r="79" spans="1:32" ht="13.8">
      <c r="A79" s="159" t="s">
        <v>857</v>
      </c>
      <c r="B79" s="4"/>
      <c r="C79" s="141"/>
      <c r="D79" s="141"/>
      <c r="E79" s="141"/>
      <c r="F79" s="150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6"/>
    </row>
    <row r="80" spans="1:32" ht="13.8">
      <c r="A80" s="159" t="s">
        <v>858</v>
      </c>
      <c r="B80" s="4"/>
      <c r="C80" s="141"/>
      <c r="D80" s="141"/>
      <c r="E80" s="141"/>
      <c r="F80" s="150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6"/>
    </row>
    <row r="81" spans="1:32" ht="13.8">
      <c r="A81" s="159" t="s">
        <v>861</v>
      </c>
      <c r="B81" s="4"/>
      <c r="C81" s="141"/>
      <c r="D81" s="141"/>
      <c r="E81" s="141"/>
      <c r="F81" s="150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6"/>
    </row>
    <row r="82" spans="1:32" ht="13.8">
      <c r="A82" s="159" t="s">
        <v>864</v>
      </c>
      <c r="B82" s="4"/>
      <c r="C82" s="141"/>
      <c r="D82" s="141"/>
      <c r="E82" s="141"/>
      <c r="F82" s="150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6"/>
    </row>
    <row r="83" spans="1:32" ht="13.8">
      <c r="A83" s="159" t="s">
        <v>865</v>
      </c>
      <c r="B83" s="4"/>
      <c r="C83" s="141"/>
      <c r="D83" s="141"/>
      <c r="E83" s="141"/>
      <c r="F83" s="150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6"/>
    </row>
    <row r="84" spans="1:32" ht="13.8">
      <c r="A84" s="159" t="s">
        <v>869</v>
      </c>
      <c r="B84" s="4"/>
      <c r="C84" s="141"/>
      <c r="D84" s="141"/>
      <c r="E84" s="141"/>
      <c r="F84" s="150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6"/>
    </row>
    <row r="85" spans="1:32" ht="13.2">
      <c r="A85" s="4"/>
      <c r="B85" s="4"/>
      <c r="C85" s="141"/>
      <c r="D85" s="141"/>
      <c r="E85" s="141"/>
      <c r="F85" s="150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6"/>
    </row>
  </sheetData>
  <mergeCells count="8">
    <mergeCell ref="S2:V2"/>
    <mergeCell ref="W2:Z2"/>
    <mergeCell ref="AC2:AF2"/>
    <mergeCell ref="A2:A3"/>
    <mergeCell ref="B2:B3"/>
    <mergeCell ref="F2:I2"/>
    <mergeCell ref="J2:N2"/>
    <mergeCell ref="O2:R2"/>
  </mergeCells>
  <dataValidations count="2">
    <dataValidation type="list" allowBlank="1" showErrorMessage="1" sqref="F4:AA8 F9:Q9 S9:AA9 F10:AA85" xr:uid="{00000000-0002-0000-0600-000000000000}">
      <formula1>"አለ/ች,ቀሪ,ፍቃድ"</formula1>
    </dataValidation>
    <dataValidation type="list" allowBlank="1" showErrorMessage="1" sqref="D4:D19" xr:uid="{00000000-0002-0000-0600-000001000000}">
      <formula1>"ወ,ሴ"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J99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6640625" defaultRowHeight="15.75" customHeight="1"/>
  <cols>
    <col min="1" max="1" width="9.6640625" customWidth="1"/>
    <col min="2" max="2" width="23.6640625" customWidth="1"/>
    <col min="3" max="4" width="7.88671875" customWidth="1"/>
    <col min="5" max="5" width="14.109375" customWidth="1"/>
    <col min="6" max="6" width="7.6640625" customWidth="1"/>
    <col min="7" max="32" width="6.33203125" customWidth="1"/>
    <col min="33" max="33" width="10.33203125" customWidth="1"/>
    <col min="34" max="34" width="10.44140625" customWidth="1"/>
    <col min="35" max="35" width="10" customWidth="1"/>
    <col min="36" max="36" width="6.33203125" customWidth="1"/>
  </cols>
  <sheetData>
    <row r="1" spans="1:36" ht="13.2">
      <c r="A1" s="1"/>
      <c r="B1" s="1"/>
      <c r="C1" s="3"/>
      <c r="D1" s="3"/>
      <c r="E1" s="183"/>
      <c r="F1" s="315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6"/>
      <c r="AD1" s="316"/>
      <c r="AE1" s="316"/>
      <c r="AF1" s="1"/>
      <c r="AG1" s="1"/>
      <c r="AH1" s="1"/>
      <c r="AI1" s="1"/>
      <c r="AJ1" s="1"/>
    </row>
    <row r="2" spans="1:36" ht="24.75" customHeight="1">
      <c r="A2" s="332" t="s">
        <v>0</v>
      </c>
      <c r="B2" s="332" t="s">
        <v>1</v>
      </c>
      <c r="C2" s="184"/>
      <c r="D2" s="185"/>
      <c r="E2" s="186"/>
      <c r="F2" s="12" t="s">
        <v>3</v>
      </c>
      <c r="G2" s="319" t="s">
        <v>4</v>
      </c>
      <c r="H2" s="320"/>
      <c r="I2" s="320"/>
      <c r="J2" s="320"/>
      <c r="K2" s="321"/>
      <c r="L2" s="319" t="s">
        <v>9</v>
      </c>
      <c r="M2" s="320"/>
      <c r="N2" s="320"/>
      <c r="O2" s="321"/>
      <c r="P2" s="319" t="s">
        <v>11</v>
      </c>
      <c r="Q2" s="320"/>
      <c r="R2" s="320"/>
      <c r="S2" s="321"/>
      <c r="T2" s="319" t="s">
        <v>13</v>
      </c>
      <c r="U2" s="320"/>
      <c r="V2" s="320"/>
      <c r="W2" s="321"/>
      <c r="X2" s="310" t="s">
        <v>14</v>
      </c>
      <c r="Y2" s="311"/>
      <c r="Z2" s="311"/>
      <c r="AA2" s="311"/>
      <c r="AB2" s="312"/>
      <c r="AC2" s="310" t="s">
        <v>16</v>
      </c>
      <c r="AD2" s="311"/>
      <c r="AE2" s="311"/>
      <c r="AF2" s="312"/>
      <c r="AG2" s="313" t="s">
        <v>18</v>
      </c>
      <c r="AH2" s="313" t="s">
        <v>19</v>
      </c>
      <c r="AI2" s="313" t="s">
        <v>20</v>
      </c>
      <c r="AJ2" s="187"/>
    </row>
    <row r="3" spans="1:36" ht="15.6">
      <c r="A3" s="314"/>
      <c r="B3" s="314"/>
      <c r="C3" s="188" t="s">
        <v>5</v>
      </c>
      <c r="D3" s="188" t="s">
        <v>7</v>
      </c>
      <c r="E3" s="189" t="s">
        <v>8</v>
      </c>
      <c r="F3" s="13">
        <v>25</v>
      </c>
      <c r="G3" s="13">
        <v>2</v>
      </c>
      <c r="H3" s="13">
        <v>9</v>
      </c>
      <c r="I3" s="13">
        <v>16</v>
      </c>
      <c r="J3" s="13">
        <v>23</v>
      </c>
      <c r="K3" s="13">
        <v>30</v>
      </c>
      <c r="L3" s="13">
        <v>7</v>
      </c>
      <c r="M3" s="13">
        <v>14</v>
      </c>
      <c r="N3" s="13">
        <v>21</v>
      </c>
      <c r="O3" s="13">
        <v>28</v>
      </c>
      <c r="P3" s="13">
        <v>5</v>
      </c>
      <c r="Q3" s="13">
        <v>12</v>
      </c>
      <c r="R3" s="13">
        <v>19</v>
      </c>
      <c r="S3" s="13">
        <v>26</v>
      </c>
      <c r="T3" s="13">
        <v>3</v>
      </c>
      <c r="U3" s="190">
        <v>10</v>
      </c>
      <c r="V3" s="190">
        <v>17</v>
      </c>
      <c r="W3" s="13">
        <v>24</v>
      </c>
      <c r="X3" s="13">
        <v>1</v>
      </c>
      <c r="Y3" s="13">
        <v>8</v>
      </c>
      <c r="Z3" s="37">
        <v>15</v>
      </c>
      <c r="AA3" s="191">
        <v>22</v>
      </c>
      <c r="AB3" s="191">
        <v>29</v>
      </c>
      <c r="AC3" s="23">
        <v>6</v>
      </c>
      <c r="AD3" s="23">
        <v>13</v>
      </c>
      <c r="AE3" s="23">
        <v>20</v>
      </c>
      <c r="AF3" s="16">
        <v>27</v>
      </c>
      <c r="AG3" s="314"/>
      <c r="AH3" s="314"/>
      <c r="AI3" s="314"/>
      <c r="AJ3" s="187"/>
    </row>
    <row r="4" spans="1:36" ht="13.8">
      <c r="A4" s="192" t="s">
        <v>755</v>
      </c>
      <c r="B4" s="193" t="s">
        <v>756</v>
      </c>
      <c r="C4" s="194"/>
      <c r="D4" s="195" t="s">
        <v>35</v>
      </c>
      <c r="E4" s="196">
        <v>983032831</v>
      </c>
      <c r="F4" s="42" t="s">
        <v>19</v>
      </c>
      <c r="G4" s="42" t="s">
        <v>19</v>
      </c>
      <c r="H4" s="42" t="s">
        <v>19</v>
      </c>
      <c r="I4" s="42" t="s">
        <v>19</v>
      </c>
      <c r="J4" s="42" t="s">
        <v>19</v>
      </c>
      <c r="K4" s="42" t="s">
        <v>19</v>
      </c>
      <c r="L4" s="42" t="s">
        <v>27</v>
      </c>
      <c r="M4" s="42" t="s">
        <v>19</v>
      </c>
      <c r="N4" s="44"/>
      <c r="O4" s="44"/>
      <c r="P4" s="44"/>
      <c r="Q4" s="44"/>
      <c r="R4" s="44"/>
      <c r="S4" s="44"/>
      <c r="T4" s="44"/>
      <c r="U4" s="203"/>
      <c r="V4" s="203"/>
      <c r="W4" s="42" t="s">
        <v>27</v>
      </c>
      <c r="X4" s="44"/>
      <c r="Y4" s="42" t="s">
        <v>27</v>
      </c>
      <c r="Z4" s="42" t="s">
        <v>27</v>
      </c>
      <c r="AA4" s="150"/>
      <c r="AB4" s="150"/>
      <c r="AC4" s="42" t="s">
        <v>27</v>
      </c>
      <c r="AD4" s="42" t="s">
        <v>27</v>
      </c>
      <c r="AE4" s="44"/>
      <c r="AF4" s="46"/>
      <c r="AG4" s="48">
        <f t="shared" ref="AG4:AG42" si="0">COUNTIF(F4:AF4,"አለ/ች")</f>
        <v>6</v>
      </c>
      <c r="AH4" s="48">
        <f t="shared" ref="AH4:AH42" si="1">COUNTIF(F4:AF4,"ቀሪ")</f>
        <v>7</v>
      </c>
      <c r="AI4" s="48">
        <f t="shared" ref="AI4:AI42" si="2">AG4/6*100</f>
        <v>100</v>
      </c>
      <c r="AJ4" s="48"/>
    </row>
    <row r="5" spans="1:36" ht="13.8">
      <c r="A5" s="192" t="s">
        <v>775</v>
      </c>
      <c r="B5" s="193" t="s">
        <v>776</v>
      </c>
      <c r="C5" s="194"/>
      <c r="D5" s="195" t="s">
        <v>35</v>
      </c>
      <c r="E5" s="196">
        <v>972026177</v>
      </c>
      <c r="F5" s="42" t="s">
        <v>19</v>
      </c>
      <c r="G5" s="42" t="s">
        <v>27</v>
      </c>
      <c r="H5" s="42" t="s">
        <v>19</v>
      </c>
      <c r="I5" s="42" t="s">
        <v>27</v>
      </c>
      <c r="J5" s="42" t="s">
        <v>19</v>
      </c>
      <c r="K5" s="42" t="s">
        <v>27</v>
      </c>
      <c r="L5" s="42" t="s">
        <v>27</v>
      </c>
      <c r="M5" s="42" t="s">
        <v>27</v>
      </c>
      <c r="N5" s="44"/>
      <c r="O5" s="44"/>
      <c r="P5" s="44"/>
      <c r="Q5" s="44"/>
      <c r="R5" s="44"/>
      <c r="S5" s="42" t="s">
        <v>27</v>
      </c>
      <c r="T5" s="42" t="s">
        <v>27</v>
      </c>
      <c r="U5" s="203"/>
      <c r="V5" s="203"/>
      <c r="W5" s="42" t="s">
        <v>27</v>
      </c>
      <c r="X5" s="42" t="s">
        <v>27</v>
      </c>
      <c r="Y5" s="42" t="s">
        <v>27</v>
      </c>
      <c r="Z5" s="42" t="s">
        <v>27</v>
      </c>
      <c r="AA5" s="150"/>
      <c r="AB5" s="150"/>
      <c r="AC5" s="42" t="s">
        <v>27</v>
      </c>
      <c r="AD5" s="42" t="s">
        <v>27</v>
      </c>
      <c r="AE5" s="44"/>
      <c r="AF5" s="46"/>
      <c r="AG5" s="48">
        <f t="shared" si="0"/>
        <v>13</v>
      </c>
      <c r="AH5" s="48">
        <f t="shared" si="1"/>
        <v>3</v>
      </c>
      <c r="AI5" s="48">
        <f t="shared" si="2"/>
        <v>216.66666666666666</v>
      </c>
      <c r="AJ5" s="48"/>
    </row>
    <row r="6" spans="1:36" ht="13.8">
      <c r="A6" s="192" t="s">
        <v>781</v>
      </c>
      <c r="B6" s="193" t="s">
        <v>782</v>
      </c>
      <c r="C6" s="194"/>
      <c r="D6" s="195" t="s">
        <v>35</v>
      </c>
      <c r="E6" s="196">
        <v>910657605</v>
      </c>
      <c r="F6" s="42" t="s">
        <v>19</v>
      </c>
      <c r="G6" s="42" t="s">
        <v>27</v>
      </c>
      <c r="H6" s="42" t="s">
        <v>27</v>
      </c>
      <c r="I6" s="42" t="s">
        <v>27</v>
      </c>
      <c r="J6" s="42" t="s">
        <v>27</v>
      </c>
      <c r="K6" s="42" t="s">
        <v>27</v>
      </c>
      <c r="L6" s="42" t="s">
        <v>19</v>
      </c>
      <c r="M6" s="42" t="s">
        <v>27</v>
      </c>
      <c r="N6" s="44"/>
      <c r="O6" s="44"/>
      <c r="P6" s="44"/>
      <c r="Q6" s="44"/>
      <c r="R6" s="44"/>
      <c r="S6" s="44"/>
      <c r="T6" s="42" t="s">
        <v>27</v>
      </c>
      <c r="U6" s="203"/>
      <c r="V6" s="203"/>
      <c r="W6" s="44"/>
      <c r="X6" s="44"/>
      <c r="Y6" s="44"/>
      <c r="Z6" s="42" t="s">
        <v>27</v>
      </c>
      <c r="AA6" s="150"/>
      <c r="AB6" s="150"/>
      <c r="AC6" s="42" t="s">
        <v>27</v>
      </c>
      <c r="AD6" s="42" t="s">
        <v>27</v>
      </c>
      <c r="AE6" s="42" t="s">
        <v>27</v>
      </c>
      <c r="AF6" s="64" t="s">
        <v>27</v>
      </c>
      <c r="AG6" s="48">
        <f t="shared" si="0"/>
        <v>12</v>
      </c>
      <c r="AH6" s="48">
        <f t="shared" si="1"/>
        <v>2</v>
      </c>
      <c r="AI6" s="48">
        <f t="shared" si="2"/>
        <v>200</v>
      </c>
      <c r="AJ6" s="48"/>
    </row>
    <row r="7" spans="1:36" ht="13.8">
      <c r="A7" s="192" t="s">
        <v>787</v>
      </c>
      <c r="B7" s="193" t="s">
        <v>788</v>
      </c>
      <c r="C7" s="195">
        <v>23</v>
      </c>
      <c r="D7" s="195" t="s">
        <v>35</v>
      </c>
      <c r="E7" s="196">
        <v>942881838</v>
      </c>
      <c r="F7" s="42" t="s">
        <v>19</v>
      </c>
      <c r="G7" s="42" t="s">
        <v>19</v>
      </c>
      <c r="H7" s="42" t="s">
        <v>19</v>
      </c>
      <c r="I7" s="42" t="s">
        <v>19</v>
      </c>
      <c r="J7" s="42" t="s">
        <v>19</v>
      </c>
      <c r="K7" s="42" t="s">
        <v>19</v>
      </c>
      <c r="L7" s="42" t="s">
        <v>19</v>
      </c>
      <c r="M7" s="42" t="s">
        <v>19</v>
      </c>
      <c r="N7" s="44"/>
      <c r="O7" s="44"/>
      <c r="P7" s="44"/>
      <c r="Q7" s="44"/>
      <c r="R7" s="44"/>
      <c r="S7" s="44"/>
      <c r="T7" s="44"/>
      <c r="U7" s="203"/>
      <c r="V7" s="203"/>
      <c r="W7" s="44"/>
      <c r="X7" s="44"/>
      <c r="Y7" s="44"/>
      <c r="Z7" s="44"/>
      <c r="AA7" s="150"/>
      <c r="AB7" s="150"/>
      <c r="AC7" s="44"/>
      <c r="AD7" s="44"/>
      <c r="AE7" s="44"/>
      <c r="AF7" s="46"/>
      <c r="AG7" s="48">
        <f t="shared" si="0"/>
        <v>0</v>
      </c>
      <c r="AH7" s="48">
        <f t="shared" si="1"/>
        <v>8</v>
      </c>
      <c r="AI7" s="48">
        <f t="shared" si="2"/>
        <v>0</v>
      </c>
      <c r="AJ7" s="48"/>
    </row>
    <row r="8" spans="1:36" ht="13.8">
      <c r="A8" s="192" t="s">
        <v>793</v>
      </c>
      <c r="B8" s="206" t="s">
        <v>794</v>
      </c>
      <c r="C8" s="195">
        <v>20</v>
      </c>
      <c r="D8" s="195" t="s">
        <v>35</v>
      </c>
      <c r="E8" s="196">
        <v>948484077</v>
      </c>
      <c r="F8" s="42" t="s">
        <v>27</v>
      </c>
      <c r="G8" s="42" t="s">
        <v>27</v>
      </c>
      <c r="H8" s="42" t="s">
        <v>27</v>
      </c>
      <c r="I8" s="42" t="s">
        <v>27</v>
      </c>
      <c r="J8" s="42" t="s">
        <v>27</v>
      </c>
      <c r="K8" s="42" t="s">
        <v>27</v>
      </c>
      <c r="L8" s="42" t="s">
        <v>19</v>
      </c>
      <c r="M8" s="42" t="s">
        <v>19</v>
      </c>
      <c r="N8" s="44"/>
      <c r="O8" s="44"/>
      <c r="P8" s="44"/>
      <c r="Q8" s="44"/>
      <c r="R8" s="42" t="s">
        <v>27</v>
      </c>
      <c r="S8" s="44"/>
      <c r="T8" s="44"/>
      <c r="U8" s="203"/>
      <c r="V8" s="203"/>
      <c r="W8" s="44"/>
      <c r="X8" s="44"/>
      <c r="Y8" s="42" t="s">
        <v>27</v>
      </c>
      <c r="Z8" s="42" t="s">
        <v>27</v>
      </c>
      <c r="AA8" s="150"/>
      <c r="AB8" s="150"/>
      <c r="AC8" s="44"/>
      <c r="AD8" s="44"/>
      <c r="AE8" s="44"/>
      <c r="AF8" s="46"/>
      <c r="AG8" s="48">
        <f t="shared" si="0"/>
        <v>9</v>
      </c>
      <c r="AH8" s="48">
        <f t="shared" si="1"/>
        <v>2</v>
      </c>
      <c r="AI8" s="48">
        <f t="shared" si="2"/>
        <v>150</v>
      </c>
      <c r="AJ8" s="48"/>
    </row>
    <row r="9" spans="1:36" ht="13.8">
      <c r="A9" s="192" t="s">
        <v>799</v>
      </c>
      <c r="B9" s="193" t="s">
        <v>800</v>
      </c>
      <c r="C9" s="194"/>
      <c r="D9" s="195" t="s">
        <v>35</v>
      </c>
      <c r="E9" s="196">
        <v>988412252</v>
      </c>
      <c r="F9" s="42" t="s">
        <v>19</v>
      </c>
      <c r="G9" s="42" t="s">
        <v>19</v>
      </c>
      <c r="H9" s="42" t="s">
        <v>27</v>
      </c>
      <c r="I9" s="42" t="s">
        <v>19</v>
      </c>
      <c r="J9" s="42" t="s">
        <v>27</v>
      </c>
      <c r="K9" s="42" t="s">
        <v>19</v>
      </c>
      <c r="L9" s="42" t="s">
        <v>19</v>
      </c>
      <c r="M9" s="42" t="s">
        <v>19</v>
      </c>
      <c r="N9" s="44"/>
      <c r="O9" s="44"/>
      <c r="P9" s="44"/>
      <c r="Q9" s="44"/>
      <c r="R9" s="44"/>
      <c r="S9" s="44"/>
      <c r="T9" s="44"/>
      <c r="U9" s="203"/>
      <c r="V9" s="203"/>
      <c r="W9" s="44"/>
      <c r="X9" s="44"/>
      <c r="Y9" s="44"/>
      <c r="Z9" s="44"/>
      <c r="AA9" s="150"/>
      <c r="AB9" s="150"/>
      <c r="AC9" s="44"/>
      <c r="AD9" s="44"/>
      <c r="AE9" s="44"/>
      <c r="AF9" s="46"/>
      <c r="AG9" s="48">
        <f t="shared" si="0"/>
        <v>2</v>
      </c>
      <c r="AH9" s="48">
        <f t="shared" si="1"/>
        <v>6</v>
      </c>
      <c r="AI9" s="48">
        <f t="shared" si="2"/>
        <v>33.333333333333329</v>
      </c>
      <c r="AJ9" s="48"/>
    </row>
    <row r="10" spans="1:36" ht="13.8">
      <c r="A10" s="192" t="s">
        <v>806</v>
      </c>
      <c r="B10" s="193" t="s">
        <v>807</v>
      </c>
      <c r="C10" s="195">
        <v>25</v>
      </c>
      <c r="D10" s="195" t="s">
        <v>35</v>
      </c>
      <c r="E10" s="196">
        <v>908860672</v>
      </c>
      <c r="F10" s="42" t="s">
        <v>27</v>
      </c>
      <c r="G10" s="42" t="s">
        <v>27</v>
      </c>
      <c r="H10" s="42" t="s">
        <v>27</v>
      </c>
      <c r="I10" s="42" t="s">
        <v>27</v>
      </c>
      <c r="J10" s="42" t="s">
        <v>27</v>
      </c>
      <c r="K10" s="42" t="s">
        <v>27</v>
      </c>
      <c r="L10" s="42" t="s">
        <v>27</v>
      </c>
      <c r="M10" s="44"/>
      <c r="N10" s="44"/>
      <c r="O10" s="44"/>
      <c r="P10" s="44"/>
      <c r="Q10" s="44"/>
      <c r="R10" s="44"/>
      <c r="S10" s="44"/>
      <c r="T10" s="44"/>
      <c r="U10" s="203"/>
      <c r="V10" s="203"/>
      <c r="W10" s="44"/>
      <c r="X10" s="44"/>
      <c r="Y10" s="42" t="s">
        <v>27</v>
      </c>
      <c r="Z10" s="42" t="s">
        <v>27</v>
      </c>
      <c r="AA10" s="150"/>
      <c r="AB10" s="150"/>
      <c r="AC10" s="44"/>
      <c r="AD10" s="42" t="s">
        <v>27</v>
      </c>
      <c r="AE10" s="44"/>
      <c r="AF10" s="46"/>
      <c r="AG10" s="48">
        <f t="shared" si="0"/>
        <v>10</v>
      </c>
      <c r="AH10" s="48">
        <f t="shared" si="1"/>
        <v>0</v>
      </c>
      <c r="AI10" s="48">
        <f t="shared" si="2"/>
        <v>166.66666666666669</v>
      </c>
      <c r="AJ10" s="48"/>
    </row>
    <row r="11" spans="1:36" ht="13.8">
      <c r="A11" s="192" t="s">
        <v>813</v>
      </c>
      <c r="B11" s="193" t="s">
        <v>814</v>
      </c>
      <c r="C11" s="194"/>
      <c r="D11" s="195" t="s">
        <v>26</v>
      </c>
      <c r="E11" s="211" t="s">
        <v>816</v>
      </c>
      <c r="F11" s="42" t="s">
        <v>27</v>
      </c>
      <c r="G11" s="42" t="s">
        <v>27</v>
      </c>
      <c r="H11" s="42" t="s">
        <v>27</v>
      </c>
      <c r="I11" s="42" t="s">
        <v>27</v>
      </c>
      <c r="J11" s="42" t="s">
        <v>27</v>
      </c>
      <c r="K11" s="42" t="s">
        <v>27</v>
      </c>
      <c r="L11" s="42" t="s">
        <v>27</v>
      </c>
      <c r="M11" s="42" t="s">
        <v>27</v>
      </c>
      <c r="N11" s="42" t="s">
        <v>27</v>
      </c>
      <c r="O11" s="42" t="s">
        <v>27</v>
      </c>
      <c r="P11" s="42" t="s">
        <v>27</v>
      </c>
      <c r="Q11" s="42" t="s">
        <v>27</v>
      </c>
      <c r="R11" s="42" t="s">
        <v>27</v>
      </c>
      <c r="S11" s="44"/>
      <c r="T11" s="44"/>
      <c r="U11" s="203"/>
      <c r="V11" s="203"/>
      <c r="W11" s="44"/>
      <c r="X11" s="44"/>
      <c r="Y11" s="44"/>
      <c r="Z11" s="42" t="s">
        <v>27</v>
      </c>
      <c r="AA11" s="150"/>
      <c r="AB11" s="150"/>
      <c r="AC11" s="42" t="s">
        <v>27</v>
      </c>
      <c r="AD11" s="42" t="s">
        <v>27</v>
      </c>
      <c r="AE11" s="42" t="s">
        <v>27</v>
      </c>
      <c r="AF11" s="64" t="s">
        <v>27</v>
      </c>
      <c r="AG11" s="48">
        <f t="shared" si="0"/>
        <v>18</v>
      </c>
      <c r="AH11" s="48">
        <f t="shared" si="1"/>
        <v>0</v>
      </c>
      <c r="AI11" s="48">
        <f t="shared" si="2"/>
        <v>300</v>
      </c>
      <c r="AJ11" s="48"/>
    </row>
    <row r="12" spans="1:36" ht="13.8">
      <c r="A12" s="192" t="s">
        <v>819</v>
      </c>
      <c r="B12" s="193" t="s">
        <v>822</v>
      </c>
      <c r="C12" s="194"/>
      <c r="D12" s="195" t="s">
        <v>26</v>
      </c>
      <c r="E12" s="196">
        <v>995365226</v>
      </c>
      <c r="F12" s="42" t="s">
        <v>19</v>
      </c>
      <c r="G12" s="42" t="s">
        <v>19</v>
      </c>
      <c r="H12" s="42" t="s">
        <v>27</v>
      </c>
      <c r="I12" s="42" t="s">
        <v>19</v>
      </c>
      <c r="J12" s="42" t="s">
        <v>19</v>
      </c>
      <c r="K12" s="42" t="s">
        <v>19</v>
      </c>
      <c r="L12" s="44"/>
      <c r="M12" s="44"/>
      <c r="N12" s="44"/>
      <c r="O12" s="44"/>
      <c r="P12" s="44"/>
      <c r="Q12" s="44"/>
      <c r="R12" s="44"/>
      <c r="S12" s="44"/>
      <c r="T12" s="44"/>
      <c r="U12" s="203"/>
      <c r="V12" s="203"/>
      <c r="W12" s="44"/>
      <c r="X12" s="42" t="s">
        <v>27</v>
      </c>
      <c r="Y12" s="42" t="s">
        <v>27</v>
      </c>
      <c r="Z12" s="44"/>
      <c r="AA12" s="150"/>
      <c r="AB12" s="150"/>
      <c r="AC12" s="44"/>
      <c r="AD12" s="44"/>
      <c r="AE12" s="44"/>
      <c r="AF12" s="46"/>
      <c r="AG12" s="48">
        <f t="shared" si="0"/>
        <v>3</v>
      </c>
      <c r="AH12" s="48">
        <f t="shared" si="1"/>
        <v>5</v>
      </c>
      <c r="AI12" s="48">
        <f t="shared" si="2"/>
        <v>50</v>
      </c>
      <c r="AJ12" s="48"/>
    </row>
    <row r="13" spans="1:36" ht="13.8">
      <c r="A13" s="192" t="s">
        <v>827</v>
      </c>
      <c r="B13" s="193" t="s">
        <v>828</v>
      </c>
      <c r="C13" s="195">
        <v>22</v>
      </c>
      <c r="D13" s="195" t="s">
        <v>35</v>
      </c>
      <c r="E13" s="196">
        <v>968190429</v>
      </c>
      <c r="F13" s="42" t="s">
        <v>27</v>
      </c>
      <c r="G13" s="42" t="s">
        <v>19</v>
      </c>
      <c r="H13" s="42" t="s">
        <v>27</v>
      </c>
      <c r="I13" s="42" t="s">
        <v>19</v>
      </c>
      <c r="J13" s="42" t="s">
        <v>19</v>
      </c>
      <c r="K13" s="42" t="s">
        <v>19</v>
      </c>
      <c r="L13" s="44"/>
      <c r="M13" s="44"/>
      <c r="N13" s="44"/>
      <c r="O13" s="44"/>
      <c r="P13" s="44"/>
      <c r="Q13" s="44"/>
      <c r="R13" s="44"/>
      <c r="S13" s="44"/>
      <c r="T13" s="44"/>
      <c r="U13" s="203"/>
      <c r="V13" s="203"/>
      <c r="W13" s="44"/>
      <c r="X13" s="44"/>
      <c r="Y13" s="42" t="s">
        <v>27</v>
      </c>
      <c r="Z13" s="42" t="s">
        <v>27</v>
      </c>
      <c r="AA13" s="150"/>
      <c r="AB13" s="150"/>
      <c r="AC13" s="44"/>
      <c r="AD13" s="42" t="s">
        <v>27</v>
      </c>
      <c r="AE13" s="44"/>
      <c r="AF13" s="46"/>
      <c r="AG13" s="48">
        <f t="shared" si="0"/>
        <v>5</v>
      </c>
      <c r="AH13" s="48">
        <f t="shared" si="1"/>
        <v>4</v>
      </c>
      <c r="AI13" s="48">
        <f t="shared" si="2"/>
        <v>83.333333333333343</v>
      </c>
      <c r="AJ13" s="48"/>
    </row>
    <row r="14" spans="1:36" ht="13.8">
      <c r="A14" s="192" t="s">
        <v>833</v>
      </c>
      <c r="B14" s="193" t="s">
        <v>834</v>
      </c>
      <c r="C14" s="195">
        <v>28</v>
      </c>
      <c r="D14" s="195" t="s">
        <v>26</v>
      </c>
      <c r="E14" s="211" t="s">
        <v>835</v>
      </c>
      <c r="F14" s="42" t="s">
        <v>27</v>
      </c>
      <c r="G14" s="42" t="s">
        <v>19</v>
      </c>
      <c r="H14" s="42" t="s">
        <v>19</v>
      </c>
      <c r="I14" s="42" t="s">
        <v>19</v>
      </c>
      <c r="J14" s="42" t="s">
        <v>19</v>
      </c>
      <c r="K14" s="42" t="s">
        <v>27</v>
      </c>
      <c r="L14" s="42" t="s">
        <v>27</v>
      </c>
      <c r="M14" s="42" t="s">
        <v>27</v>
      </c>
      <c r="N14" s="42" t="s">
        <v>27</v>
      </c>
      <c r="O14" s="42" t="s">
        <v>27</v>
      </c>
      <c r="P14" s="42" t="s">
        <v>27</v>
      </c>
      <c r="Q14" s="42" t="s">
        <v>27</v>
      </c>
      <c r="R14" s="44"/>
      <c r="S14" s="42"/>
      <c r="T14" s="42" t="s">
        <v>112</v>
      </c>
      <c r="U14" s="203"/>
      <c r="V14" s="203"/>
      <c r="W14" s="42" t="s">
        <v>27</v>
      </c>
      <c r="X14" s="42"/>
      <c r="Y14" s="42" t="s">
        <v>27</v>
      </c>
      <c r="Z14" s="42" t="s">
        <v>27</v>
      </c>
      <c r="AA14" s="150"/>
      <c r="AB14" s="150"/>
      <c r="AC14" s="44"/>
      <c r="AD14" s="44"/>
      <c r="AE14" s="42" t="s">
        <v>27</v>
      </c>
      <c r="AF14" s="46"/>
      <c r="AG14" s="48">
        <f t="shared" si="0"/>
        <v>12</v>
      </c>
      <c r="AH14" s="48">
        <f t="shared" si="1"/>
        <v>4</v>
      </c>
      <c r="AI14" s="48">
        <f t="shared" si="2"/>
        <v>200</v>
      </c>
      <c r="AJ14" s="48"/>
    </row>
    <row r="15" spans="1:36" ht="13.8">
      <c r="A15" s="192" t="s">
        <v>842</v>
      </c>
      <c r="B15" s="193" t="s">
        <v>843</v>
      </c>
      <c r="C15" s="194"/>
      <c r="D15" s="195" t="s">
        <v>35</v>
      </c>
      <c r="E15" s="196">
        <v>964506518</v>
      </c>
      <c r="F15" s="42" t="s">
        <v>27</v>
      </c>
      <c r="G15" s="42" t="s">
        <v>19</v>
      </c>
      <c r="H15" s="42" t="s">
        <v>19</v>
      </c>
      <c r="I15" s="42" t="s">
        <v>27</v>
      </c>
      <c r="J15" s="42" t="s">
        <v>19</v>
      </c>
      <c r="K15" s="42" t="s">
        <v>19</v>
      </c>
      <c r="L15" s="44"/>
      <c r="M15" s="44"/>
      <c r="N15" s="44"/>
      <c r="O15" s="44"/>
      <c r="P15" s="44"/>
      <c r="Q15" s="44"/>
      <c r="R15" s="44"/>
      <c r="S15" s="44"/>
      <c r="T15" s="44"/>
      <c r="U15" s="203"/>
      <c r="V15" s="203"/>
      <c r="W15" s="44"/>
      <c r="X15" s="44"/>
      <c r="Y15" s="44"/>
      <c r="Z15" s="42" t="s">
        <v>27</v>
      </c>
      <c r="AA15" s="150"/>
      <c r="AB15" s="150"/>
      <c r="AC15" s="42" t="s">
        <v>27</v>
      </c>
      <c r="AD15" s="42" t="s">
        <v>27</v>
      </c>
      <c r="AE15" s="44"/>
      <c r="AF15" s="46"/>
      <c r="AG15" s="48">
        <f t="shared" si="0"/>
        <v>5</v>
      </c>
      <c r="AH15" s="48">
        <f t="shared" si="1"/>
        <v>4</v>
      </c>
      <c r="AI15" s="48">
        <f t="shared" si="2"/>
        <v>83.333333333333343</v>
      </c>
      <c r="AJ15" s="48"/>
    </row>
    <row r="16" spans="1:36" ht="13.8">
      <c r="A16" s="192" t="s">
        <v>848</v>
      </c>
      <c r="B16" s="193" t="s">
        <v>849</v>
      </c>
      <c r="C16" s="194"/>
      <c r="D16" s="195" t="s">
        <v>26</v>
      </c>
      <c r="E16" s="223"/>
      <c r="F16" s="42" t="s">
        <v>19</v>
      </c>
      <c r="G16" s="42" t="s">
        <v>27</v>
      </c>
      <c r="H16" s="42" t="s">
        <v>27</v>
      </c>
      <c r="I16" s="42" t="s">
        <v>19</v>
      </c>
      <c r="J16" s="42" t="s">
        <v>27</v>
      </c>
      <c r="K16" s="42" t="s">
        <v>27</v>
      </c>
      <c r="L16" s="44"/>
      <c r="M16" s="44"/>
      <c r="N16" s="44"/>
      <c r="O16" s="44"/>
      <c r="P16" s="44"/>
      <c r="Q16" s="44"/>
      <c r="R16" s="42" t="s">
        <v>27</v>
      </c>
      <c r="S16" s="44"/>
      <c r="T16" s="44"/>
      <c r="U16" s="203"/>
      <c r="V16" s="203"/>
      <c r="W16" s="44"/>
      <c r="X16" s="44"/>
      <c r="Y16" s="44"/>
      <c r="Z16" s="44"/>
      <c r="AA16" s="150"/>
      <c r="AB16" s="150"/>
      <c r="AC16" s="44"/>
      <c r="AD16" s="44"/>
      <c r="AE16" s="44"/>
      <c r="AF16" s="46"/>
      <c r="AG16" s="48">
        <f t="shared" si="0"/>
        <v>5</v>
      </c>
      <c r="AH16" s="48">
        <f t="shared" si="1"/>
        <v>2</v>
      </c>
      <c r="AI16" s="48">
        <f t="shared" si="2"/>
        <v>83.333333333333343</v>
      </c>
      <c r="AJ16" s="48"/>
    </row>
    <row r="17" spans="1:36" ht="13.8">
      <c r="A17" s="192" t="s">
        <v>854</v>
      </c>
      <c r="B17" s="193" t="s">
        <v>856</v>
      </c>
      <c r="C17" s="195">
        <v>31</v>
      </c>
      <c r="D17" s="195" t="s">
        <v>35</v>
      </c>
      <c r="E17" s="196">
        <v>910611081</v>
      </c>
      <c r="F17" s="42" t="s">
        <v>19</v>
      </c>
      <c r="G17" s="42" t="s">
        <v>19</v>
      </c>
      <c r="H17" s="42" t="s">
        <v>27</v>
      </c>
      <c r="I17" s="42" t="s">
        <v>19</v>
      </c>
      <c r="J17" s="42" t="s">
        <v>19</v>
      </c>
      <c r="K17" s="42" t="s">
        <v>19</v>
      </c>
      <c r="L17" s="44"/>
      <c r="M17" s="44"/>
      <c r="N17" s="44"/>
      <c r="O17" s="44"/>
      <c r="P17" s="44"/>
      <c r="Q17" s="44"/>
      <c r="R17" s="44"/>
      <c r="S17" s="44"/>
      <c r="T17" s="44"/>
      <c r="U17" s="203"/>
      <c r="V17" s="203"/>
      <c r="W17" s="44"/>
      <c r="X17" s="44"/>
      <c r="Y17" s="44"/>
      <c r="Z17" s="44"/>
      <c r="AA17" s="150"/>
      <c r="AB17" s="150"/>
      <c r="AC17" s="44"/>
      <c r="AD17" s="44"/>
      <c r="AE17" s="44"/>
      <c r="AF17" s="46"/>
      <c r="AG17" s="48">
        <f t="shared" si="0"/>
        <v>1</v>
      </c>
      <c r="AH17" s="48">
        <f t="shared" si="1"/>
        <v>5</v>
      </c>
      <c r="AI17" s="48">
        <f t="shared" si="2"/>
        <v>16.666666666666664</v>
      </c>
      <c r="AJ17" s="48"/>
    </row>
    <row r="18" spans="1:36" ht="13.8">
      <c r="A18" s="192" t="s">
        <v>859</v>
      </c>
      <c r="B18" s="193" t="s">
        <v>860</v>
      </c>
      <c r="C18" s="194"/>
      <c r="D18" s="195" t="s">
        <v>35</v>
      </c>
      <c r="E18" s="196">
        <v>994439728</v>
      </c>
      <c r="F18" s="42" t="s">
        <v>27</v>
      </c>
      <c r="G18" s="42" t="s">
        <v>27</v>
      </c>
      <c r="H18" s="42" t="s">
        <v>27</v>
      </c>
      <c r="I18" s="42" t="s">
        <v>19</v>
      </c>
      <c r="J18" s="42" t="s">
        <v>19</v>
      </c>
      <c r="K18" s="42" t="s">
        <v>19</v>
      </c>
      <c r="L18" s="44"/>
      <c r="M18" s="44"/>
      <c r="N18" s="44"/>
      <c r="O18" s="44"/>
      <c r="P18" s="44"/>
      <c r="Q18" s="44"/>
      <c r="R18" s="44"/>
      <c r="S18" s="44"/>
      <c r="T18" s="44"/>
      <c r="U18" s="203"/>
      <c r="V18" s="203"/>
      <c r="W18" s="44"/>
      <c r="X18" s="44"/>
      <c r="Y18" s="44"/>
      <c r="Z18" s="44"/>
      <c r="AA18" s="150"/>
      <c r="AB18" s="150"/>
      <c r="AC18" s="44"/>
      <c r="AD18" s="44"/>
      <c r="AE18" s="44"/>
      <c r="AF18" s="46"/>
      <c r="AG18" s="48">
        <f t="shared" si="0"/>
        <v>3</v>
      </c>
      <c r="AH18" s="48">
        <f t="shared" si="1"/>
        <v>3</v>
      </c>
      <c r="AI18" s="48">
        <f t="shared" si="2"/>
        <v>50</v>
      </c>
      <c r="AJ18" s="48"/>
    </row>
    <row r="19" spans="1:36" ht="13.8">
      <c r="A19" s="192" t="s">
        <v>862</v>
      </c>
      <c r="B19" s="206" t="s">
        <v>863</v>
      </c>
      <c r="C19" s="194"/>
      <c r="D19" s="195" t="s">
        <v>35</v>
      </c>
      <c r="E19" s="196">
        <v>921899792</v>
      </c>
      <c r="F19" s="42" t="s">
        <v>19</v>
      </c>
      <c r="G19" s="42" t="s">
        <v>19</v>
      </c>
      <c r="H19" s="42" t="s">
        <v>27</v>
      </c>
      <c r="I19" s="42" t="s">
        <v>19</v>
      </c>
      <c r="J19" s="42" t="s">
        <v>19</v>
      </c>
      <c r="K19" s="42" t="s">
        <v>27</v>
      </c>
      <c r="L19" s="42" t="s">
        <v>27</v>
      </c>
      <c r="M19" s="44"/>
      <c r="N19" s="44"/>
      <c r="O19" s="44"/>
      <c r="P19" s="44"/>
      <c r="Q19" s="44"/>
      <c r="R19" s="44"/>
      <c r="S19" s="44"/>
      <c r="T19" s="44"/>
      <c r="U19" s="203"/>
      <c r="V19" s="203"/>
      <c r="W19" s="44"/>
      <c r="X19" s="44"/>
      <c r="Y19" s="44"/>
      <c r="Z19" s="44"/>
      <c r="AA19" s="150"/>
      <c r="AB19" s="150"/>
      <c r="AC19" s="44"/>
      <c r="AD19" s="44"/>
      <c r="AE19" s="44"/>
      <c r="AF19" s="46"/>
      <c r="AG19" s="48">
        <f t="shared" si="0"/>
        <v>3</v>
      </c>
      <c r="AH19" s="48">
        <f t="shared" si="1"/>
        <v>4</v>
      </c>
      <c r="AI19" s="48">
        <f t="shared" si="2"/>
        <v>50</v>
      </c>
      <c r="AJ19" s="48"/>
    </row>
    <row r="20" spans="1:36" ht="13.8">
      <c r="A20" s="192" t="s">
        <v>866</v>
      </c>
      <c r="B20" s="193" t="s">
        <v>867</v>
      </c>
      <c r="C20" s="195">
        <v>24</v>
      </c>
      <c r="D20" s="195" t="s">
        <v>35</v>
      </c>
      <c r="E20" s="211" t="s">
        <v>868</v>
      </c>
      <c r="F20" s="42" t="s">
        <v>19</v>
      </c>
      <c r="G20" s="42" t="s">
        <v>19</v>
      </c>
      <c r="H20" s="42" t="s">
        <v>27</v>
      </c>
      <c r="I20" s="42" t="s">
        <v>19</v>
      </c>
      <c r="J20" s="42" t="s">
        <v>19</v>
      </c>
      <c r="K20" s="42" t="s">
        <v>19</v>
      </c>
      <c r="L20" s="42" t="s">
        <v>27</v>
      </c>
      <c r="M20" s="44"/>
      <c r="N20" s="44"/>
      <c r="O20" s="44"/>
      <c r="P20" s="44"/>
      <c r="Q20" s="44"/>
      <c r="R20" s="44"/>
      <c r="S20" s="44"/>
      <c r="T20" s="44"/>
      <c r="U20" s="203"/>
      <c r="V20" s="203"/>
      <c r="W20" s="42" t="s">
        <v>27</v>
      </c>
      <c r="X20" s="42" t="s">
        <v>27</v>
      </c>
      <c r="Y20" s="42" t="s">
        <v>27</v>
      </c>
      <c r="Z20" s="42" t="s">
        <v>27</v>
      </c>
      <c r="AA20" s="150"/>
      <c r="AB20" s="150"/>
      <c r="AC20" s="44"/>
      <c r="AD20" s="44"/>
      <c r="AE20" s="44"/>
      <c r="AF20" s="46"/>
      <c r="AG20" s="48">
        <f t="shared" si="0"/>
        <v>6</v>
      </c>
      <c r="AH20" s="48">
        <f t="shared" si="1"/>
        <v>5</v>
      </c>
      <c r="AI20" s="48">
        <f t="shared" si="2"/>
        <v>100</v>
      </c>
      <c r="AJ20" s="48"/>
    </row>
    <row r="21" spans="1:36" ht="13.8">
      <c r="A21" s="192" t="s">
        <v>870</v>
      </c>
      <c r="B21" s="206" t="s">
        <v>871</v>
      </c>
      <c r="C21" s="194"/>
      <c r="D21" s="195" t="s">
        <v>26</v>
      </c>
      <c r="E21" s="196">
        <v>911300897</v>
      </c>
      <c r="F21" s="42" t="s">
        <v>27</v>
      </c>
      <c r="G21" s="42" t="s">
        <v>27</v>
      </c>
      <c r="H21" s="42" t="s">
        <v>27</v>
      </c>
      <c r="I21" s="42" t="s">
        <v>27</v>
      </c>
      <c r="J21" s="42" t="s">
        <v>27</v>
      </c>
      <c r="K21" s="42" t="s">
        <v>27</v>
      </c>
      <c r="L21" s="42" t="s">
        <v>27</v>
      </c>
      <c r="M21" s="44"/>
      <c r="N21" s="44"/>
      <c r="O21" s="44"/>
      <c r="P21" s="44"/>
      <c r="Q21" s="44"/>
      <c r="R21" s="44"/>
      <c r="S21" s="44"/>
      <c r="T21" s="44"/>
      <c r="U21" s="203"/>
      <c r="V21" s="203"/>
      <c r="W21" s="44"/>
      <c r="X21" s="44"/>
      <c r="Y21" s="42" t="s">
        <v>27</v>
      </c>
      <c r="Z21" s="42" t="s">
        <v>27</v>
      </c>
      <c r="AA21" s="150"/>
      <c r="AB21" s="150"/>
      <c r="AC21" s="42" t="s">
        <v>112</v>
      </c>
      <c r="AD21" s="42" t="s">
        <v>27</v>
      </c>
      <c r="AE21" s="42" t="s">
        <v>27</v>
      </c>
      <c r="AF21" s="64" t="s">
        <v>27</v>
      </c>
      <c r="AG21" s="48">
        <f t="shared" si="0"/>
        <v>12</v>
      </c>
      <c r="AH21" s="48">
        <f t="shared" si="1"/>
        <v>0</v>
      </c>
      <c r="AI21" s="48">
        <f t="shared" si="2"/>
        <v>200</v>
      </c>
      <c r="AJ21" s="48"/>
    </row>
    <row r="22" spans="1:36" ht="13.8">
      <c r="A22" s="192" t="s">
        <v>872</v>
      </c>
      <c r="B22" s="193" t="s">
        <v>873</v>
      </c>
      <c r="C22" s="195">
        <v>23</v>
      </c>
      <c r="D22" s="195" t="s">
        <v>26</v>
      </c>
      <c r="E22" s="196">
        <v>941961321</v>
      </c>
      <c r="F22" s="42" t="s">
        <v>27</v>
      </c>
      <c r="G22" s="42" t="s">
        <v>27</v>
      </c>
      <c r="H22" s="42" t="s">
        <v>27</v>
      </c>
      <c r="I22" s="42" t="s">
        <v>19</v>
      </c>
      <c r="J22" s="42" t="s">
        <v>27</v>
      </c>
      <c r="K22" s="42" t="s">
        <v>19</v>
      </c>
      <c r="L22" s="44"/>
      <c r="M22" s="44"/>
      <c r="N22" s="44"/>
      <c r="O22" s="44"/>
      <c r="P22" s="44"/>
      <c r="Q22" s="42" t="s">
        <v>27</v>
      </c>
      <c r="R22" s="42" t="s">
        <v>27</v>
      </c>
      <c r="S22" s="42" t="s">
        <v>27</v>
      </c>
      <c r="T22" s="44"/>
      <c r="U22" s="203"/>
      <c r="V22" s="203"/>
      <c r="W22" s="44"/>
      <c r="X22" s="42" t="s">
        <v>27</v>
      </c>
      <c r="Y22" s="42" t="s">
        <v>27</v>
      </c>
      <c r="Z22" s="42" t="s">
        <v>27</v>
      </c>
      <c r="AA22" s="150"/>
      <c r="AB22" s="150"/>
      <c r="AC22" s="44"/>
      <c r="AD22" s="44"/>
      <c r="AE22" s="44"/>
      <c r="AF22" s="46"/>
      <c r="AG22" s="48">
        <f t="shared" si="0"/>
        <v>10</v>
      </c>
      <c r="AH22" s="48">
        <f t="shared" si="1"/>
        <v>2</v>
      </c>
      <c r="AI22" s="48">
        <f t="shared" si="2"/>
        <v>166.66666666666669</v>
      </c>
      <c r="AJ22" s="48"/>
    </row>
    <row r="23" spans="1:36" ht="13.8">
      <c r="A23" s="192" t="s">
        <v>874</v>
      </c>
      <c r="B23" s="193" t="s">
        <v>875</v>
      </c>
      <c r="C23" s="194"/>
      <c r="D23" s="195" t="s">
        <v>35</v>
      </c>
      <c r="E23" s="196">
        <v>974403606</v>
      </c>
      <c r="F23" s="42" t="s">
        <v>19</v>
      </c>
      <c r="G23" s="42" t="s">
        <v>27</v>
      </c>
      <c r="H23" s="42" t="s">
        <v>19</v>
      </c>
      <c r="I23" s="42" t="s">
        <v>27</v>
      </c>
      <c r="J23" s="42" t="s">
        <v>27</v>
      </c>
      <c r="K23" s="42" t="s">
        <v>19</v>
      </c>
      <c r="L23" s="44"/>
      <c r="M23" s="44"/>
      <c r="N23" s="44"/>
      <c r="O23" s="44"/>
      <c r="P23" s="44"/>
      <c r="Q23" s="44"/>
      <c r="R23" s="44"/>
      <c r="S23" s="44"/>
      <c r="T23" s="44"/>
      <c r="U23" s="203"/>
      <c r="V23" s="203"/>
      <c r="W23" s="44"/>
      <c r="X23" s="44"/>
      <c r="Y23" s="44"/>
      <c r="Z23" s="44"/>
      <c r="AA23" s="150"/>
      <c r="AB23" s="150"/>
      <c r="AC23" s="44"/>
      <c r="AD23" s="44"/>
      <c r="AE23" s="44"/>
      <c r="AF23" s="46"/>
      <c r="AG23" s="48">
        <f t="shared" si="0"/>
        <v>3</v>
      </c>
      <c r="AH23" s="48">
        <f t="shared" si="1"/>
        <v>3</v>
      </c>
      <c r="AI23" s="48">
        <f t="shared" si="2"/>
        <v>50</v>
      </c>
      <c r="AJ23" s="48"/>
    </row>
    <row r="24" spans="1:36" ht="13.8">
      <c r="A24" s="192" t="s">
        <v>876</v>
      </c>
      <c r="B24" s="193" t="s">
        <v>877</v>
      </c>
      <c r="C24" s="194"/>
      <c r="D24" s="195" t="s">
        <v>35</v>
      </c>
      <c r="E24" s="211" t="s">
        <v>878</v>
      </c>
      <c r="F24" s="42" t="s">
        <v>19</v>
      </c>
      <c r="G24" s="42" t="s">
        <v>19</v>
      </c>
      <c r="H24" s="42" t="s">
        <v>19</v>
      </c>
      <c r="I24" s="42" t="s">
        <v>19</v>
      </c>
      <c r="J24" s="42" t="s">
        <v>19</v>
      </c>
      <c r="K24" s="42" t="s">
        <v>19</v>
      </c>
      <c r="L24" s="44"/>
      <c r="M24" s="44"/>
      <c r="N24" s="44"/>
      <c r="O24" s="44"/>
      <c r="P24" s="44"/>
      <c r="Q24" s="44"/>
      <c r="R24" s="44"/>
      <c r="S24" s="44"/>
      <c r="T24" s="44"/>
      <c r="U24" s="203"/>
      <c r="V24" s="203"/>
      <c r="W24" s="44"/>
      <c r="X24" s="44"/>
      <c r="Y24" s="44"/>
      <c r="Z24" s="44"/>
      <c r="AA24" s="150"/>
      <c r="AB24" s="150"/>
      <c r="AC24" s="44"/>
      <c r="AD24" s="44"/>
      <c r="AE24" s="44"/>
      <c r="AF24" s="46"/>
      <c r="AG24" s="48">
        <f t="shared" si="0"/>
        <v>0</v>
      </c>
      <c r="AH24" s="48">
        <f t="shared" si="1"/>
        <v>6</v>
      </c>
      <c r="AI24" s="48">
        <f t="shared" si="2"/>
        <v>0</v>
      </c>
      <c r="AJ24" s="48"/>
    </row>
    <row r="25" spans="1:36" ht="13.8">
      <c r="A25" s="192" t="s">
        <v>879</v>
      </c>
      <c r="B25" s="193" t="s">
        <v>880</v>
      </c>
      <c r="C25" s="195">
        <v>22</v>
      </c>
      <c r="D25" s="195" t="s">
        <v>35</v>
      </c>
      <c r="E25" s="196">
        <v>975798726</v>
      </c>
      <c r="F25" s="42" t="s">
        <v>27</v>
      </c>
      <c r="G25" s="42" t="s">
        <v>27</v>
      </c>
      <c r="H25" s="42" t="s">
        <v>27</v>
      </c>
      <c r="I25" s="42" t="s">
        <v>27</v>
      </c>
      <c r="J25" s="42" t="s">
        <v>27</v>
      </c>
      <c r="K25" s="42" t="s">
        <v>27</v>
      </c>
      <c r="L25" s="42" t="s">
        <v>27</v>
      </c>
      <c r="M25" s="42" t="s">
        <v>27</v>
      </c>
      <c r="N25" s="44"/>
      <c r="O25" s="44"/>
      <c r="P25" s="42" t="s">
        <v>27</v>
      </c>
      <c r="Q25" s="42" t="s">
        <v>27</v>
      </c>
      <c r="R25" s="44"/>
      <c r="S25" s="44"/>
      <c r="T25" s="44"/>
      <c r="U25" s="203"/>
      <c r="V25" s="203"/>
      <c r="W25" s="44"/>
      <c r="X25" s="42" t="s">
        <v>27</v>
      </c>
      <c r="Y25" s="42" t="s">
        <v>27</v>
      </c>
      <c r="Z25" s="42" t="s">
        <v>27</v>
      </c>
      <c r="AA25" s="150"/>
      <c r="AB25" s="150"/>
      <c r="AC25" s="42" t="s">
        <v>27</v>
      </c>
      <c r="AD25" s="44"/>
      <c r="AE25" s="42" t="s">
        <v>27</v>
      </c>
      <c r="AF25" s="64" t="s">
        <v>27</v>
      </c>
      <c r="AG25" s="48">
        <f t="shared" si="0"/>
        <v>16</v>
      </c>
      <c r="AH25" s="48">
        <f t="shared" si="1"/>
        <v>0</v>
      </c>
      <c r="AI25" s="48">
        <f t="shared" si="2"/>
        <v>266.66666666666663</v>
      </c>
      <c r="AJ25" s="48"/>
    </row>
    <row r="26" spans="1:36" ht="13.8">
      <c r="A26" s="192" t="s">
        <v>881</v>
      </c>
      <c r="B26" s="193" t="s">
        <v>882</v>
      </c>
      <c r="C26" s="195">
        <v>21</v>
      </c>
      <c r="D26" s="195" t="s">
        <v>35</v>
      </c>
      <c r="E26" s="211" t="s">
        <v>883</v>
      </c>
      <c r="F26" s="42" t="s">
        <v>19</v>
      </c>
      <c r="G26" s="42" t="s">
        <v>27</v>
      </c>
      <c r="H26" s="42" t="s">
        <v>27</v>
      </c>
      <c r="I26" s="42" t="s">
        <v>19</v>
      </c>
      <c r="J26" s="42" t="s">
        <v>19</v>
      </c>
      <c r="K26" s="42" t="s">
        <v>27</v>
      </c>
      <c r="L26" s="42" t="s">
        <v>27</v>
      </c>
      <c r="M26" s="44"/>
      <c r="N26" s="44"/>
      <c r="O26" s="44"/>
      <c r="P26" s="44"/>
      <c r="Q26" s="44"/>
      <c r="R26" s="44"/>
      <c r="S26" s="44"/>
      <c r="T26" s="44"/>
      <c r="U26" s="203"/>
      <c r="V26" s="203"/>
      <c r="W26" s="44"/>
      <c r="X26" s="44"/>
      <c r="Y26" s="44"/>
      <c r="Z26" s="44"/>
      <c r="AA26" s="150"/>
      <c r="AB26" s="150"/>
      <c r="AC26" s="44"/>
      <c r="AD26" s="44"/>
      <c r="AE26" s="44"/>
      <c r="AF26" s="46"/>
      <c r="AG26" s="48">
        <f t="shared" si="0"/>
        <v>4</v>
      </c>
      <c r="AH26" s="48">
        <f t="shared" si="1"/>
        <v>3</v>
      </c>
      <c r="AI26" s="48">
        <f t="shared" si="2"/>
        <v>66.666666666666657</v>
      </c>
      <c r="AJ26" s="48"/>
    </row>
    <row r="27" spans="1:36" ht="13.8">
      <c r="A27" s="192" t="s">
        <v>884</v>
      </c>
      <c r="B27" s="193" t="s">
        <v>885</v>
      </c>
      <c r="C27" s="194"/>
      <c r="D27" s="195" t="s">
        <v>35</v>
      </c>
      <c r="E27" s="196">
        <v>900856880</v>
      </c>
      <c r="F27" s="225" t="s">
        <v>19</v>
      </c>
      <c r="G27" s="225" t="s">
        <v>19</v>
      </c>
      <c r="H27" s="225" t="s">
        <v>19</v>
      </c>
      <c r="I27" s="42" t="s">
        <v>19</v>
      </c>
      <c r="J27" s="42" t="s">
        <v>19</v>
      </c>
      <c r="K27" s="42" t="s">
        <v>19</v>
      </c>
      <c r="L27" s="226"/>
      <c r="M27" s="226"/>
      <c r="N27" s="226"/>
      <c r="O27" s="226"/>
      <c r="P27" s="226"/>
      <c r="Q27" s="226"/>
      <c r="R27" s="226"/>
      <c r="S27" s="226"/>
      <c r="T27" s="226"/>
      <c r="U27" s="227"/>
      <c r="V27" s="227"/>
      <c r="W27" s="226"/>
      <c r="X27" s="226"/>
      <c r="Y27" s="226"/>
      <c r="Z27" s="226"/>
      <c r="AA27" s="229"/>
      <c r="AB27" s="229"/>
      <c r="AC27" s="226"/>
      <c r="AD27" s="226"/>
      <c r="AE27" s="226"/>
      <c r="AF27" s="228"/>
      <c r="AG27" s="48">
        <f t="shared" si="0"/>
        <v>0</v>
      </c>
      <c r="AH27" s="48">
        <f t="shared" si="1"/>
        <v>6</v>
      </c>
      <c r="AI27" s="48">
        <f t="shared" si="2"/>
        <v>0</v>
      </c>
      <c r="AJ27" s="230"/>
    </row>
    <row r="28" spans="1:36" ht="13.8">
      <c r="A28" s="192" t="s">
        <v>886</v>
      </c>
      <c r="B28" s="193" t="s">
        <v>887</v>
      </c>
      <c r="C28" s="194"/>
      <c r="D28" s="195" t="s">
        <v>26</v>
      </c>
      <c r="E28" s="223"/>
      <c r="F28" s="42" t="s">
        <v>19</v>
      </c>
      <c r="G28" s="42" t="s">
        <v>19</v>
      </c>
      <c r="H28" s="42" t="s">
        <v>19</v>
      </c>
      <c r="I28" s="42" t="s">
        <v>19</v>
      </c>
      <c r="J28" s="42" t="s">
        <v>19</v>
      </c>
      <c r="K28" s="42" t="s">
        <v>19</v>
      </c>
      <c r="L28" s="44"/>
      <c r="M28" s="44"/>
      <c r="N28" s="44"/>
      <c r="O28" s="44"/>
      <c r="P28" s="44"/>
      <c r="Q28" s="44"/>
      <c r="R28" s="44"/>
      <c r="S28" s="44"/>
      <c r="T28" s="44"/>
      <c r="U28" s="203"/>
      <c r="V28" s="203"/>
      <c r="W28" s="44"/>
      <c r="X28" s="44"/>
      <c r="Y28" s="44"/>
      <c r="Z28" s="44"/>
      <c r="AA28" s="150"/>
      <c r="AB28" s="150"/>
      <c r="AC28" s="44"/>
      <c r="AD28" s="44"/>
      <c r="AE28" s="44"/>
      <c r="AF28" s="46"/>
      <c r="AG28" s="48">
        <f t="shared" si="0"/>
        <v>0</v>
      </c>
      <c r="AH28" s="48">
        <f t="shared" si="1"/>
        <v>6</v>
      </c>
      <c r="AI28" s="48">
        <f t="shared" si="2"/>
        <v>0</v>
      </c>
      <c r="AJ28" s="48"/>
    </row>
    <row r="29" spans="1:36" ht="13.8">
      <c r="A29" s="192" t="s">
        <v>888</v>
      </c>
      <c r="B29" s="193" t="s">
        <v>889</v>
      </c>
      <c r="C29" s="194"/>
      <c r="D29" s="195" t="s">
        <v>26</v>
      </c>
      <c r="E29" s="196">
        <v>983042788</v>
      </c>
      <c r="F29" s="42" t="s">
        <v>19</v>
      </c>
      <c r="G29" s="42" t="s">
        <v>19</v>
      </c>
      <c r="H29" s="42" t="s">
        <v>19</v>
      </c>
      <c r="I29" s="42" t="s">
        <v>19</v>
      </c>
      <c r="J29" s="42" t="s">
        <v>19</v>
      </c>
      <c r="K29" s="42" t="s">
        <v>19</v>
      </c>
      <c r="L29" s="44"/>
      <c r="M29" s="44"/>
      <c r="N29" s="44"/>
      <c r="O29" s="44"/>
      <c r="P29" s="44"/>
      <c r="Q29" s="44"/>
      <c r="R29" s="44"/>
      <c r="S29" s="44"/>
      <c r="T29" s="44"/>
      <c r="U29" s="203"/>
      <c r="V29" s="203"/>
      <c r="W29" s="44"/>
      <c r="X29" s="42" t="s">
        <v>27</v>
      </c>
      <c r="Y29" s="42" t="s">
        <v>27</v>
      </c>
      <c r="Z29" s="44"/>
      <c r="AA29" s="150"/>
      <c r="AB29" s="150"/>
      <c r="AC29" s="44"/>
      <c r="AD29" s="44"/>
      <c r="AE29" s="44"/>
      <c r="AF29" s="46"/>
      <c r="AG29" s="48">
        <f t="shared" si="0"/>
        <v>2</v>
      </c>
      <c r="AH29" s="48">
        <f t="shared" si="1"/>
        <v>6</v>
      </c>
      <c r="AI29" s="48">
        <f t="shared" si="2"/>
        <v>33.333333333333329</v>
      </c>
      <c r="AJ29" s="48"/>
    </row>
    <row r="30" spans="1:36" ht="13.8">
      <c r="A30" s="192" t="s">
        <v>890</v>
      </c>
      <c r="B30" s="193" t="s">
        <v>891</v>
      </c>
      <c r="C30" s="194"/>
      <c r="D30" s="195"/>
      <c r="E30" s="211" t="s">
        <v>892</v>
      </c>
      <c r="F30" s="42" t="s">
        <v>27</v>
      </c>
      <c r="G30" s="42" t="s">
        <v>27</v>
      </c>
      <c r="H30" s="42" t="s">
        <v>112</v>
      </c>
      <c r="I30" s="42" t="s">
        <v>112</v>
      </c>
      <c r="J30" s="42" t="s">
        <v>27</v>
      </c>
      <c r="K30" s="42" t="s">
        <v>19</v>
      </c>
      <c r="L30" s="42" t="s">
        <v>27</v>
      </c>
      <c r="M30" s="42" t="s">
        <v>112</v>
      </c>
      <c r="N30" s="44"/>
      <c r="O30" s="44"/>
      <c r="P30" s="44"/>
      <c r="Q30" s="44"/>
      <c r="R30" s="42" t="s">
        <v>27</v>
      </c>
      <c r="S30" s="44"/>
      <c r="T30" s="42" t="s">
        <v>27</v>
      </c>
      <c r="U30" s="203"/>
      <c r="V30" s="203"/>
      <c r="W30" s="42" t="s">
        <v>27</v>
      </c>
      <c r="X30" s="42" t="s">
        <v>27</v>
      </c>
      <c r="Y30" s="42" t="s">
        <v>27</v>
      </c>
      <c r="Z30" s="42" t="s">
        <v>27</v>
      </c>
      <c r="AA30" s="150"/>
      <c r="AB30" s="150"/>
      <c r="AC30" s="42" t="s">
        <v>27</v>
      </c>
      <c r="AD30" s="42" t="s">
        <v>27</v>
      </c>
      <c r="AE30" s="42" t="s">
        <v>27</v>
      </c>
      <c r="AF30" s="46"/>
      <c r="AG30" s="48">
        <f t="shared" si="0"/>
        <v>13</v>
      </c>
      <c r="AH30" s="48">
        <f t="shared" si="1"/>
        <v>1</v>
      </c>
      <c r="AI30" s="48">
        <f t="shared" si="2"/>
        <v>216.66666666666666</v>
      </c>
      <c r="AJ30" s="48"/>
    </row>
    <row r="31" spans="1:36" ht="13.8">
      <c r="A31" s="192" t="s">
        <v>893</v>
      </c>
      <c r="B31" s="206" t="s">
        <v>894</v>
      </c>
      <c r="C31" s="195">
        <v>29</v>
      </c>
      <c r="D31" s="195" t="s">
        <v>26</v>
      </c>
      <c r="E31" s="196">
        <v>901315121</v>
      </c>
      <c r="F31" s="42" t="s">
        <v>19</v>
      </c>
      <c r="G31" s="42" t="s">
        <v>19</v>
      </c>
      <c r="H31" s="42" t="s">
        <v>27</v>
      </c>
      <c r="I31" s="42" t="s">
        <v>27</v>
      </c>
      <c r="J31" s="42" t="s">
        <v>27</v>
      </c>
      <c r="K31" s="42" t="s">
        <v>19</v>
      </c>
      <c r="L31" s="42" t="s">
        <v>27</v>
      </c>
      <c r="M31" s="42" t="s">
        <v>27</v>
      </c>
      <c r="N31" s="44"/>
      <c r="O31" s="44"/>
      <c r="P31" s="42" t="s">
        <v>27</v>
      </c>
      <c r="Q31" s="42" t="s">
        <v>27</v>
      </c>
      <c r="R31" s="42" t="s">
        <v>27</v>
      </c>
      <c r="S31" s="42" t="s">
        <v>27</v>
      </c>
      <c r="T31" s="42" t="s">
        <v>27</v>
      </c>
      <c r="U31" s="203"/>
      <c r="V31" s="203"/>
      <c r="W31" s="44"/>
      <c r="X31" s="44"/>
      <c r="Y31" s="42" t="s">
        <v>27</v>
      </c>
      <c r="Z31" s="42" t="s">
        <v>27</v>
      </c>
      <c r="AA31" s="150"/>
      <c r="AB31" s="150"/>
      <c r="AC31" s="42" t="s">
        <v>27</v>
      </c>
      <c r="AD31" s="44"/>
      <c r="AE31" s="44"/>
      <c r="AF31" s="46"/>
      <c r="AG31" s="48">
        <f t="shared" si="0"/>
        <v>13</v>
      </c>
      <c r="AH31" s="48">
        <f t="shared" si="1"/>
        <v>3</v>
      </c>
      <c r="AI31" s="48">
        <f t="shared" si="2"/>
        <v>216.66666666666666</v>
      </c>
      <c r="AJ31" s="48"/>
    </row>
    <row r="32" spans="1:36" ht="13.8">
      <c r="A32" s="192" t="s">
        <v>895</v>
      </c>
      <c r="B32" s="193" t="s">
        <v>896</v>
      </c>
      <c r="C32" s="194"/>
      <c r="D32" s="195" t="s">
        <v>26</v>
      </c>
      <c r="E32" s="211" t="s">
        <v>897</v>
      </c>
      <c r="F32" s="42" t="s">
        <v>19</v>
      </c>
      <c r="G32" s="42" t="s">
        <v>19</v>
      </c>
      <c r="H32" s="42" t="s">
        <v>27</v>
      </c>
      <c r="I32" s="42" t="s">
        <v>27</v>
      </c>
      <c r="J32" s="42" t="s">
        <v>27</v>
      </c>
      <c r="K32" s="42" t="s">
        <v>27</v>
      </c>
      <c r="L32" s="44"/>
      <c r="M32" s="42" t="s">
        <v>27</v>
      </c>
      <c r="N32" s="44"/>
      <c r="O32" s="44"/>
      <c r="P32" s="44"/>
      <c r="Q32" s="44"/>
      <c r="R32" s="44"/>
      <c r="S32" s="44"/>
      <c r="T32" s="44"/>
      <c r="U32" s="203"/>
      <c r="V32" s="203"/>
      <c r="W32" s="44"/>
      <c r="X32" s="44"/>
      <c r="Y32" s="44"/>
      <c r="Z32" s="42" t="s">
        <v>27</v>
      </c>
      <c r="AA32" s="150"/>
      <c r="AB32" s="150"/>
      <c r="AC32" s="42" t="s">
        <v>27</v>
      </c>
      <c r="AD32" s="44"/>
      <c r="AE32" s="44"/>
      <c r="AF32" s="46"/>
      <c r="AG32" s="48">
        <f t="shared" si="0"/>
        <v>7</v>
      </c>
      <c r="AH32" s="48">
        <f t="shared" si="1"/>
        <v>2</v>
      </c>
      <c r="AI32" s="48">
        <f t="shared" si="2"/>
        <v>116.66666666666667</v>
      </c>
      <c r="AJ32" s="48"/>
    </row>
    <row r="33" spans="1:36" ht="13.8">
      <c r="A33" s="192" t="s">
        <v>898</v>
      </c>
      <c r="B33" s="193" t="s">
        <v>899</v>
      </c>
      <c r="C33" s="194"/>
      <c r="D33" s="195" t="s">
        <v>35</v>
      </c>
      <c r="E33" s="196">
        <v>915559580</v>
      </c>
      <c r="F33" s="42" t="s">
        <v>27</v>
      </c>
      <c r="G33" s="42" t="s">
        <v>27</v>
      </c>
      <c r="H33" s="42" t="s">
        <v>27</v>
      </c>
      <c r="I33" s="42" t="s">
        <v>27</v>
      </c>
      <c r="J33" s="42" t="s">
        <v>27</v>
      </c>
      <c r="K33" s="42" t="s">
        <v>27</v>
      </c>
      <c r="L33" s="42" t="s">
        <v>27</v>
      </c>
      <c r="M33" s="44"/>
      <c r="N33" s="44"/>
      <c r="O33" s="44"/>
      <c r="P33" s="44"/>
      <c r="Q33" s="44"/>
      <c r="R33" s="42" t="s">
        <v>27</v>
      </c>
      <c r="S33" s="44"/>
      <c r="T33" s="44"/>
      <c r="U33" s="203"/>
      <c r="V33" s="203"/>
      <c r="W33" s="42" t="s">
        <v>27</v>
      </c>
      <c r="X33" s="42" t="s">
        <v>27</v>
      </c>
      <c r="Y33" s="42" t="s">
        <v>27</v>
      </c>
      <c r="Z33" s="42" t="s">
        <v>27</v>
      </c>
      <c r="AA33" s="150"/>
      <c r="AB33" s="150"/>
      <c r="AC33" s="42" t="s">
        <v>19</v>
      </c>
      <c r="AD33" s="42" t="s">
        <v>27</v>
      </c>
      <c r="AE33" s="44"/>
      <c r="AF33" s="46"/>
      <c r="AG33" s="48">
        <f t="shared" si="0"/>
        <v>13</v>
      </c>
      <c r="AH33" s="48">
        <f t="shared" si="1"/>
        <v>1</v>
      </c>
      <c r="AI33" s="48">
        <f t="shared" si="2"/>
        <v>216.66666666666666</v>
      </c>
      <c r="AJ33" s="48"/>
    </row>
    <row r="34" spans="1:36" ht="13.8">
      <c r="A34" s="192" t="s">
        <v>900</v>
      </c>
      <c r="B34" s="206" t="s">
        <v>901</v>
      </c>
      <c r="C34" s="194"/>
      <c r="D34" s="195" t="s">
        <v>35</v>
      </c>
      <c r="E34" s="196">
        <v>955413332</v>
      </c>
      <c r="F34" s="42" t="s">
        <v>19</v>
      </c>
      <c r="G34" s="42" t="s">
        <v>19</v>
      </c>
      <c r="H34" s="42" t="s">
        <v>19</v>
      </c>
      <c r="I34" s="42" t="s">
        <v>19</v>
      </c>
      <c r="J34" s="42" t="s">
        <v>19</v>
      </c>
      <c r="K34" s="42" t="s">
        <v>19</v>
      </c>
      <c r="L34" s="44"/>
      <c r="M34" s="44"/>
      <c r="N34" s="44"/>
      <c r="O34" s="44"/>
      <c r="P34" s="44"/>
      <c r="Q34" s="44"/>
      <c r="R34" s="44"/>
      <c r="S34" s="44"/>
      <c r="T34" s="44"/>
      <c r="U34" s="203"/>
      <c r="V34" s="203"/>
      <c r="W34" s="44"/>
      <c r="X34" s="44"/>
      <c r="Y34" s="44"/>
      <c r="Z34" s="44"/>
      <c r="AA34" s="150"/>
      <c r="AB34" s="150"/>
      <c r="AC34" s="44"/>
      <c r="AD34" s="44"/>
      <c r="AE34" s="44"/>
      <c r="AF34" s="46"/>
      <c r="AG34" s="48">
        <f t="shared" si="0"/>
        <v>0</v>
      </c>
      <c r="AH34" s="48">
        <f t="shared" si="1"/>
        <v>6</v>
      </c>
      <c r="AI34" s="48">
        <f t="shared" si="2"/>
        <v>0</v>
      </c>
      <c r="AJ34" s="48"/>
    </row>
    <row r="35" spans="1:36" ht="13.8">
      <c r="A35" s="192" t="s">
        <v>902</v>
      </c>
      <c r="B35" s="193" t="s">
        <v>903</v>
      </c>
      <c r="C35" s="194"/>
      <c r="D35" s="195" t="s">
        <v>26</v>
      </c>
      <c r="E35" s="196">
        <v>911919762</v>
      </c>
      <c r="F35" s="42" t="s">
        <v>27</v>
      </c>
      <c r="G35" s="42" t="s">
        <v>27</v>
      </c>
      <c r="H35" s="42" t="s">
        <v>27</v>
      </c>
      <c r="I35" s="42" t="s">
        <v>19</v>
      </c>
      <c r="J35" s="42" t="s">
        <v>19</v>
      </c>
      <c r="K35" s="42" t="s">
        <v>19</v>
      </c>
      <c r="L35" s="42" t="s">
        <v>27</v>
      </c>
      <c r="M35" s="42" t="s">
        <v>27</v>
      </c>
      <c r="N35" s="44"/>
      <c r="O35" s="44"/>
      <c r="P35" s="44"/>
      <c r="Q35" s="44"/>
      <c r="R35" s="44"/>
      <c r="S35" s="44"/>
      <c r="T35" s="44"/>
      <c r="U35" s="203"/>
      <c r="V35" s="203"/>
      <c r="W35" s="44"/>
      <c r="X35" s="44"/>
      <c r="Y35" s="44"/>
      <c r="Z35" s="44"/>
      <c r="AA35" s="150"/>
      <c r="AB35" s="150"/>
      <c r="AC35" s="44"/>
      <c r="AD35" s="44"/>
      <c r="AE35" s="44"/>
      <c r="AF35" s="46"/>
      <c r="AG35" s="48">
        <f t="shared" si="0"/>
        <v>5</v>
      </c>
      <c r="AH35" s="48">
        <f t="shared" si="1"/>
        <v>3</v>
      </c>
      <c r="AI35" s="48">
        <f t="shared" si="2"/>
        <v>83.333333333333343</v>
      </c>
      <c r="AJ35" s="48"/>
    </row>
    <row r="36" spans="1:36" ht="13.8">
      <c r="A36" s="192" t="s">
        <v>904</v>
      </c>
      <c r="B36" s="210" t="s">
        <v>905</v>
      </c>
      <c r="C36" s="31">
        <v>29</v>
      </c>
      <c r="D36" s="31" t="s">
        <v>26</v>
      </c>
      <c r="E36" s="196">
        <v>929403501</v>
      </c>
      <c r="F36" s="42" t="s">
        <v>27</v>
      </c>
      <c r="G36" s="42" t="s">
        <v>27</v>
      </c>
      <c r="H36" s="42" t="s">
        <v>19</v>
      </c>
      <c r="I36" s="42" t="s">
        <v>19</v>
      </c>
      <c r="J36" s="42" t="s">
        <v>27</v>
      </c>
      <c r="K36" s="42" t="s">
        <v>19</v>
      </c>
      <c r="L36" s="44"/>
      <c r="M36" s="44"/>
      <c r="N36" s="44"/>
      <c r="O36" s="44"/>
      <c r="P36" s="44"/>
      <c r="Q36" s="44"/>
      <c r="R36" s="44"/>
      <c r="S36" s="44"/>
      <c r="T36" s="44"/>
      <c r="U36" s="203"/>
      <c r="V36" s="203"/>
      <c r="W36" s="44"/>
      <c r="X36" s="44"/>
      <c r="Y36" s="44"/>
      <c r="Z36" s="44"/>
      <c r="AA36" s="150"/>
      <c r="AB36" s="150"/>
      <c r="AC36" s="44"/>
      <c r="AD36" s="44"/>
      <c r="AE36" s="44"/>
      <c r="AF36" s="46"/>
      <c r="AG36" s="48">
        <f t="shared" si="0"/>
        <v>3</v>
      </c>
      <c r="AH36" s="48">
        <f t="shared" si="1"/>
        <v>3</v>
      </c>
      <c r="AI36" s="48">
        <f t="shared" si="2"/>
        <v>50</v>
      </c>
      <c r="AJ36" s="48"/>
    </row>
    <row r="37" spans="1:36" ht="13.8">
      <c r="A37" s="192" t="s">
        <v>906</v>
      </c>
      <c r="B37" s="210" t="s">
        <v>907</v>
      </c>
      <c r="C37" s="31">
        <v>18</v>
      </c>
      <c r="D37" s="31" t="s">
        <v>26</v>
      </c>
      <c r="E37" s="196">
        <v>911698104</v>
      </c>
      <c r="F37" s="42" t="s">
        <v>19</v>
      </c>
      <c r="G37" s="42" t="s">
        <v>27</v>
      </c>
      <c r="H37" s="42" t="s">
        <v>27</v>
      </c>
      <c r="I37" s="42" t="s">
        <v>19</v>
      </c>
      <c r="J37" s="42" t="s">
        <v>19</v>
      </c>
      <c r="K37" s="42" t="s">
        <v>19</v>
      </c>
      <c r="L37" s="44"/>
      <c r="M37" s="44"/>
      <c r="N37" s="44"/>
      <c r="O37" s="44"/>
      <c r="P37" s="44"/>
      <c r="Q37" s="44"/>
      <c r="R37" s="44"/>
      <c r="S37" s="44"/>
      <c r="T37" s="44"/>
      <c r="U37" s="203"/>
      <c r="V37" s="203"/>
      <c r="W37" s="44"/>
      <c r="X37" s="44"/>
      <c r="Y37" s="44"/>
      <c r="Z37" s="44"/>
      <c r="AA37" s="150"/>
      <c r="AB37" s="150"/>
      <c r="AC37" s="44"/>
      <c r="AD37" s="44"/>
      <c r="AE37" s="44"/>
      <c r="AF37" s="46"/>
      <c r="AG37" s="48">
        <f t="shared" si="0"/>
        <v>2</v>
      </c>
      <c r="AH37" s="48">
        <f t="shared" si="1"/>
        <v>4</v>
      </c>
      <c r="AI37" s="48">
        <f t="shared" si="2"/>
        <v>33.333333333333329</v>
      </c>
      <c r="AJ37" s="48"/>
    </row>
    <row r="38" spans="1:36" ht="13.8">
      <c r="A38" s="192" t="s">
        <v>908</v>
      </c>
      <c r="B38" s="210" t="s">
        <v>909</v>
      </c>
      <c r="C38" s="31">
        <v>24</v>
      </c>
      <c r="D38" s="231"/>
      <c r="E38" s="232">
        <v>960136811</v>
      </c>
      <c r="F38" s="42" t="s">
        <v>27</v>
      </c>
      <c r="G38" s="42" t="s">
        <v>27</v>
      </c>
      <c r="H38" s="42" t="s">
        <v>19</v>
      </c>
      <c r="I38" s="42" t="s">
        <v>27</v>
      </c>
      <c r="J38" s="42" t="s">
        <v>19</v>
      </c>
      <c r="K38" s="42" t="s">
        <v>19</v>
      </c>
      <c r="L38" s="44"/>
      <c r="M38" s="44"/>
      <c r="N38" s="44"/>
      <c r="O38" s="44"/>
      <c r="P38" s="44"/>
      <c r="Q38" s="44"/>
      <c r="R38" s="44"/>
      <c r="S38" s="44"/>
      <c r="T38" s="44"/>
      <c r="U38" s="203"/>
      <c r="V38" s="203"/>
      <c r="W38" s="44"/>
      <c r="X38" s="44"/>
      <c r="Y38" s="44"/>
      <c r="Z38" s="44"/>
      <c r="AA38" s="150"/>
      <c r="AB38" s="150"/>
      <c r="AC38" s="44"/>
      <c r="AD38" s="44"/>
      <c r="AE38" s="44"/>
      <c r="AF38" s="46"/>
      <c r="AG38" s="48">
        <f t="shared" si="0"/>
        <v>3</v>
      </c>
      <c r="AH38" s="48">
        <f t="shared" si="1"/>
        <v>3</v>
      </c>
      <c r="AI38" s="48">
        <f t="shared" si="2"/>
        <v>50</v>
      </c>
      <c r="AJ38" s="48"/>
    </row>
    <row r="39" spans="1:36" ht="13.8">
      <c r="A39" s="192" t="s">
        <v>910</v>
      </c>
      <c r="B39" s="210" t="s">
        <v>911</v>
      </c>
      <c r="C39" s="231"/>
      <c r="D39" s="31" t="s">
        <v>35</v>
      </c>
      <c r="E39" s="232">
        <v>927701952</v>
      </c>
      <c r="F39" s="42" t="s">
        <v>27</v>
      </c>
      <c r="G39" s="42" t="s">
        <v>27</v>
      </c>
      <c r="H39" s="42" t="s">
        <v>27</v>
      </c>
      <c r="I39" s="42" t="s">
        <v>19</v>
      </c>
      <c r="J39" s="42" t="s">
        <v>19</v>
      </c>
      <c r="K39" s="42" t="s">
        <v>27</v>
      </c>
      <c r="L39" s="44"/>
      <c r="M39" s="44"/>
      <c r="N39" s="44"/>
      <c r="O39" s="44"/>
      <c r="P39" s="44"/>
      <c r="Q39" s="44"/>
      <c r="R39" s="44"/>
      <c r="S39" s="44"/>
      <c r="T39" s="44"/>
      <c r="U39" s="203"/>
      <c r="V39" s="203"/>
      <c r="W39" s="44"/>
      <c r="X39" s="44"/>
      <c r="Y39" s="44"/>
      <c r="Z39" s="44"/>
      <c r="AA39" s="150"/>
      <c r="AB39" s="150"/>
      <c r="AC39" s="44"/>
      <c r="AD39" s="44"/>
      <c r="AE39" s="44"/>
      <c r="AF39" s="46"/>
      <c r="AG39" s="48">
        <f t="shared" si="0"/>
        <v>4</v>
      </c>
      <c r="AH39" s="48">
        <f t="shared" si="1"/>
        <v>2</v>
      </c>
      <c r="AI39" s="48">
        <f t="shared" si="2"/>
        <v>66.666666666666657</v>
      </c>
      <c r="AJ39" s="48"/>
    </row>
    <row r="40" spans="1:36" ht="13.8">
      <c r="A40" s="192" t="s">
        <v>912</v>
      </c>
      <c r="B40" s="210" t="s">
        <v>913</v>
      </c>
      <c r="C40" s="231"/>
      <c r="D40" s="31" t="s">
        <v>35</v>
      </c>
      <c r="E40" s="232">
        <v>938650547</v>
      </c>
      <c r="F40" s="42" t="s">
        <v>27</v>
      </c>
      <c r="G40" s="42" t="s">
        <v>27</v>
      </c>
      <c r="H40" s="42" t="s">
        <v>27</v>
      </c>
      <c r="I40" s="42" t="s">
        <v>27</v>
      </c>
      <c r="J40" s="42" t="s">
        <v>27</v>
      </c>
      <c r="K40" s="42" t="s">
        <v>27</v>
      </c>
      <c r="L40" s="44"/>
      <c r="M40" s="44"/>
      <c r="N40" s="44"/>
      <c r="O40" s="44"/>
      <c r="P40" s="44"/>
      <c r="Q40" s="44"/>
      <c r="R40" s="44"/>
      <c r="S40" s="44"/>
      <c r="T40" s="44"/>
      <c r="U40" s="203"/>
      <c r="V40" s="203"/>
      <c r="W40" s="44"/>
      <c r="X40" s="44"/>
      <c r="Y40" s="44"/>
      <c r="Z40" s="44"/>
      <c r="AA40" s="150"/>
      <c r="AB40" s="150"/>
      <c r="AC40" s="44"/>
      <c r="AD40" s="44"/>
      <c r="AE40" s="44"/>
      <c r="AF40" s="46"/>
      <c r="AG40" s="48">
        <f t="shared" si="0"/>
        <v>6</v>
      </c>
      <c r="AH40" s="48">
        <f t="shared" si="1"/>
        <v>0</v>
      </c>
      <c r="AI40" s="48">
        <f t="shared" si="2"/>
        <v>100</v>
      </c>
      <c r="AJ40" s="48"/>
    </row>
    <row r="41" spans="1:36" ht="13.8">
      <c r="A41" s="192" t="s">
        <v>914</v>
      </c>
      <c r="B41" s="210" t="s">
        <v>915</v>
      </c>
      <c r="C41" s="31">
        <v>32</v>
      </c>
      <c r="D41" s="31" t="s">
        <v>916</v>
      </c>
      <c r="E41" s="196">
        <v>936813892</v>
      </c>
      <c r="F41" s="42" t="s">
        <v>27</v>
      </c>
      <c r="G41" s="42" t="s">
        <v>27</v>
      </c>
      <c r="H41" s="42" t="s">
        <v>27</v>
      </c>
      <c r="I41" s="42" t="s">
        <v>27</v>
      </c>
      <c r="J41" s="42" t="s">
        <v>27</v>
      </c>
      <c r="K41" s="42" t="s">
        <v>27</v>
      </c>
      <c r="L41" s="42" t="s">
        <v>27</v>
      </c>
      <c r="M41" s="42" t="s">
        <v>27</v>
      </c>
      <c r="N41" s="42" t="s">
        <v>27</v>
      </c>
      <c r="O41" s="42" t="s">
        <v>27</v>
      </c>
      <c r="P41" s="42" t="s">
        <v>27</v>
      </c>
      <c r="Q41" s="42" t="s">
        <v>27</v>
      </c>
      <c r="R41" s="42" t="s">
        <v>27</v>
      </c>
      <c r="S41" s="42" t="s">
        <v>27</v>
      </c>
      <c r="T41" s="42" t="s">
        <v>27</v>
      </c>
      <c r="U41" s="203"/>
      <c r="V41" s="203"/>
      <c r="W41" s="42" t="s">
        <v>27</v>
      </c>
      <c r="X41" s="42" t="s">
        <v>27</v>
      </c>
      <c r="Y41" s="44"/>
      <c r="Z41" s="44"/>
      <c r="AA41" s="150"/>
      <c r="AB41" s="150"/>
      <c r="AC41" s="44"/>
      <c r="AD41" s="44"/>
      <c r="AE41" s="44"/>
      <c r="AF41" s="46"/>
      <c r="AG41" s="48">
        <f t="shared" si="0"/>
        <v>17</v>
      </c>
      <c r="AH41" s="48">
        <f t="shared" si="1"/>
        <v>0</v>
      </c>
      <c r="AI41" s="48">
        <f t="shared" si="2"/>
        <v>283.33333333333337</v>
      </c>
      <c r="AJ41" s="48"/>
    </row>
    <row r="42" spans="1:36" ht="13.8">
      <c r="A42" s="192" t="s">
        <v>917</v>
      </c>
      <c r="B42" s="210" t="s">
        <v>918</v>
      </c>
      <c r="C42" s="231"/>
      <c r="D42" s="58" t="s">
        <v>26</v>
      </c>
      <c r="E42" s="232"/>
      <c r="F42" s="42" t="s">
        <v>19</v>
      </c>
      <c r="G42" s="42" t="s">
        <v>19</v>
      </c>
      <c r="H42" s="42" t="s">
        <v>19</v>
      </c>
      <c r="I42" s="42" t="s">
        <v>19</v>
      </c>
      <c r="J42" s="42" t="s">
        <v>19</v>
      </c>
      <c r="K42" s="42" t="s">
        <v>19</v>
      </c>
      <c r="L42" s="44"/>
      <c r="M42" s="44"/>
      <c r="N42" s="44"/>
      <c r="O42" s="44"/>
      <c r="P42" s="44"/>
      <c r="Q42" s="44"/>
      <c r="R42" s="44"/>
      <c r="S42" s="44"/>
      <c r="T42" s="44"/>
      <c r="U42" s="203"/>
      <c r="V42" s="203"/>
      <c r="W42" s="44"/>
      <c r="X42" s="44"/>
      <c r="Y42" s="44"/>
      <c r="Z42" s="44"/>
      <c r="AA42" s="150"/>
      <c r="AB42" s="150"/>
      <c r="AC42" s="44"/>
      <c r="AD42" s="44"/>
      <c r="AE42" s="44"/>
      <c r="AF42" s="46"/>
      <c r="AG42" s="48">
        <f t="shared" si="0"/>
        <v>0</v>
      </c>
      <c r="AH42" s="48">
        <f t="shared" si="1"/>
        <v>6</v>
      </c>
      <c r="AI42" s="48">
        <f t="shared" si="2"/>
        <v>0</v>
      </c>
      <c r="AJ42" s="48"/>
    </row>
    <row r="43" spans="1:36" ht="13.8">
      <c r="A43" s="192" t="s">
        <v>919</v>
      </c>
      <c r="B43" s="241" t="s">
        <v>920</v>
      </c>
      <c r="C43" s="31">
        <v>32</v>
      </c>
      <c r="D43" s="58" t="s">
        <v>26</v>
      </c>
      <c r="E43" s="232">
        <v>913087493</v>
      </c>
      <c r="F43" s="42" t="s">
        <v>27</v>
      </c>
      <c r="G43" s="42" t="s">
        <v>27</v>
      </c>
      <c r="H43" s="42" t="s">
        <v>27</v>
      </c>
      <c r="I43" s="42" t="s">
        <v>27</v>
      </c>
      <c r="J43" s="42" t="s">
        <v>27</v>
      </c>
      <c r="K43" s="42" t="s">
        <v>27</v>
      </c>
      <c r="L43" s="42" t="s">
        <v>27</v>
      </c>
      <c r="M43" s="42" t="s">
        <v>27</v>
      </c>
      <c r="N43" s="42" t="s">
        <v>27</v>
      </c>
      <c r="O43" s="42" t="s">
        <v>27</v>
      </c>
      <c r="P43" s="42" t="s">
        <v>27</v>
      </c>
      <c r="Q43" s="42" t="s">
        <v>27</v>
      </c>
      <c r="R43" s="42" t="s">
        <v>27</v>
      </c>
      <c r="S43" s="42" t="s">
        <v>27</v>
      </c>
      <c r="T43" s="42" t="s">
        <v>27</v>
      </c>
      <c r="U43" s="203"/>
      <c r="V43" s="203"/>
      <c r="W43" s="42" t="s">
        <v>27</v>
      </c>
      <c r="X43" s="42" t="s">
        <v>27</v>
      </c>
      <c r="Y43" s="42" t="s">
        <v>27</v>
      </c>
      <c r="Z43" s="42" t="s">
        <v>27</v>
      </c>
      <c r="AA43" s="150"/>
      <c r="AB43" s="150"/>
      <c r="AC43" s="42" t="s">
        <v>27</v>
      </c>
      <c r="AD43" s="42" t="s">
        <v>27</v>
      </c>
      <c r="AE43" s="42" t="s">
        <v>27</v>
      </c>
      <c r="AF43" s="46"/>
      <c r="AG43" s="48"/>
      <c r="AH43" s="48"/>
      <c r="AI43" s="48"/>
      <c r="AJ43" s="48"/>
    </row>
    <row r="44" spans="1:36" ht="13.8">
      <c r="A44" s="192" t="s">
        <v>923</v>
      </c>
      <c r="B44" s="210" t="s">
        <v>924</v>
      </c>
      <c r="C44" s="231"/>
      <c r="D44" s="128"/>
      <c r="E44" s="232">
        <v>900046378</v>
      </c>
      <c r="F44" s="42" t="s">
        <v>19</v>
      </c>
      <c r="G44" s="42" t="s">
        <v>19</v>
      </c>
      <c r="H44" s="42" t="s">
        <v>19</v>
      </c>
      <c r="I44" s="42" t="s">
        <v>19</v>
      </c>
      <c r="J44" s="42" t="s">
        <v>19</v>
      </c>
      <c r="K44" s="42" t="s">
        <v>19</v>
      </c>
      <c r="L44" s="44"/>
      <c r="M44" s="44"/>
      <c r="N44" s="44"/>
      <c r="O44" s="44"/>
      <c r="P44" s="44"/>
      <c r="Q44" s="44"/>
      <c r="R44" s="44"/>
      <c r="S44" s="44"/>
      <c r="T44" s="44"/>
      <c r="U44" s="203"/>
      <c r="V44" s="203"/>
      <c r="W44" s="44"/>
      <c r="X44" s="44"/>
      <c r="Y44" s="44"/>
      <c r="Z44" s="44"/>
      <c r="AA44" s="150"/>
      <c r="AB44" s="150"/>
      <c r="AC44" s="42" t="s">
        <v>27</v>
      </c>
      <c r="AD44" s="42" t="s">
        <v>27</v>
      </c>
      <c r="AE44" s="42" t="s">
        <v>27</v>
      </c>
      <c r="AF44" s="64" t="s">
        <v>27</v>
      </c>
      <c r="AG44" s="48">
        <f t="shared" ref="AG44:AG59" si="3">COUNTIF(F44:AF44,"አለ/ች")</f>
        <v>4</v>
      </c>
      <c r="AH44" s="48">
        <f t="shared" ref="AH44:AH59" si="4">COUNTIF(F44:AF44,"ቀሪ")</f>
        <v>6</v>
      </c>
      <c r="AI44" s="48">
        <f t="shared" ref="AI44:AI59" si="5">AG44/6*100</f>
        <v>66.666666666666657</v>
      </c>
      <c r="AJ44" s="48"/>
    </row>
    <row r="45" spans="1:36" ht="13.8">
      <c r="A45" s="192" t="s">
        <v>927</v>
      </c>
      <c r="B45" s="210" t="s">
        <v>928</v>
      </c>
      <c r="C45" s="31">
        <v>20</v>
      </c>
      <c r="D45" s="128"/>
      <c r="E45" s="232">
        <v>988803961</v>
      </c>
      <c r="F45" s="42" t="s">
        <v>19</v>
      </c>
      <c r="G45" s="42" t="s">
        <v>19</v>
      </c>
      <c r="H45" s="42" t="s">
        <v>19</v>
      </c>
      <c r="I45" s="42" t="s">
        <v>19</v>
      </c>
      <c r="J45" s="42" t="s">
        <v>19</v>
      </c>
      <c r="K45" s="42" t="s">
        <v>19</v>
      </c>
      <c r="L45" s="44"/>
      <c r="M45" s="44"/>
      <c r="N45" s="44"/>
      <c r="O45" s="44"/>
      <c r="P45" s="44"/>
      <c r="Q45" s="44"/>
      <c r="R45" s="44"/>
      <c r="S45" s="44"/>
      <c r="T45" s="44"/>
      <c r="U45" s="203"/>
      <c r="V45" s="203"/>
      <c r="W45" s="44"/>
      <c r="X45" s="44"/>
      <c r="Y45" s="44"/>
      <c r="Z45" s="44"/>
      <c r="AA45" s="150"/>
      <c r="AB45" s="150"/>
      <c r="AC45" s="44"/>
      <c r="AD45" s="44"/>
      <c r="AE45" s="44"/>
      <c r="AF45" s="46"/>
      <c r="AG45" s="48">
        <f t="shared" si="3"/>
        <v>0</v>
      </c>
      <c r="AH45" s="48">
        <f t="shared" si="4"/>
        <v>6</v>
      </c>
      <c r="AI45" s="48">
        <f t="shared" si="5"/>
        <v>0</v>
      </c>
      <c r="AJ45" s="48"/>
    </row>
    <row r="46" spans="1:36" ht="13.8">
      <c r="A46" s="192" t="s">
        <v>929</v>
      </c>
      <c r="B46" s="210" t="s">
        <v>930</v>
      </c>
      <c r="C46" s="31">
        <v>24</v>
      </c>
      <c r="D46" s="128"/>
      <c r="E46" s="232" t="s">
        <v>26</v>
      </c>
      <c r="F46" s="42" t="s">
        <v>19</v>
      </c>
      <c r="G46" s="42" t="s">
        <v>19</v>
      </c>
      <c r="H46" s="42" t="s">
        <v>19</v>
      </c>
      <c r="I46" s="42" t="s">
        <v>19</v>
      </c>
      <c r="J46" s="42" t="s">
        <v>19</v>
      </c>
      <c r="K46" s="42" t="s">
        <v>19</v>
      </c>
      <c r="L46" s="44"/>
      <c r="M46" s="44"/>
      <c r="N46" s="44"/>
      <c r="O46" s="44"/>
      <c r="P46" s="44"/>
      <c r="Q46" s="44"/>
      <c r="R46" s="44"/>
      <c r="S46" s="44"/>
      <c r="T46" s="44"/>
      <c r="U46" s="203"/>
      <c r="V46" s="203"/>
      <c r="W46" s="44"/>
      <c r="X46" s="44"/>
      <c r="Y46" s="44"/>
      <c r="Z46" s="44"/>
      <c r="AA46" s="150"/>
      <c r="AB46" s="150"/>
      <c r="AC46" s="44"/>
      <c r="AD46" s="44"/>
      <c r="AE46" s="44"/>
      <c r="AF46" s="46"/>
      <c r="AG46" s="48">
        <f t="shared" si="3"/>
        <v>0</v>
      </c>
      <c r="AH46" s="48">
        <f t="shared" si="4"/>
        <v>6</v>
      </c>
      <c r="AI46" s="48">
        <f t="shared" si="5"/>
        <v>0</v>
      </c>
      <c r="AJ46" s="48"/>
    </row>
    <row r="47" spans="1:36" ht="13.8">
      <c r="A47" s="192" t="s">
        <v>931</v>
      </c>
      <c r="B47" s="210" t="s">
        <v>932</v>
      </c>
      <c r="C47" s="231"/>
      <c r="D47" s="128"/>
      <c r="E47" s="232" t="s">
        <v>35</v>
      </c>
      <c r="F47" s="42" t="s">
        <v>19</v>
      </c>
      <c r="G47" s="42" t="s">
        <v>19</v>
      </c>
      <c r="H47" s="42" t="s">
        <v>19</v>
      </c>
      <c r="I47" s="42" t="s">
        <v>19</v>
      </c>
      <c r="J47" s="42" t="s">
        <v>19</v>
      </c>
      <c r="K47" s="42" t="s">
        <v>19</v>
      </c>
      <c r="L47" s="44"/>
      <c r="M47" s="44"/>
      <c r="N47" s="44"/>
      <c r="O47" s="44"/>
      <c r="P47" s="44"/>
      <c r="Q47" s="44"/>
      <c r="R47" s="44"/>
      <c r="S47" s="44"/>
      <c r="T47" s="44"/>
      <c r="U47" s="203"/>
      <c r="V47" s="203"/>
      <c r="W47" s="44"/>
      <c r="X47" s="44"/>
      <c r="Y47" s="44"/>
      <c r="Z47" s="44"/>
      <c r="AA47" s="150"/>
      <c r="AB47" s="150"/>
      <c r="AC47" s="44"/>
      <c r="AD47" s="44"/>
      <c r="AE47" s="44"/>
      <c r="AF47" s="46"/>
      <c r="AG47" s="48">
        <f t="shared" si="3"/>
        <v>0</v>
      </c>
      <c r="AH47" s="48">
        <f t="shared" si="4"/>
        <v>6</v>
      </c>
      <c r="AI47" s="48">
        <f t="shared" si="5"/>
        <v>0</v>
      </c>
      <c r="AJ47" s="48"/>
    </row>
    <row r="48" spans="1:36" ht="13.8">
      <c r="A48" s="192" t="s">
        <v>933</v>
      </c>
      <c r="B48" s="148" t="s">
        <v>934</v>
      </c>
      <c r="C48" s="31">
        <v>24</v>
      </c>
      <c r="D48" s="252"/>
      <c r="E48" s="253">
        <v>945161075</v>
      </c>
      <c r="F48" s="42" t="s">
        <v>19</v>
      </c>
      <c r="G48" s="42" t="s">
        <v>19</v>
      </c>
      <c r="H48" s="42" t="s">
        <v>19</v>
      </c>
      <c r="I48" s="42" t="s">
        <v>19</v>
      </c>
      <c r="J48" s="42" t="s">
        <v>19</v>
      </c>
      <c r="K48" s="42" t="s">
        <v>19</v>
      </c>
      <c r="L48" s="44"/>
      <c r="M48" s="44"/>
      <c r="N48" s="44"/>
      <c r="O48" s="44"/>
      <c r="P48" s="44"/>
      <c r="Q48" s="44"/>
      <c r="R48" s="44"/>
      <c r="S48" s="44"/>
      <c r="T48" s="44"/>
      <c r="U48" s="203"/>
      <c r="V48" s="203"/>
      <c r="W48" s="44"/>
      <c r="X48" s="44"/>
      <c r="Y48" s="44"/>
      <c r="Z48" s="44"/>
      <c r="AA48" s="150"/>
      <c r="AB48" s="150"/>
      <c r="AC48" s="44"/>
      <c r="AD48" s="44"/>
      <c r="AE48" s="44"/>
      <c r="AF48" s="46"/>
      <c r="AG48" s="48">
        <f t="shared" si="3"/>
        <v>0</v>
      </c>
      <c r="AH48" s="48">
        <f t="shared" si="4"/>
        <v>6</v>
      </c>
      <c r="AI48" s="48">
        <f t="shared" si="5"/>
        <v>0</v>
      </c>
      <c r="AJ48" s="48"/>
    </row>
    <row r="49" spans="1:36" ht="13.8">
      <c r="A49" s="192" t="s">
        <v>937</v>
      </c>
      <c r="B49" s="255" t="s">
        <v>938</v>
      </c>
      <c r="C49" s="82"/>
      <c r="D49" s="142"/>
      <c r="E49" s="256">
        <v>929403501</v>
      </c>
      <c r="F49" s="42" t="s">
        <v>19</v>
      </c>
      <c r="G49" s="42" t="s">
        <v>19</v>
      </c>
      <c r="H49" s="42" t="s">
        <v>19</v>
      </c>
      <c r="I49" s="42" t="s">
        <v>19</v>
      </c>
      <c r="J49" s="42" t="s">
        <v>19</v>
      </c>
      <c r="K49" s="42" t="s">
        <v>19</v>
      </c>
      <c r="L49" s="44"/>
      <c r="M49" s="44"/>
      <c r="N49" s="44"/>
      <c r="O49" s="44"/>
      <c r="P49" s="44"/>
      <c r="Q49" s="44"/>
      <c r="R49" s="44"/>
      <c r="S49" s="44"/>
      <c r="T49" s="44"/>
      <c r="U49" s="203"/>
      <c r="V49" s="203"/>
      <c r="W49" s="44"/>
      <c r="X49" s="44"/>
      <c r="Y49" s="44"/>
      <c r="Z49" s="44"/>
      <c r="AA49" s="150"/>
      <c r="AB49" s="150"/>
      <c r="AC49" s="44"/>
      <c r="AD49" s="44"/>
      <c r="AE49" s="44"/>
      <c r="AF49" s="46"/>
      <c r="AG49" s="48">
        <f t="shared" si="3"/>
        <v>0</v>
      </c>
      <c r="AH49" s="48">
        <f t="shared" si="4"/>
        <v>6</v>
      </c>
      <c r="AI49" s="48">
        <f t="shared" si="5"/>
        <v>0</v>
      </c>
      <c r="AJ49" s="48"/>
    </row>
    <row r="50" spans="1:36" ht="15.6">
      <c r="A50" s="192" t="s">
        <v>941</v>
      </c>
      <c r="B50" s="258" t="s">
        <v>942</v>
      </c>
      <c r="C50" s="164">
        <v>28</v>
      </c>
      <c r="D50" s="142"/>
      <c r="E50" s="259">
        <v>900479788</v>
      </c>
      <c r="F50" s="42" t="s">
        <v>19</v>
      </c>
      <c r="G50" s="42" t="s">
        <v>19</v>
      </c>
      <c r="H50" s="42" t="s">
        <v>19</v>
      </c>
      <c r="I50" s="42" t="s">
        <v>19</v>
      </c>
      <c r="J50" s="42" t="s">
        <v>19</v>
      </c>
      <c r="K50" s="42" t="s">
        <v>19</v>
      </c>
      <c r="L50" s="44"/>
      <c r="M50" s="44"/>
      <c r="N50" s="44"/>
      <c r="O50" s="44"/>
      <c r="P50" s="44"/>
      <c r="Q50" s="44"/>
      <c r="R50" s="44"/>
      <c r="S50" s="44"/>
      <c r="T50" s="44"/>
      <c r="U50" s="203"/>
      <c r="V50" s="203"/>
      <c r="W50" s="44"/>
      <c r="X50" s="44"/>
      <c r="Y50" s="44"/>
      <c r="Z50" s="44"/>
      <c r="AA50" s="150"/>
      <c r="AB50" s="150"/>
      <c r="AC50" s="44"/>
      <c r="AD50" s="44"/>
      <c r="AE50" s="44"/>
      <c r="AF50" s="46"/>
      <c r="AG50" s="48">
        <f t="shared" si="3"/>
        <v>0</v>
      </c>
      <c r="AH50" s="48">
        <f t="shared" si="4"/>
        <v>6</v>
      </c>
      <c r="AI50" s="48">
        <f t="shared" si="5"/>
        <v>0</v>
      </c>
      <c r="AJ50" s="48"/>
    </row>
    <row r="51" spans="1:36" ht="15.6">
      <c r="A51" s="192" t="s">
        <v>945</v>
      </c>
      <c r="B51" s="258" t="s">
        <v>946</v>
      </c>
      <c r="C51" s="82"/>
      <c r="D51" s="142"/>
      <c r="E51" s="259">
        <v>918437238</v>
      </c>
      <c r="F51" s="42" t="s">
        <v>19</v>
      </c>
      <c r="G51" s="42" t="s">
        <v>19</v>
      </c>
      <c r="H51" s="42" t="s">
        <v>19</v>
      </c>
      <c r="I51" s="42" t="s">
        <v>19</v>
      </c>
      <c r="J51" s="42" t="s">
        <v>19</v>
      </c>
      <c r="K51" s="42" t="s">
        <v>19</v>
      </c>
      <c r="L51" s="44"/>
      <c r="M51" s="44"/>
      <c r="N51" s="44"/>
      <c r="O51" s="44"/>
      <c r="P51" s="44"/>
      <c r="Q51" s="44"/>
      <c r="R51" s="44"/>
      <c r="S51" s="44"/>
      <c r="T51" s="44"/>
      <c r="U51" s="203"/>
      <c r="V51" s="203"/>
      <c r="W51" s="44"/>
      <c r="X51" s="44"/>
      <c r="Y51" s="44"/>
      <c r="Z51" s="44"/>
      <c r="AA51" s="150"/>
      <c r="AB51" s="150"/>
      <c r="AC51" s="44"/>
      <c r="AD51" s="44"/>
      <c r="AE51" s="44"/>
      <c r="AF51" s="46"/>
      <c r="AG51" s="48">
        <f t="shared" si="3"/>
        <v>0</v>
      </c>
      <c r="AH51" s="48">
        <f t="shared" si="4"/>
        <v>6</v>
      </c>
      <c r="AI51" s="48">
        <f t="shared" si="5"/>
        <v>0</v>
      </c>
      <c r="AJ51" s="48"/>
    </row>
    <row r="52" spans="1:36" ht="13.8">
      <c r="A52" s="192" t="s">
        <v>950</v>
      </c>
      <c r="B52" s="255" t="s">
        <v>951</v>
      </c>
      <c r="C52" s="82"/>
      <c r="D52" s="142"/>
      <c r="E52" s="256">
        <v>923479921</v>
      </c>
      <c r="F52" s="42" t="s">
        <v>19</v>
      </c>
      <c r="G52" s="42" t="s">
        <v>19</v>
      </c>
      <c r="H52" s="42" t="s">
        <v>19</v>
      </c>
      <c r="I52" s="42" t="s">
        <v>19</v>
      </c>
      <c r="J52" s="42" t="s">
        <v>19</v>
      </c>
      <c r="K52" s="42" t="s">
        <v>19</v>
      </c>
      <c r="L52" s="44"/>
      <c r="M52" s="44"/>
      <c r="N52" s="44"/>
      <c r="O52" s="44"/>
      <c r="P52" s="44"/>
      <c r="Q52" s="44"/>
      <c r="R52" s="44"/>
      <c r="S52" s="44"/>
      <c r="T52" s="44"/>
      <c r="U52" s="203"/>
      <c r="V52" s="203"/>
      <c r="W52" s="44"/>
      <c r="X52" s="44"/>
      <c r="Y52" s="44"/>
      <c r="Z52" s="44"/>
      <c r="AA52" s="150"/>
      <c r="AB52" s="150"/>
      <c r="AC52" s="44"/>
      <c r="AD52" s="44"/>
      <c r="AE52" s="44"/>
      <c r="AF52" s="46"/>
      <c r="AG52" s="48">
        <f t="shared" si="3"/>
        <v>0</v>
      </c>
      <c r="AH52" s="48">
        <f t="shared" si="4"/>
        <v>6</v>
      </c>
      <c r="AI52" s="48">
        <f t="shared" si="5"/>
        <v>0</v>
      </c>
      <c r="AJ52" s="48"/>
    </row>
    <row r="53" spans="1:36" ht="13.8">
      <c r="A53" s="192" t="s">
        <v>954</v>
      </c>
      <c r="B53" s="255" t="s">
        <v>955</v>
      </c>
      <c r="C53" s="82"/>
      <c r="D53" s="142"/>
      <c r="E53" s="256">
        <v>979979654</v>
      </c>
      <c r="F53" s="42" t="s">
        <v>19</v>
      </c>
      <c r="G53" s="42" t="s">
        <v>19</v>
      </c>
      <c r="H53" s="42" t="s">
        <v>19</v>
      </c>
      <c r="I53" s="42" t="s">
        <v>19</v>
      </c>
      <c r="J53" s="42" t="s">
        <v>19</v>
      </c>
      <c r="K53" s="42" t="s">
        <v>19</v>
      </c>
      <c r="L53" s="44"/>
      <c r="M53" s="44"/>
      <c r="N53" s="44"/>
      <c r="O53" s="44"/>
      <c r="P53" s="44"/>
      <c r="Q53" s="44"/>
      <c r="R53" s="44"/>
      <c r="S53" s="44"/>
      <c r="T53" s="44"/>
      <c r="U53" s="203"/>
      <c r="V53" s="203"/>
      <c r="W53" s="44"/>
      <c r="X53" s="44"/>
      <c r="Y53" s="44"/>
      <c r="Z53" s="44"/>
      <c r="AA53" s="150"/>
      <c r="AB53" s="150"/>
      <c r="AC53" s="44"/>
      <c r="AD53" s="44"/>
      <c r="AE53" s="44"/>
      <c r="AF53" s="46"/>
      <c r="AG53" s="48">
        <f t="shared" si="3"/>
        <v>0</v>
      </c>
      <c r="AH53" s="48">
        <f t="shared" si="4"/>
        <v>6</v>
      </c>
      <c r="AI53" s="48">
        <f t="shared" si="5"/>
        <v>0</v>
      </c>
      <c r="AJ53" s="48"/>
    </row>
    <row r="54" spans="1:36" ht="14.4">
      <c r="A54" s="192" t="s">
        <v>958</v>
      </c>
      <c r="B54" s="258" t="s">
        <v>959</v>
      </c>
      <c r="C54" s="164">
        <v>18</v>
      </c>
      <c r="D54" s="142"/>
      <c r="E54" s="261">
        <f>MAX(E48:E53)</f>
        <v>979979654</v>
      </c>
      <c r="F54" s="42" t="s">
        <v>19</v>
      </c>
      <c r="G54" s="42" t="s">
        <v>19</v>
      </c>
      <c r="H54" s="42" t="s">
        <v>19</v>
      </c>
      <c r="I54" s="42" t="s">
        <v>19</v>
      </c>
      <c r="J54" s="42" t="s">
        <v>19</v>
      </c>
      <c r="K54" s="42" t="s">
        <v>19</v>
      </c>
      <c r="L54" s="44"/>
      <c r="M54" s="44"/>
      <c r="N54" s="44"/>
      <c r="O54" s="44"/>
      <c r="P54" s="44"/>
      <c r="Q54" s="44"/>
      <c r="R54" s="44"/>
      <c r="S54" s="44"/>
      <c r="T54" s="44"/>
      <c r="U54" s="203"/>
      <c r="V54" s="203"/>
      <c r="W54" s="44"/>
      <c r="X54" s="42" t="s">
        <v>27</v>
      </c>
      <c r="Y54" s="42" t="s">
        <v>27</v>
      </c>
      <c r="Z54" s="42" t="s">
        <v>27</v>
      </c>
      <c r="AA54" s="150"/>
      <c r="AB54" s="150"/>
      <c r="AC54" s="44"/>
      <c r="AD54" s="44"/>
      <c r="AE54" s="44"/>
      <c r="AF54" s="46"/>
      <c r="AG54" s="48">
        <f t="shared" si="3"/>
        <v>3</v>
      </c>
      <c r="AH54" s="48">
        <f t="shared" si="4"/>
        <v>6</v>
      </c>
      <c r="AI54" s="48">
        <f t="shared" si="5"/>
        <v>50</v>
      </c>
      <c r="AJ54" s="48"/>
    </row>
    <row r="55" spans="1:36" ht="13.8">
      <c r="A55" s="192" t="s">
        <v>962</v>
      </c>
      <c r="B55" s="210" t="s">
        <v>963</v>
      </c>
      <c r="C55" s="82"/>
      <c r="D55" s="142"/>
      <c r="E55" s="262"/>
      <c r="F55" s="42" t="s">
        <v>19</v>
      </c>
      <c r="G55" s="42" t="s">
        <v>19</v>
      </c>
      <c r="H55" s="42" t="s">
        <v>19</v>
      </c>
      <c r="I55" s="42" t="s">
        <v>19</v>
      </c>
      <c r="J55" s="42" t="s">
        <v>19</v>
      </c>
      <c r="K55" s="42" t="s">
        <v>19</v>
      </c>
      <c r="L55" s="44"/>
      <c r="M55" s="44"/>
      <c r="N55" s="44"/>
      <c r="O55" s="44"/>
      <c r="P55" s="44"/>
      <c r="Q55" s="44"/>
      <c r="R55" s="44"/>
      <c r="S55" s="44"/>
      <c r="T55" s="44"/>
      <c r="U55" s="203"/>
      <c r="V55" s="203"/>
      <c r="W55" s="44"/>
      <c r="X55" s="44"/>
      <c r="Y55" s="44"/>
      <c r="Z55" s="44"/>
      <c r="AA55" s="150"/>
      <c r="AB55" s="150"/>
      <c r="AC55" s="44"/>
      <c r="AD55" s="44"/>
      <c r="AE55" s="44"/>
      <c r="AF55" s="46"/>
      <c r="AG55" s="48">
        <f t="shared" si="3"/>
        <v>0</v>
      </c>
      <c r="AH55" s="48">
        <f t="shared" si="4"/>
        <v>6</v>
      </c>
      <c r="AI55" s="48">
        <f t="shared" si="5"/>
        <v>0</v>
      </c>
      <c r="AJ55" s="48"/>
    </row>
    <row r="56" spans="1:36" ht="13.8">
      <c r="A56" s="192" t="s">
        <v>966</v>
      </c>
      <c r="B56" s="210" t="s">
        <v>967</v>
      </c>
      <c r="C56" s="82"/>
      <c r="D56" s="142"/>
      <c r="E56" s="262"/>
      <c r="F56" s="42" t="s">
        <v>19</v>
      </c>
      <c r="G56" s="42" t="s">
        <v>19</v>
      </c>
      <c r="H56" s="42" t="s">
        <v>19</v>
      </c>
      <c r="I56" s="42" t="s">
        <v>19</v>
      </c>
      <c r="J56" s="42" t="s">
        <v>19</v>
      </c>
      <c r="K56" s="42" t="s">
        <v>19</v>
      </c>
      <c r="L56" s="44"/>
      <c r="M56" s="44"/>
      <c r="N56" s="44"/>
      <c r="O56" s="44"/>
      <c r="P56" s="44"/>
      <c r="Q56" s="44"/>
      <c r="R56" s="44"/>
      <c r="S56" s="44"/>
      <c r="T56" s="44"/>
      <c r="U56" s="203"/>
      <c r="V56" s="203"/>
      <c r="W56" s="44"/>
      <c r="X56" s="44"/>
      <c r="Y56" s="44"/>
      <c r="Z56" s="44"/>
      <c r="AA56" s="150"/>
      <c r="AB56" s="150"/>
      <c r="AC56" s="44"/>
      <c r="AD56" s="44"/>
      <c r="AE56" s="44"/>
      <c r="AF56" s="46"/>
      <c r="AG56" s="48">
        <f t="shared" si="3"/>
        <v>0</v>
      </c>
      <c r="AH56" s="48">
        <f t="shared" si="4"/>
        <v>6</v>
      </c>
      <c r="AI56" s="48">
        <f t="shared" si="5"/>
        <v>0</v>
      </c>
      <c r="AJ56" s="48"/>
    </row>
    <row r="57" spans="1:36" ht="13.8">
      <c r="A57" s="192" t="s">
        <v>968</v>
      </c>
      <c r="B57" s="263" t="s">
        <v>969</v>
      </c>
      <c r="C57" s="82"/>
      <c r="D57" s="142"/>
      <c r="E57" s="262"/>
      <c r="F57" s="42" t="s">
        <v>19</v>
      </c>
      <c r="G57" s="42" t="s">
        <v>19</v>
      </c>
      <c r="H57" s="42" t="s">
        <v>19</v>
      </c>
      <c r="I57" s="42" t="s">
        <v>19</v>
      </c>
      <c r="J57" s="42" t="s">
        <v>19</v>
      </c>
      <c r="K57" s="42" t="s">
        <v>19</v>
      </c>
      <c r="L57" s="44"/>
      <c r="M57" s="44"/>
      <c r="N57" s="44"/>
      <c r="O57" s="44"/>
      <c r="P57" s="44"/>
      <c r="Q57" s="44"/>
      <c r="R57" s="44"/>
      <c r="S57" s="44"/>
      <c r="T57" s="44"/>
      <c r="U57" s="203"/>
      <c r="V57" s="203"/>
      <c r="W57" s="44"/>
      <c r="X57" s="44"/>
      <c r="Y57" s="44"/>
      <c r="Z57" s="44"/>
      <c r="AA57" s="150"/>
      <c r="AB57" s="150"/>
      <c r="AC57" s="44"/>
      <c r="AD57" s="44"/>
      <c r="AE57" s="44"/>
      <c r="AF57" s="46"/>
      <c r="AG57" s="48">
        <f t="shared" si="3"/>
        <v>0</v>
      </c>
      <c r="AH57" s="48">
        <f t="shared" si="4"/>
        <v>6</v>
      </c>
      <c r="AI57" s="48">
        <f t="shared" si="5"/>
        <v>0</v>
      </c>
      <c r="AJ57" s="48"/>
    </row>
    <row r="58" spans="1:36" ht="13.8">
      <c r="A58" s="192" t="s">
        <v>972</v>
      </c>
      <c r="B58" s="263" t="s">
        <v>973</v>
      </c>
      <c r="C58" s="164">
        <v>21</v>
      </c>
      <c r="D58" s="82"/>
      <c r="E58" s="264">
        <v>973713422</v>
      </c>
      <c r="F58" s="42" t="s">
        <v>19</v>
      </c>
      <c r="G58" s="42" t="s">
        <v>19</v>
      </c>
      <c r="H58" s="42" t="s">
        <v>19</v>
      </c>
      <c r="I58" s="42" t="s">
        <v>27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203"/>
      <c r="V58" s="203"/>
      <c r="W58" s="44"/>
      <c r="X58" s="44"/>
      <c r="Y58" s="44"/>
      <c r="Z58" s="44"/>
      <c r="AA58" s="150"/>
      <c r="AB58" s="150"/>
      <c r="AC58" s="44"/>
      <c r="AD58" s="44"/>
      <c r="AE58" s="44"/>
      <c r="AF58" s="46"/>
      <c r="AG58" s="48">
        <f t="shared" si="3"/>
        <v>1</v>
      </c>
      <c r="AH58" s="48">
        <f t="shared" si="4"/>
        <v>3</v>
      </c>
      <c r="AI58" s="48">
        <f t="shared" si="5"/>
        <v>16.666666666666664</v>
      </c>
      <c r="AJ58" s="48"/>
    </row>
    <row r="59" spans="1:36" ht="13.8">
      <c r="A59" s="192" t="s">
        <v>976</v>
      </c>
      <c r="B59" s="210" t="s">
        <v>977</v>
      </c>
      <c r="C59" s="164">
        <v>30</v>
      </c>
      <c r="D59" s="82"/>
      <c r="E59" s="265">
        <v>911725512</v>
      </c>
      <c r="F59" s="42" t="s">
        <v>19</v>
      </c>
      <c r="G59" s="42" t="s">
        <v>27</v>
      </c>
      <c r="H59" s="42" t="s">
        <v>27</v>
      </c>
      <c r="I59" s="42" t="s">
        <v>27</v>
      </c>
      <c r="J59" s="42" t="s">
        <v>27</v>
      </c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203"/>
      <c r="V59" s="203"/>
      <c r="W59" s="44"/>
      <c r="X59" s="44"/>
      <c r="Y59" s="44"/>
      <c r="Z59" s="44"/>
      <c r="AA59" s="150"/>
      <c r="AB59" s="150"/>
      <c r="AC59" s="44"/>
      <c r="AD59" s="44"/>
      <c r="AE59" s="44"/>
      <c r="AF59" s="46"/>
      <c r="AG59" s="48">
        <f t="shared" si="3"/>
        <v>4</v>
      </c>
      <c r="AH59" s="48">
        <f t="shared" si="4"/>
        <v>1</v>
      </c>
      <c r="AI59" s="48">
        <f t="shared" si="5"/>
        <v>66.666666666666657</v>
      </c>
      <c r="AJ59" s="48"/>
    </row>
    <row r="60" spans="1:36" ht="13.8">
      <c r="A60" s="192" t="s">
        <v>980</v>
      </c>
      <c r="B60" s="210" t="s">
        <v>981</v>
      </c>
      <c r="C60" s="82"/>
      <c r="D60" s="82"/>
      <c r="E60" s="265">
        <v>908248195</v>
      </c>
      <c r="F60" s="44"/>
      <c r="G60" s="44"/>
      <c r="H60" s="44"/>
      <c r="I60" s="44"/>
      <c r="J60" s="44"/>
      <c r="K60" s="44"/>
      <c r="L60" s="42" t="s">
        <v>27</v>
      </c>
      <c r="M60" s="44"/>
      <c r="N60" s="44"/>
      <c r="O60" s="44"/>
      <c r="P60" s="44"/>
      <c r="Q60" s="44"/>
      <c r="R60" s="42" t="s">
        <v>27</v>
      </c>
      <c r="S60" s="44"/>
      <c r="T60" s="44"/>
      <c r="U60" s="203"/>
      <c r="V60" s="203"/>
      <c r="W60" s="44"/>
      <c r="X60" s="44"/>
      <c r="Y60" s="44"/>
      <c r="Z60" s="42" t="s">
        <v>27</v>
      </c>
      <c r="AA60" s="150"/>
      <c r="AB60" s="150"/>
      <c r="AC60" s="42" t="s">
        <v>27</v>
      </c>
      <c r="AD60" s="42" t="s">
        <v>27</v>
      </c>
      <c r="AE60" s="44"/>
      <c r="AF60" s="44"/>
      <c r="AG60" s="51"/>
      <c r="AH60" s="51"/>
      <c r="AI60" s="51">
        <f>SUM(AI4:AI59)/58</f>
        <v>74.137931034482762</v>
      </c>
      <c r="AJ60" s="51"/>
    </row>
    <row r="61" spans="1:36" ht="13.8">
      <c r="A61" s="192" t="s">
        <v>986</v>
      </c>
      <c r="B61" s="210" t="s">
        <v>987</v>
      </c>
      <c r="C61" s="164">
        <v>19</v>
      </c>
      <c r="D61" s="82"/>
      <c r="E61" s="265">
        <v>940453513</v>
      </c>
      <c r="F61" s="44"/>
      <c r="G61" s="42" t="s">
        <v>27</v>
      </c>
      <c r="H61" s="44"/>
      <c r="I61" s="44"/>
      <c r="J61" s="42" t="s">
        <v>27</v>
      </c>
      <c r="K61" s="42" t="s">
        <v>27</v>
      </c>
      <c r="L61" s="42" t="s">
        <v>27</v>
      </c>
      <c r="M61" s="44"/>
      <c r="N61" s="44"/>
      <c r="O61" s="44"/>
      <c r="P61" s="44"/>
      <c r="Q61" s="44"/>
      <c r="R61" s="42" t="s">
        <v>27</v>
      </c>
      <c r="S61" s="44"/>
      <c r="T61" s="44"/>
      <c r="U61" s="203"/>
      <c r="V61" s="203"/>
      <c r="W61" s="42" t="s">
        <v>27</v>
      </c>
      <c r="X61" s="44"/>
      <c r="Y61" s="42" t="s">
        <v>27</v>
      </c>
      <c r="Z61" s="42" t="s">
        <v>27</v>
      </c>
      <c r="AA61" s="150"/>
      <c r="AB61" s="150"/>
      <c r="AC61" s="42" t="s">
        <v>27</v>
      </c>
      <c r="AD61" s="42" t="s">
        <v>27</v>
      </c>
      <c r="AE61" s="44"/>
      <c r="AF61" s="44"/>
      <c r="AG61" s="51"/>
      <c r="AH61" s="51"/>
      <c r="AI61" s="51"/>
      <c r="AJ61" s="51"/>
    </row>
    <row r="62" spans="1:36" ht="13.8">
      <c r="A62" s="192" t="s">
        <v>992</v>
      </c>
      <c r="B62" s="210" t="s">
        <v>993</v>
      </c>
      <c r="C62" s="164">
        <v>19</v>
      </c>
      <c r="D62" s="82"/>
      <c r="E62" s="265">
        <v>900481207</v>
      </c>
      <c r="F62" s="44"/>
      <c r="G62" s="42" t="s">
        <v>27</v>
      </c>
      <c r="H62" s="44"/>
      <c r="I62" s="44"/>
      <c r="J62" s="42" t="s">
        <v>27</v>
      </c>
      <c r="K62" s="42" t="s">
        <v>27</v>
      </c>
      <c r="L62" s="42" t="s">
        <v>27</v>
      </c>
      <c r="M62" s="44"/>
      <c r="N62" s="44"/>
      <c r="O62" s="44"/>
      <c r="P62" s="44"/>
      <c r="Q62" s="44"/>
      <c r="R62" s="42" t="s">
        <v>112</v>
      </c>
      <c r="S62" s="44"/>
      <c r="T62" s="44"/>
      <c r="U62" s="203"/>
      <c r="V62" s="203"/>
      <c r="W62" s="42" t="s">
        <v>27</v>
      </c>
      <c r="X62" s="42" t="s">
        <v>27</v>
      </c>
      <c r="Y62" s="42" t="s">
        <v>27</v>
      </c>
      <c r="Z62" s="42" t="s">
        <v>27</v>
      </c>
      <c r="AA62" s="150"/>
      <c r="AB62" s="150"/>
      <c r="AC62" s="42" t="s">
        <v>27</v>
      </c>
      <c r="AD62" s="42" t="s">
        <v>27</v>
      </c>
      <c r="AE62" s="44"/>
      <c r="AF62" s="44"/>
      <c r="AG62" s="51"/>
      <c r="AH62" s="51"/>
      <c r="AI62" s="51"/>
      <c r="AJ62" s="51"/>
    </row>
    <row r="63" spans="1:36" ht="13.8">
      <c r="A63" s="192" t="s">
        <v>996</v>
      </c>
      <c r="B63" s="139" t="s">
        <v>997</v>
      </c>
      <c r="C63" s="141"/>
      <c r="D63" s="141"/>
      <c r="E63" s="266">
        <v>956458498</v>
      </c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150"/>
      <c r="AB63" s="150"/>
      <c r="AC63" s="42" t="s">
        <v>27</v>
      </c>
      <c r="AD63" s="44"/>
      <c r="AE63" s="44"/>
      <c r="AF63" s="44"/>
      <c r="AG63" s="4"/>
      <c r="AH63" s="4"/>
      <c r="AI63" s="4"/>
    </row>
    <row r="64" spans="1:36" ht="13.8">
      <c r="A64" s="192" t="s">
        <v>1000</v>
      </c>
      <c r="B64" s="139" t="s">
        <v>1001</v>
      </c>
      <c r="C64" s="141"/>
      <c r="D64" s="141"/>
      <c r="E64" s="266">
        <v>945429472</v>
      </c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150"/>
      <c r="AB64" s="150"/>
      <c r="AC64" s="44"/>
      <c r="AD64" s="44"/>
      <c r="AE64" s="44"/>
      <c r="AF64" s="44"/>
      <c r="AG64" s="4"/>
      <c r="AH64" s="4"/>
      <c r="AI64" s="4"/>
    </row>
    <row r="65" spans="1:35" ht="13.8">
      <c r="A65" s="192" t="s">
        <v>1004</v>
      </c>
      <c r="B65" s="139" t="s">
        <v>1005</v>
      </c>
      <c r="C65" s="141"/>
      <c r="D65" s="141"/>
      <c r="E65" s="267">
        <v>912689638</v>
      </c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150"/>
      <c r="AB65" s="150"/>
      <c r="AC65" s="44"/>
      <c r="AD65" s="44"/>
      <c r="AE65" s="44"/>
      <c r="AF65" s="44"/>
      <c r="AG65" s="4"/>
      <c r="AH65" s="4"/>
      <c r="AI65" s="4"/>
    </row>
    <row r="66" spans="1:35" ht="13.8">
      <c r="A66" s="192" t="s">
        <v>1008</v>
      </c>
      <c r="B66" s="139" t="s">
        <v>1009</v>
      </c>
      <c r="C66" s="141"/>
      <c r="D66" s="141"/>
      <c r="E66" s="272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150"/>
      <c r="AB66" s="150"/>
      <c r="AC66" s="44"/>
      <c r="AD66" s="42" t="s">
        <v>112</v>
      </c>
      <c r="AE66" s="44"/>
      <c r="AF66" s="42" t="s">
        <v>27</v>
      </c>
      <c r="AG66" s="4"/>
      <c r="AH66" s="4"/>
      <c r="AI66" s="4"/>
    </row>
    <row r="67" spans="1:35" ht="13.2">
      <c r="C67" s="10"/>
      <c r="D67" s="10"/>
      <c r="E67" s="273"/>
      <c r="U67" s="274"/>
      <c r="V67" s="274"/>
      <c r="AA67" s="153"/>
      <c r="AB67" s="153"/>
    </row>
    <row r="68" spans="1:35" ht="13.2">
      <c r="C68" s="10"/>
      <c r="D68" s="10"/>
      <c r="E68" s="273"/>
      <c r="U68" s="274"/>
      <c r="V68" s="274"/>
      <c r="AA68" s="153"/>
      <c r="AB68" s="153"/>
    </row>
    <row r="69" spans="1:35" ht="13.2">
      <c r="C69" s="10"/>
      <c r="D69" s="10"/>
      <c r="E69" s="273"/>
      <c r="U69" s="274"/>
      <c r="V69" s="274"/>
      <c r="AA69" s="153"/>
      <c r="AB69" s="153"/>
    </row>
    <row r="70" spans="1:35" ht="13.2">
      <c r="C70" s="10"/>
      <c r="D70" s="10"/>
      <c r="E70" s="273"/>
      <c r="U70" s="274"/>
      <c r="V70" s="274"/>
      <c r="AA70" s="153"/>
      <c r="AB70" s="153"/>
    </row>
    <row r="71" spans="1:35" ht="13.2">
      <c r="C71" s="10"/>
      <c r="D71" s="10"/>
      <c r="E71" s="273"/>
      <c r="U71" s="274"/>
      <c r="V71" s="274"/>
      <c r="AA71" s="153"/>
      <c r="AB71" s="153"/>
    </row>
    <row r="72" spans="1:35" ht="13.2">
      <c r="C72" s="10"/>
      <c r="D72" s="10"/>
      <c r="E72" s="273"/>
      <c r="U72" s="274"/>
      <c r="V72" s="274"/>
      <c r="AA72" s="153"/>
      <c r="AB72" s="153"/>
    </row>
    <row r="73" spans="1:35" ht="13.2">
      <c r="C73" s="10"/>
      <c r="D73" s="10"/>
      <c r="E73" s="273"/>
      <c r="U73" s="274"/>
      <c r="V73" s="274"/>
      <c r="AA73" s="153"/>
      <c r="AB73" s="153"/>
    </row>
    <row r="74" spans="1:35" ht="13.2">
      <c r="C74" s="10"/>
      <c r="D74" s="10"/>
      <c r="E74" s="273"/>
      <c r="U74" s="274"/>
      <c r="V74" s="274"/>
      <c r="AA74" s="153"/>
      <c r="AB74" s="153"/>
    </row>
    <row r="75" spans="1:35" ht="13.2">
      <c r="C75" s="10"/>
      <c r="D75" s="10"/>
      <c r="E75" s="273"/>
      <c r="U75" s="274"/>
      <c r="V75" s="274"/>
      <c r="AA75" s="153"/>
      <c r="AB75" s="153"/>
    </row>
    <row r="76" spans="1:35" ht="13.2">
      <c r="C76" s="10"/>
      <c r="D76" s="10"/>
      <c r="E76" s="273"/>
      <c r="U76" s="274"/>
      <c r="V76" s="274"/>
      <c r="AA76" s="153"/>
      <c r="AB76" s="153"/>
    </row>
    <row r="77" spans="1:35" ht="13.2">
      <c r="C77" s="10"/>
      <c r="D77" s="10"/>
      <c r="E77" s="273"/>
      <c r="U77" s="274"/>
      <c r="V77" s="274"/>
      <c r="AA77" s="153"/>
      <c r="AB77" s="153"/>
    </row>
    <row r="78" spans="1:35" ht="13.2">
      <c r="C78" s="10"/>
      <c r="D78" s="10"/>
      <c r="E78" s="273"/>
      <c r="U78" s="274"/>
      <c r="V78" s="274"/>
      <c r="AA78" s="153"/>
      <c r="AB78" s="153"/>
    </row>
    <row r="79" spans="1:35" ht="13.2">
      <c r="C79" s="10"/>
      <c r="D79" s="10"/>
      <c r="E79" s="273"/>
      <c r="U79" s="274"/>
      <c r="V79" s="274"/>
      <c r="AA79" s="153"/>
      <c r="AB79" s="153"/>
    </row>
    <row r="80" spans="1:35" ht="13.2">
      <c r="C80" s="10"/>
      <c r="D80" s="10"/>
      <c r="E80" s="273"/>
      <c r="U80" s="274"/>
      <c r="V80" s="274"/>
      <c r="AA80" s="153"/>
      <c r="AB80" s="153"/>
    </row>
    <row r="81" spans="3:28" ht="13.2">
      <c r="C81" s="10"/>
      <c r="D81" s="10"/>
      <c r="E81" s="273"/>
      <c r="U81" s="274"/>
      <c r="V81" s="274"/>
      <c r="AA81" s="153"/>
      <c r="AB81" s="153"/>
    </row>
    <row r="82" spans="3:28" ht="13.2">
      <c r="C82" s="10"/>
      <c r="D82" s="10"/>
      <c r="E82" s="273"/>
      <c r="U82" s="274"/>
      <c r="V82" s="274"/>
      <c r="AA82" s="153"/>
      <c r="AB82" s="153"/>
    </row>
    <row r="83" spans="3:28" ht="13.2">
      <c r="C83" s="10"/>
      <c r="D83" s="10"/>
      <c r="E83" s="273"/>
      <c r="U83" s="274"/>
      <c r="V83" s="274"/>
      <c r="AA83" s="153"/>
      <c r="AB83" s="153"/>
    </row>
    <row r="84" spans="3:28" ht="13.2">
      <c r="C84" s="10"/>
      <c r="D84" s="10"/>
      <c r="E84" s="273"/>
      <c r="U84" s="274"/>
      <c r="V84" s="274"/>
      <c r="AA84" s="153"/>
      <c r="AB84" s="153"/>
    </row>
    <row r="85" spans="3:28" ht="13.2">
      <c r="C85" s="10"/>
      <c r="D85" s="10"/>
      <c r="E85" s="273"/>
      <c r="U85" s="274"/>
      <c r="V85" s="274"/>
      <c r="AA85" s="153"/>
      <c r="AB85" s="153"/>
    </row>
    <row r="86" spans="3:28" ht="13.2">
      <c r="C86" s="10"/>
      <c r="D86" s="10"/>
      <c r="E86" s="273"/>
      <c r="U86" s="274"/>
      <c r="V86" s="274"/>
      <c r="AA86" s="153"/>
      <c r="AB86" s="153"/>
    </row>
    <row r="87" spans="3:28" ht="13.2">
      <c r="C87" s="10"/>
      <c r="D87" s="10"/>
      <c r="E87" s="273"/>
      <c r="U87" s="274"/>
      <c r="V87" s="274"/>
      <c r="AA87" s="153"/>
      <c r="AB87" s="153"/>
    </row>
    <row r="88" spans="3:28" ht="13.2">
      <c r="C88" s="10"/>
      <c r="D88" s="10"/>
      <c r="E88" s="273"/>
      <c r="U88" s="274"/>
      <c r="V88" s="274"/>
      <c r="AA88" s="153"/>
      <c r="AB88" s="153"/>
    </row>
    <row r="89" spans="3:28" ht="13.2">
      <c r="C89" s="10"/>
      <c r="D89" s="10"/>
      <c r="E89" s="273"/>
      <c r="U89" s="274"/>
      <c r="V89" s="274"/>
      <c r="AA89" s="153"/>
      <c r="AB89" s="153"/>
    </row>
    <row r="90" spans="3:28" ht="13.2">
      <c r="C90" s="10"/>
      <c r="D90" s="10"/>
      <c r="E90" s="273"/>
      <c r="U90" s="274"/>
      <c r="V90" s="274"/>
      <c r="AA90" s="153"/>
      <c r="AB90" s="153"/>
    </row>
    <row r="91" spans="3:28" ht="13.2">
      <c r="C91" s="10"/>
      <c r="D91" s="10"/>
      <c r="E91" s="273"/>
      <c r="U91" s="274"/>
      <c r="V91" s="274"/>
      <c r="AA91" s="153"/>
      <c r="AB91" s="153"/>
    </row>
    <row r="92" spans="3:28" ht="13.2">
      <c r="C92" s="10"/>
      <c r="D92" s="10"/>
      <c r="E92" s="273"/>
      <c r="U92" s="274"/>
      <c r="V92" s="274"/>
      <c r="AA92" s="153"/>
      <c r="AB92" s="153"/>
    </row>
    <row r="93" spans="3:28" ht="13.2">
      <c r="C93" s="10"/>
      <c r="D93" s="10"/>
      <c r="E93" s="273"/>
      <c r="U93" s="274"/>
      <c r="V93" s="274"/>
      <c r="AA93" s="153"/>
      <c r="AB93" s="153"/>
    </row>
    <row r="94" spans="3:28" ht="13.2">
      <c r="C94" s="10"/>
      <c r="D94" s="10"/>
      <c r="E94" s="273"/>
      <c r="U94" s="274"/>
      <c r="V94" s="274"/>
      <c r="AA94" s="153"/>
      <c r="AB94" s="153"/>
    </row>
    <row r="95" spans="3:28" ht="13.2">
      <c r="C95" s="10"/>
      <c r="D95" s="10"/>
      <c r="E95" s="273"/>
      <c r="U95" s="274"/>
      <c r="V95" s="274"/>
      <c r="AA95" s="153"/>
      <c r="AB95" s="153"/>
    </row>
    <row r="96" spans="3:28" ht="13.2">
      <c r="C96" s="10"/>
      <c r="D96" s="10"/>
      <c r="E96" s="273"/>
      <c r="U96" s="274"/>
      <c r="V96" s="274"/>
      <c r="AA96" s="153"/>
      <c r="AB96" s="153"/>
    </row>
    <row r="97" spans="3:28" ht="13.2">
      <c r="C97" s="10"/>
      <c r="D97" s="10"/>
      <c r="E97" s="273"/>
      <c r="U97" s="274"/>
      <c r="V97" s="274"/>
      <c r="AA97" s="153"/>
      <c r="AB97" s="153"/>
    </row>
    <row r="98" spans="3:28" ht="13.2">
      <c r="C98" s="10"/>
      <c r="D98" s="10"/>
      <c r="E98" s="273"/>
      <c r="U98" s="274"/>
      <c r="V98" s="274"/>
      <c r="AA98" s="153"/>
      <c r="AB98" s="153"/>
    </row>
    <row r="99" spans="3:28" ht="13.2">
      <c r="C99" s="10"/>
      <c r="D99" s="10"/>
      <c r="E99" s="273"/>
      <c r="U99" s="274"/>
      <c r="V99" s="274"/>
      <c r="AA99" s="153"/>
      <c r="AB99" s="153"/>
    </row>
    <row r="100" spans="3:28" ht="13.2">
      <c r="C100" s="10"/>
      <c r="D100" s="10"/>
      <c r="E100" s="273"/>
      <c r="U100" s="274"/>
      <c r="V100" s="274"/>
      <c r="AA100" s="153"/>
      <c r="AB100" s="153"/>
    </row>
    <row r="101" spans="3:28" ht="13.2">
      <c r="C101" s="10"/>
      <c r="D101" s="10"/>
      <c r="E101" s="273"/>
      <c r="U101" s="274"/>
      <c r="V101" s="274"/>
      <c r="AA101" s="153"/>
      <c r="AB101" s="153"/>
    </row>
    <row r="102" spans="3:28" ht="13.2">
      <c r="C102" s="10"/>
      <c r="D102" s="10"/>
      <c r="E102" s="273"/>
      <c r="U102" s="274"/>
      <c r="V102" s="274"/>
      <c r="AA102" s="153"/>
      <c r="AB102" s="153"/>
    </row>
    <row r="103" spans="3:28" ht="13.2">
      <c r="C103" s="10"/>
      <c r="D103" s="10"/>
      <c r="E103" s="273"/>
      <c r="U103" s="274"/>
      <c r="V103" s="274"/>
      <c r="AA103" s="153"/>
      <c r="AB103" s="153"/>
    </row>
    <row r="104" spans="3:28" ht="13.2">
      <c r="C104" s="10"/>
      <c r="D104" s="10"/>
      <c r="E104" s="273"/>
      <c r="U104" s="274"/>
      <c r="V104" s="274"/>
      <c r="AA104" s="153"/>
      <c r="AB104" s="153"/>
    </row>
    <row r="105" spans="3:28" ht="13.2">
      <c r="C105" s="10"/>
      <c r="D105" s="10"/>
      <c r="E105" s="273"/>
      <c r="U105" s="274"/>
      <c r="V105" s="274"/>
      <c r="AA105" s="153"/>
      <c r="AB105" s="153"/>
    </row>
    <row r="106" spans="3:28" ht="13.2">
      <c r="C106" s="10"/>
      <c r="D106" s="10"/>
      <c r="E106" s="273"/>
      <c r="U106" s="274"/>
      <c r="V106" s="274"/>
      <c r="AA106" s="153"/>
      <c r="AB106" s="153"/>
    </row>
    <row r="107" spans="3:28" ht="13.2">
      <c r="C107" s="10"/>
      <c r="D107" s="10"/>
      <c r="E107" s="273"/>
      <c r="U107" s="274"/>
      <c r="V107" s="274"/>
      <c r="AA107" s="153"/>
      <c r="AB107" s="153"/>
    </row>
    <row r="108" spans="3:28" ht="13.2">
      <c r="C108" s="10"/>
      <c r="D108" s="10"/>
      <c r="E108" s="273"/>
      <c r="U108" s="274"/>
      <c r="V108" s="274"/>
      <c r="AA108" s="153"/>
      <c r="AB108" s="153"/>
    </row>
    <row r="109" spans="3:28" ht="13.2">
      <c r="C109" s="10"/>
      <c r="D109" s="10"/>
      <c r="E109" s="273"/>
      <c r="U109" s="274"/>
      <c r="V109" s="274"/>
      <c r="AA109" s="153"/>
      <c r="AB109" s="153"/>
    </row>
    <row r="110" spans="3:28" ht="13.2">
      <c r="C110" s="10"/>
      <c r="D110" s="10"/>
      <c r="E110" s="273"/>
      <c r="U110" s="274"/>
      <c r="V110" s="274"/>
      <c r="AA110" s="153"/>
      <c r="AB110" s="153"/>
    </row>
    <row r="111" spans="3:28" ht="13.2">
      <c r="C111" s="10"/>
      <c r="D111" s="10"/>
      <c r="E111" s="273"/>
      <c r="U111" s="274"/>
      <c r="V111" s="274"/>
      <c r="AA111" s="153"/>
      <c r="AB111" s="153"/>
    </row>
    <row r="112" spans="3:28" ht="13.2">
      <c r="C112" s="10"/>
      <c r="D112" s="10"/>
      <c r="E112" s="273"/>
      <c r="U112" s="274"/>
      <c r="V112" s="274"/>
      <c r="AA112" s="153"/>
      <c r="AB112" s="153"/>
    </row>
    <row r="113" spans="3:28" ht="13.2">
      <c r="C113" s="10"/>
      <c r="D113" s="10"/>
      <c r="E113" s="273"/>
      <c r="U113" s="274"/>
      <c r="V113" s="274"/>
      <c r="AA113" s="153"/>
      <c r="AB113" s="153"/>
    </row>
    <row r="114" spans="3:28" ht="13.2">
      <c r="C114" s="10"/>
      <c r="D114" s="10"/>
      <c r="E114" s="273"/>
      <c r="U114" s="274"/>
      <c r="V114" s="274"/>
      <c r="AA114" s="153"/>
      <c r="AB114" s="153"/>
    </row>
    <row r="115" spans="3:28" ht="13.2">
      <c r="C115" s="10"/>
      <c r="D115" s="10"/>
      <c r="E115" s="273"/>
      <c r="U115" s="274"/>
      <c r="V115" s="274"/>
      <c r="AA115" s="153"/>
      <c r="AB115" s="153"/>
    </row>
    <row r="116" spans="3:28" ht="13.2">
      <c r="C116" s="10"/>
      <c r="D116" s="10"/>
      <c r="E116" s="273"/>
      <c r="U116" s="274"/>
      <c r="V116" s="274"/>
      <c r="AA116" s="153"/>
      <c r="AB116" s="153"/>
    </row>
    <row r="117" spans="3:28" ht="13.2">
      <c r="C117" s="10"/>
      <c r="D117" s="10"/>
      <c r="E117" s="273"/>
      <c r="U117" s="274"/>
      <c r="V117" s="274"/>
      <c r="AA117" s="153"/>
      <c r="AB117" s="153"/>
    </row>
    <row r="118" spans="3:28" ht="13.2">
      <c r="C118" s="10"/>
      <c r="D118" s="10"/>
      <c r="E118" s="273"/>
      <c r="U118" s="274"/>
      <c r="V118" s="274"/>
      <c r="AA118" s="153"/>
      <c r="AB118" s="153"/>
    </row>
    <row r="119" spans="3:28" ht="13.2">
      <c r="C119" s="10"/>
      <c r="D119" s="10"/>
      <c r="E119" s="273"/>
      <c r="U119" s="274"/>
      <c r="V119" s="274"/>
      <c r="AA119" s="153"/>
      <c r="AB119" s="153"/>
    </row>
    <row r="120" spans="3:28" ht="13.2">
      <c r="C120" s="10"/>
      <c r="D120" s="10"/>
      <c r="E120" s="273"/>
      <c r="U120" s="274"/>
      <c r="V120" s="274"/>
      <c r="AA120" s="153"/>
      <c r="AB120" s="153"/>
    </row>
    <row r="121" spans="3:28" ht="13.2">
      <c r="C121" s="10"/>
      <c r="D121" s="10"/>
      <c r="E121" s="273"/>
      <c r="U121" s="274"/>
      <c r="V121" s="274"/>
      <c r="AA121" s="153"/>
      <c r="AB121" s="153"/>
    </row>
    <row r="122" spans="3:28" ht="13.2">
      <c r="C122" s="10"/>
      <c r="D122" s="10"/>
      <c r="E122" s="273"/>
      <c r="U122" s="274"/>
      <c r="V122" s="274"/>
      <c r="AA122" s="153"/>
      <c r="AB122" s="153"/>
    </row>
    <row r="123" spans="3:28" ht="13.2">
      <c r="C123" s="10"/>
      <c r="D123" s="10"/>
      <c r="E123" s="273"/>
      <c r="U123" s="274"/>
      <c r="V123" s="274"/>
      <c r="AA123" s="153"/>
      <c r="AB123" s="153"/>
    </row>
    <row r="124" spans="3:28" ht="13.2">
      <c r="C124" s="10"/>
      <c r="D124" s="10"/>
      <c r="E124" s="273"/>
      <c r="U124" s="274"/>
      <c r="V124" s="274"/>
      <c r="AA124" s="153"/>
      <c r="AB124" s="153"/>
    </row>
    <row r="125" spans="3:28" ht="13.2">
      <c r="C125" s="10"/>
      <c r="D125" s="10"/>
      <c r="E125" s="273"/>
      <c r="U125" s="274"/>
      <c r="V125" s="274"/>
      <c r="AA125" s="153"/>
      <c r="AB125" s="153"/>
    </row>
    <row r="126" spans="3:28" ht="13.2">
      <c r="C126" s="10"/>
      <c r="D126" s="10"/>
      <c r="E126" s="273"/>
      <c r="U126" s="274"/>
      <c r="V126" s="274"/>
      <c r="AA126" s="153"/>
      <c r="AB126" s="153"/>
    </row>
    <row r="127" spans="3:28" ht="13.2">
      <c r="C127" s="10"/>
      <c r="D127" s="10"/>
      <c r="E127" s="273"/>
      <c r="U127" s="274"/>
      <c r="V127" s="274"/>
      <c r="AA127" s="153"/>
      <c r="AB127" s="153"/>
    </row>
    <row r="128" spans="3:28" ht="13.2">
      <c r="C128" s="10"/>
      <c r="D128" s="10"/>
      <c r="E128" s="273"/>
      <c r="U128" s="274"/>
      <c r="V128" s="274"/>
      <c r="AA128" s="153"/>
      <c r="AB128" s="153"/>
    </row>
    <row r="129" spans="3:28" ht="13.2">
      <c r="C129" s="10"/>
      <c r="D129" s="10"/>
      <c r="E129" s="273"/>
      <c r="U129" s="274"/>
      <c r="V129" s="274"/>
      <c r="AA129" s="153"/>
      <c r="AB129" s="153"/>
    </row>
    <row r="130" spans="3:28" ht="13.2">
      <c r="C130" s="10"/>
      <c r="D130" s="10"/>
      <c r="E130" s="273"/>
      <c r="U130" s="274"/>
      <c r="V130" s="274"/>
      <c r="AA130" s="153"/>
      <c r="AB130" s="153"/>
    </row>
    <row r="131" spans="3:28" ht="13.2">
      <c r="C131" s="10"/>
      <c r="D131" s="10"/>
      <c r="E131" s="273"/>
      <c r="U131" s="274"/>
      <c r="V131" s="274"/>
      <c r="AA131" s="153"/>
      <c r="AB131" s="153"/>
    </row>
    <row r="132" spans="3:28" ht="13.2">
      <c r="C132" s="10"/>
      <c r="D132" s="10"/>
      <c r="E132" s="273"/>
      <c r="U132" s="274"/>
      <c r="V132" s="274"/>
      <c r="AA132" s="153"/>
      <c r="AB132" s="153"/>
    </row>
    <row r="133" spans="3:28" ht="13.2">
      <c r="C133" s="10"/>
      <c r="D133" s="10"/>
      <c r="E133" s="273"/>
      <c r="U133" s="274"/>
      <c r="V133" s="274"/>
      <c r="AA133" s="153"/>
      <c r="AB133" s="153"/>
    </row>
    <row r="134" spans="3:28" ht="13.2">
      <c r="C134" s="10"/>
      <c r="D134" s="10"/>
      <c r="E134" s="273"/>
      <c r="U134" s="274"/>
      <c r="V134" s="274"/>
      <c r="AA134" s="153"/>
      <c r="AB134" s="153"/>
    </row>
    <row r="135" spans="3:28" ht="13.2">
      <c r="C135" s="10"/>
      <c r="D135" s="10"/>
      <c r="E135" s="273"/>
      <c r="U135" s="274"/>
      <c r="V135" s="274"/>
      <c r="AA135" s="153"/>
      <c r="AB135" s="153"/>
    </row>
    <row r="136" spans="3:28" ht="13.2">
      <c r="C136" s="10"/>
      <c r="D136" s="10"/>
      <c r="E136" s="273"/>
      <c r="U136" s="274"/>
      <c r="V136" s="274"/>
      <c r="AA136" s="153"/>
      <c r="AB136" s="153"/>
    </row>
    <row r="137" spans="3:28" ht="13.2">
      <c r="C137" s="10"/>
      <c r="D137" s="10"/>
      <c r="E137" s="273"/>
      <c r="U137" s="274"/>
      <c r="V137" s="274"/>
      <c r="AA137" s="153"/>
      <c r="AB137" s="153"/>
    </row>
    <row r="138" spans="3:28" ht="13.2">
      <c r="C138" s="10"/>
      <c r="D138" s="10"/>
      <c r="E138" s="273"/>
      <c r="U138" s="274"/>
      <c r="V138" s="274"/>
      <c r="AA138" s="153"/>
      <c r="AB138" s="153"/>
    </row>
    <row r="139" spans="3:28" ht="13.2">
      <c r="C139" s="10"/>
      <c r="D139" s="10"/>
      <c r="E139" s="273"/>
      <c r="U139" s="274"/>
      <c r="V139" s="274"/>
      <c r="AA139" s="153"/>
      <c r="AB139" s="153"/>
    </row>
    <row r="140" spans="3:28" ht="13.2">
      <c r="C140" s="10"/>
      <c r="D140" s="10"/>
      <c r="E140" s="273"/>
      <c r="U140" s="274"/>
      <c r="V140" s="274"/>
      <c r="AA140" s="153"/>
      <c r="AB140" s="153"/>
    </row>
    <row r="141" spans="3:28" ht="13.2">
      <c r="C141" s="10"/>
      <c r="D141" s="10"/>
      <c r="E141" s="273"/>
      <c r="U141" s="274"/>
      <c r="V141" s="274"/>
      <c r="AA141" s="153"/>
      <c r="AB141" s="153"/>
    </row>
    <row r="142" spans="3:28" ht="13.2">
      <c r="C142" s="10"/>
      <c r="D142" s="10"/>
      <c r="E142" s="273"/>
      <c r="U142" s="274"/>
      <c r="V142" s="274"/>
      <c r="AA142" s="153"/>
      <c r="AB142" s="153"/>
    </row>
    <row r="143" spans="3:28" ht="13.2">
      <c r="C143" s="10"/>
      <c r="D143" s="10"/>
      <c r="E143" s="273"/>
      <c r="U143" s="274"/>
      <c r="V143" s="274"/>
      <c r="AA143" s="153"/>
      <c r="AB143" s="153"/>
    </row>
    <row r="144" spans="3:28" ht="13.2">
      <c r="C144" s="10"/>
      <c r="D144" s="10"/>
      <c r="E144" s="273"/>
      <c r="U144" s="274"/>
      <c r="V144" s="274"/>
      <c r="AA144" s="153"/>
      <c r="AB144" s="153"/>
    </row>
    <row r="145" spans="3:28" ht="13.2">
      <c r="C145" s="10"/>
      <c r="D145" s="10"/>
      <c r="E145" s="273"/>
      <c r="U145" s="274"/>
      <c r="V145" s="274"/>
      <c r="AA145" s="153"/>
      <c r="AB145" s="153"/>
    </row>
    <row r="146" spans="3:28" ht="13.2">
      <c r="C146" s="10"/>
      <c r="D146" s="10"/>
      <c r="E146" s="273"/>
      <c r="U146" s="274"/>
      <c r="V146" s="274"/>
      <c r="AA146" s="153"/>
      <c r="AB146" s="153"/>
    </row>
    <row r="147" spans="3:28" ht="13.2">
      <c r="C147" s="10"/>
      <c r="D147" s="10"/>
      <c r="E147" s="273"/>
      <c r="U147" s="274"/>
      <c r="V147" s="274"/>
      <c r="AA147" s="153"/>
      <c r="AB147" s="153"/>
    </row>
    <row r="148" spans="3:28" ht="13.2">
      <c r="C148" s="10"/>
      <c r="D148" s="10"/>
      <c r="E148" s="273"/>
      <c r="U148" s="274"/>
      <c r="V148" s="274"/>
      <c r="AA148" s="153"/>
      <c r="AB148" s="153"/>
    </row>
    <row r="149" spans="3:28" ht="13.2">
      <c r="C149" s="10"/>
      <c r="D149" s="10"/>
      <c r="E149" s="273"/>
      <c r="U149" s="274"/>
      <c r="V149" s="274"/>
      <c r="AA149" s="153"/>
      <c r="AB149" s="153"/>
    </row>
    <row r="150" spans="3:28" ht="13.2">
      <c r="C150" s="10"/>
      <c r="D150" s="10"/>
      <c r="E150" s="273"/>
      <c r="U150" s="274"/>
      <c r="V150" s="274"/>
      <c r="AA150" s="153"/>
      <c r="AB150" s="153"/>
    </row>
    <row r="151" spans="3:28" ht="13.2">
      <c r="C151" s="10"/>
      <c r="D151" s="10"/>
      <c r="E151" s="273"/>
      <c r="U151" s="274"/>
      <c r="V151" s="274"/>
      <c r="AA151" s="153"/>
      <c r="AB151" s="153"/>
    </row>
    <row r="152" spans="3:28" ht="13.2">
      <c r="C152" s="10"/>
      <c r="D152" s="10"/>
      <c r="E152" s="273"/>
      <c r="U152" s="274"/>
      <c r="V152" s="274"/>
      <c r="AA152" s="153"/>
      <c r="AB152" s="153"/>
    </row>
    <row r="153" spans="3:28" ht="13.2">
      <c r="C153" s="10"/>
      <c r="D153" s="10"/>
      <c r="E153" s="273"/>
      <c r="U153" s="274"/>
      <c r="V153" s="274"/>
      <c r="AA153" s="153"/>
      <c r="AB153" s="153"/>
    </row>
    <row r="154" spans="3:28" ht="13.2">
      <c r="C154" s="10"/>
      <c r="D154" s="10"/>
      <c r="E154" s="273"/>
      <c r="U154" s="274"/>
      <c r="V154" s="274"/>
      <c r="AA154" s="153"/>
      <c r="AB154" s="153"/>
    </row>
    <row r="155" spans="3:28" ht="13.2">
      <c r="C155" s="10"/>
      <c r="D155" s="10"/>
      <c r="E155" s="273"/>
      <c r="U155" s="274"/>
      <c r="V155" s="274"/>
      <c r="AA155" s="153"/>
      <c r="AB155" s="153"/>
    </row>
    <row r="156" spans="3:28" ht="13.2">
      <c r="C156" s="10"/>
      <c r="D156" s="10"/>
      <c r="E156" s="273"/>
      <c r="U156" s="274"/>
      <c r="V156" s="274"/>
      <c r="AA156" s="153"/>
      <c r="AB156" s="153"/>
    </row>
    <row r="157" spans="3:28" ht="13.2">
      <c r="C157" s="10"/>
      <c r="D157" s="10"/>
      <c r="E157" s="273"/>
      <c r="U157" s="274"/>
      <c r="V157" s="274"/>
      <c r="AA157" s="153"/>
      <c r="AB157" s="153"/>
    </row>
    <row r="158" spans="3:28" ht="13.2">
      <c r="C158" s="10"/>
      <c r="D158" s="10"/>
      <c r="E158" s="273"/>
      <c r="U158" s="274"/>
      <c r="V158" s="274"/>
      <c r="AA158" s="153"/>
      <c r="AB158" s="153"/>
    </row>
    <row r="159" spans="3:28" ht="13.2">
      <c r="C159" s="10"/>
      <c r="D159" s="10"/>
      <c r="E159" s="273"/>
      <c r="U159" s="274"/>
      <c r="V159" s="274"/>
      <c r="AA159" s="153"/>
      <c r="AB159" s="153"/>
    </row>
    <row r="160" spans="3:28" ht="13.2">
      <c r="C160" s="10"/>
      <c r="D160" s="10"/>
      <c r="E160" s="273"/>
      <c r="U160" s="274"/>
      <c r="V160" s="274"/>
      <c r="AA160" s="153"/>
      <c r="AB160" s="153"/>
    </row>
    <row r="161" spans="3:28" ht="13.2">
      <c r="C161" s="10"/>
      <c r="D161" s="10"/>
      <c r="E161" s="273"/>
      <c r="U161" s="274"/>
      <c r="V161" s="274"/>
      <c r="AA161" s="153"/>
      <c r="AB161" s="153"/>
    </row>
    <row r="162" spans="3:28" ht="13.2">
      <c r="C162" s="10"/>
      <c r="D162" s="10"/>
      <c r="E162" s="273"/>
      <c r="U162" s="274"/>
      <c r="V162" s="274"/>
      <c r="AA162" s="153"/>
      <c r="AB162" s="153"/>
    </row>
    <row r="163" spans="3:28" ht="13.2">
      <c r="C163" s="10"/>
      <c r="D163" s="10"/>
      <c r="E163" s="273"/>
      <c r="U163" s="274"/>
      <c r="V163" s="274"/>
      <c r="AA163" s="153"/>
      <c r="AB163" s="153"/>
    </row>
    <row r="164" spans="3:28" ht="13.2">
      <c r="C164" s="10"/>
      <c r="D164" s="10"/>
      <c r="E164" s="273"/>
      <c r="U164" s="274"/>
      <c r="V164" s="274"/>
      <c r="AA164" s="153"/>
      <c r="AB164" s="153"/>
    </row>
    <row r="165" spans="3:28" ht="13.2">
      <c r="C165" s="10"/>
      <c r="D165" s="10"/>
      <c r="E165" s="273"/>
      <c r="U165" s="274"/>
      <c r="V165" s="274"/>
      <c r="AA165" s="153"/>
      <c r="AB165" s="153"/>
    </row>
    <row r="166" spans="3:28" ht="13.2">
      <c r="C166" s="10"/>
      <c r="D166" s="10"/>
      <c r="E166" s="273"/>
      <c r="U166" s="274"/>
      <c r="V166" s="274"/>
      <c r="AA166" s="153"/>
      <c r="AB166" s="153"/>
    </row>
    <row r="167" spans="3:28" ht="13.2">
      <c r="C167" s="10"/>
      <c r="D167" s="10"/>
      <c r="E167" s="273"/>
      <c r="U167" s="274"/>
      <c r="V167" s="274"/>
      <c r="AA167" s="153"/>
      <c r="AB167" s="153"/>
    </row>
    <row r="168" spans="3:28" ht="13.2">
      <c r="C168" s="10"/>
      <c r="D168" s="10"/>
      <c r="E168" s="273"/>
      <c r="U168" s="274"/>
      <c r="V168" s="274"/>
      <c r="AA168" s="153"/>
      <c r="AB168" s="153"/>
    </row>
    <row r="169" spans="3:28" ht="13.2">
      <c r="C169" s="10"/>
      <c r="D169" s="10"/>
      <c r="E169" s="273"/>
      <c r="U169" s="274"/>
      <c r="V169" s="274"/>
      <c r="AA169" s="153"/>
      <c r="AB169" s="153"/>
    </row>
    <row r="170" spans="3:28" ht="13.2">
      <c r="C170" s="10"/>
      <c r="D170" s="10"/>
      <c r="E170" s="273"/>
      <c r="U170" s="274"/>
      <c r="V170" s="274"/>
      <c r="AA170" s="153"/>
      <c r="AB170" s="153"/>
    </row>
    <row r="171" spans="3:28" ht="13.2">
      <c r="C171" s="10"/>
      <c r="D171" s="10"/>
      <c r="E171" s="273"/>
      <c r="U171" s="274"/>
      <c r="V171" s="274"/>
      <c r="AA171" s="153"/>
      <c r="AB171" s="153"/>
    </row>
    <row r="172" spans="3:28" ht="13.2">
      <c r="C172" s="10"/>
      <c r="D172" s="10"/>
      <c r="E172" s="273"/>
      <c r="U172" s="274"/>
      <c r="V172" s="274"/>
      <c r="AA172" s="153"/>
      <c r="AB172" s="153"/>
    </row>
    <row r="173" spans="3:28" ht="13.2">
      <c r="C173" s="10"/>
      <c r="D173" s="10"/>
      <c r="E173" s="273"/>
      <c r="U173" s="274"/>
      <c r="V173" s="274"/>
      <c r="AA173" s="153"/>
      <c r="AB173" s="153"/>
    </row>
    <row r="174" spans="3:28" ht="13.2">
      <c r="C174" s="10"/>
      <c r="D174" s="10"/>
      <c r="E174" s="273"/>
      <c r="U174" s="274"/>
      <c r="V174" s="274"/>
      <c r="AA174" s="153"/>
      <c r="AB174" s="153"/>
    </row>
    <row r="175" spans="3:28" ht="13.2">
      <c r="C175" s="10"/>
      <c r="D175" s="10"/>
      <c r="E175" s="273"/>
      <c r="U175" s="274"/>
      <c r="V175" s="274"/>
      <c r="AA175" s="153"/>
      <c r="AB175" s="153"/>
    </row>
    <row r="176" spans="3:28" ht="13.2">
      <c r="C176" s="10"/>
      <c r="D176" s="10"/>
      <c r="E176" s="273"/>
      <c r="U176" s="274"/>
      <c r="V176" s="274"/>
      <c r="AA176" s="153"/>
      <c r="AB176" s="153"/>
    </row>
    <row r="177" spans="3:28" ht="13.2">
      <c r="C177" s="10"/>
      <c r="D177" s="10"/>
      <c r="E177" s="273"/>
      <c r="U177" s="274"/>
      <c r="V177" s="274"/>
      <c r="AA177" s="153"/>
      <c r="AB177" s="153"/>
    </row>
    <row r="178" spans="3:28" ht="13.2">
      <c r="C178" s="10"/>
      <c r="D178" s="10"/>
      <c r="E178" s="273"/>
      <c r="U178" s="274"/>
      <c r="V178" s="274"/>
      <c r="AA178" s="153"/>
      <c r="AB178" s="153"/>
    </row>
    <row r="179" spans="3:28" ht="13.2">
      <c r="C179" s="10"/>
      <c r="D179" s="10"/>
      <c r="E179" s="273"/>
      <c r="U179" s="274"/>
      <c r="V179" s="274"/>
      <c r="AA179" s="153"/>
      <c r="AB179" s="153"/>
    </row>
    <row r="180" spans="3:28" ht="13.2">
      <c r="C180" s="10"/>
      <c r="D180" s="10"/>
      <c r="E180" s="273"/>
      <c r="U180" s="274"/>
      <c r="V180" s="274"/>
      <c r="AA180" s="153"/>
      <c r="AB180" s="153"/>
    </row>
    <row r="181" spans="3:28" ht="13.2">
      <c r="C181" s="10"/>
      <c r="D181" s="10"/>
      <c r="E181" s="273"/>
      <c r="U181" s="274"/>
      <c r="V181" s="274"/>
      <c r="AA181" s="153"/>
      <c r="AB181" s="153"/>
    </row>
    <row r="182" spans="3:28" ht="13.2">
      <c r="C182" s="10"/>
      <c r="D182" s="10"/>
      <c r="E182" s="273"/>
      <c r="U182" s="274"/>
      <c r="V182" s="274"/>
      <c r="AA182" s="153"/>
      <c r="AB182" s="153"/>
    </row>
    <row r="183" spans="3:28" ht="13.2">
      <c r="C183" s="10"/>
      <c r="D183" s="10"/>
      <c r="E183" s="273"/>
      <c r="U183" s="274"/>
      <c r="V183" s="274"/>
      <c r="AA183" s="153"/>
      <c r="AB183" s="153"/>
    </row>
    <row r="184" spans="3:28" ht="13.2">
      <c r="C184" s="10"/>
      <c r="D184" s="10"/>
      <c r="E184" s="273"/>
      <c r="U184" s="274"/>
      <c r="V184" s="274"/>
      <c r="AA184" s="153"/>
      <c r="AB184" s="153"/>
    </row>
    <row r="185" spans="3:28" ht="13.2">
      <c r="C185" s="10"/>
      <c r="D185" s="10"/>
      <c r="E185" s="273"/>
      <c r="U185" s="274"/>
      <c r="V185" s="274"/>
      <c r="AA185" s="153"/>
      <c r="AB185" s="153"/>
    </row>
    <row r="186" spans="3:28" ht="13.2">
      <c r="C186" s="10"/>
      <c r="D186" s="10"/>
      <c r="E186" s="273"/>
      <c r="U186" s="274"/>
      <c r="V186" s="274"/>
      <c r="AA186" s="153"/>
      <c r="AB186" s="153"/>
    </row>
    <row r="187" spans="3:28" ht="13.2">
      <c r="C187" s="10"/>
      <c r="D187" s="10"/>
      <c r="E187" s="273"/>
      <c r="U187" s="274"/>
      <c r="V187" s="274"/>
      <c r="AA187" s="153"/>
      <c r="AB187" s="153"/>
    </row>
    <row r="188" spans="3:28" ht="13.2">
      <c r="C188" s="10"/>
      <c r="D188" s="10"/>
      <c r="E188" s="273"/>
      <c r="U188" s="274"/>
      <c r="V188" s="274"/>
      <c r="AA188" s="153"/>
      <c r="AB188" s="153"/>
    </row>
    <row r="189" spans="3:28" ht="13.2">
      <c r="C189" s="10"/>
      <c r="D189" s="10"/>
      <c r="E189" s="273"/>
      <c r="U189" s="274"/>
      <c r="V189" s="274"/>
      <c r="AA189" s="153"/>
      <c r="AB189" s="153"/>
    </row>
    <row r="190" spans="3:28" ht="13.2">
      <c r="C190" s="10"/>
      <c r="D190" s="10"/>
      <c r="E190" s="273"/>
      <c r="U190" s="274"/>
      <c r="V190" s="274"/>
      <c r="AA190" s="153"/>
      <c r="AB190" s="153"/>
    </row>
    <row r="191" spans="3:28" ht="13.2">
      <c r="C191" s="10"/>
      <c r="D191" s="10"/>
      <c r="E191" s="273"/>
      <c r="U191" s="274"/>
      <c r="V191" s="274"/>
      <c r="AA191" s="153"/>
      <c r="AB191" s="153"/>
    </row>
    <row r="192" spans="3:28" ht="13.2">
      <c r="C192" s="10"/>
      <c r="D192" s="10"/>
      <c r="E192" s="273"/>
      <c r="U192" s="274"/>
      <c r="V192" s="274"/>
      <c r="AA192" s="153"/>
      <c r="AB192" s="153"/>
    </row>
    <row r="193" spans="3:28" ht="13.2">
      <c r="C193" s="10"/>
      <c r="D193" s="10"/>
      <c r="E193" s="273"/>
      <c r="U193" s="274"/>
      <c r="V193" s="274"/>
      <c r="AA193" s="153"/>
      <c r="AB193" s="153"/>
    </row>
    <row r="194" spans="3:28" ht="13.2">
      <c r="C194" s="10"/>
      <c r="D194" s="10"/>
      <c r="E194" s="273"/>
      <c r="U194" s="274"/>
      <c r="V194" s="274"/>
      <c r="AA194" s="153"/>
      <c r="AB194" s="153"/>
    </row>
    <row r="195" spans="3:28" ht="13.2">
      <c r="C195" s="10"/>
      <c r="D195" s="10"/>
      <c r="E195" s="273"/>
      <c r="U195" s="274"/>
      <c r="V195" s="274"/>
      <c r="AA195" s="153"/>
      <c r="AB195" s="153"/>
    </row>
    <row r="196" spans="3:28" ht="13.2">
      <c r="C196" s="10"/>
      <c r="D196" s="10"/>
      <c r="E196" s="273"/>
      <c r="U196" s="274"/>
      <c r="V196" s="274"/>
      <c r="AA196" s="153"/>
      <c r="AB196" s="153"/>
    </row>
    <row r="197" spans="3:28" ht="13.2">
      <c r="C197" s="10"/>
      <c r="D197" s="10"/>
      <c r="E197" s="273"/>
      <c r="U197" s="274"/>
      <c r="V197" s="274"/>
      <c r="AA197" s="153"/>
      <c r="AB197" s="153"/>
    </row>
    <row r="198" spans="3:28" ht="13.2">
      <c r="C198" s="10"/>
      <c r="D198" s="10"/>
      <c r="E198" s="273"/>
      <c r="U198" s="274"/>
      <c r="V198" s="274"/>
      <c r="AA198" s="153"/>
      <c r="AB198" s="153"/>
    </row>
    <row r="199" spans="3:28" ht="13.2">
      <c r="C199" s="10"/>
      <c r="D199" s="10"/>
      <c r="E199" s="273"/>
      <c r="U199" s="274"/>
      <c r="V199" s="274"/>
      <c r="AA199" s="153"/>
      <c r="AB199" s="153"/>
    </row>
    <row r="200" spans="3:28" ht="13.2">
      <c r="C200" s="10"/>
      <c r="D200" s="10"/>
      <c r="E200" s="273"/>
      <c r="U200" s="274"/>
      <c r="V200" s="274"/>
      <c r="AA200" s="153"/>
      <c r="AB200" s="153"/>
    </row>
    <row r="201" spans="3:28" ht="13.2">
      <c r="C201" s="10"/>
      <c r="D201" s="10"/>
      <c r="E201" s="273"/>
      <c r="U201" s="274"/>
      <c r="V201" s="274"/>
      <c r="AA201" s="153"/>
      <c r="AB201" s="153"/>
    </row>
    <row r="202" spans="3:28" ht="13.2">
      <c r="C202" s="10"/>
      <c r="D202" s="10"/>
      <c r="E202" s="273"/>
      <c r="U202" s="274"/>
      <c r="V202" s="274"/>
      <c r="AA202" s="153"/>
      <c r="AB202" s="153"/>
    </row>
    <row r="203" spans="3:28" ht="13.2">
      <c r="C203" s="10"/>
      <c r="D203" s="10"/>
      <c r="E203" s="273"/>
      <c r="U203" s="274"/>
      <c r="V203" s="274"/>
      <c r="AA203" s="153"/>
      <c r="AB203" s="153"/>
    </row>
    <row r="204" spans="3:28" ht="13.2">
      <c r="C204" s="10"/>
      <c r="D204" s="10"/>
      <c r="E204" s="273"/>
      <c r="U204" s="274"/>
      <c r="V204" s="274"/>
      <c r="AA204" s="153"/>
      <c r="AB204" s="153"/>
    </row>
    <row r="205" spans="3:28" ht="13.2">
      <c r="C205" s="10"/>
      <c r="D205" s="10"/>
      <c r="E205" s="273"/>
      <c r="U205" s="274"/>
      <c r="V205" s="274"/>
      <c r="AA205" s="153"/>
      <c r="AB205" s="153"/>
    </row>
    <row r="206" spans="3:28" ht="13.2">
      <c r="C206" s="10"/>
      <c r="D206" s="10"/>
      <c r="E206" s="273"/>
      <c r="U206" s="274"/>
      <c r="V206" s="274"/>
      <c r="AA206" s="153"/>
      <c r="AB206" s="153"/>
    </row>
    <row r="207" spans="3:28" ht="13.2">
      <c r="C207" s="10"/>
      <c r="D207" s="10"/>
      <c r="E207" s="273"/>
      <c r="U207" s="274"/>
      <c r="V207" s="274"/>
      <c r="AA207" s="153"/>
      <c r="AB207" s="153"/>
    </row>
    <row r="208" spans="3:28" ht="13.2">
      <c r="C208" s="10"/>
      <c r="D208" s="10"/>
      <c r="E208" s="273"/>
      <c r="U208" s="274"/>
      <c r="V208" s="274"/>
      <c r="AA208" s="153"/>
      <c r="AB208" s="153"/>
    </row>
    <row r="209" spans="3:28" ht="13.2">
      <c r="C209" s="10"/>
      <c r="D209" s="10"/>
      <c r="E209" s="273"/>
      <c r="U209" s="274"/>
      <c r="V209" s="274"/>
      <c r="AA209" s="153"/>
      <c r="AB209" s="153"/>
    </row>
    <row r="210" spans="3:28" ht="13.2">
      <c r="C210" s="10"/>
      <c r="D210" s="10"/>
      <c r="E210" s="273"/>
      <c r="U210" s="274"/>
      <c r="V210" s="274"/>
      <c r="AA210" s="153"/>
      <c r="AB210" s="153"/>
    </row>
    <row r="211" spans="3:28" ht="13.2">
      <c r="C211" s="10"/>
      <c r="D211" s="10"/>
      <c r="E211" s="273"/>
      <c r="U211" s="274"/>
      <c r="V211" s="274"/>
      <c r="AA211" s="153"/>
      <c r="AB211" s="153"/>
    </row>
    <row r="212" spans="3:28" ht="13.2">
      <c r="C212" s="10"/>
      <c r="D212" s="10"/>
      <c r="E212" s="273"/>
      <c r="U212" s="274"/>
      <c r="V212" s="274"/>
      <c r="AA212" s="153"/>
      <c r="AB212" s="153"/>
    </row>
    <row r="213" spans="3:28" ht="13.2">
      <c r="C213" s="10"/>
      <c r="D213" s="10"/>
      <c r="E213" s="273"/>
      <c r="U213" s="274"/>
      <c r="V213" s="274"/>
      <c r="AA213" s="153"/>
      <c r="AB213" s="153"/>
    </row>
    <row r="214" spans="3:28" ht="13.2">
      <c r="C214" s="10"/>
      <c r="D214" s="10"/>
      <c r="E214" s="273"/>
      <c r="U214" s="274"/>
      <c r="V214" s="274"/>
      <c r="AA214" s="153"/>
      <c r="AB214" s="153"/>
    </row>
    <row r="215" spans="3:28" ht="13.2">
      <c r="C215" s="10"/>
      <c r="D215" s="10"/>
      <c r="E215" s="273"/>
      <c r="U215" s="274"/>
      <c r="V215" s="274"/>
      <c r="AA215" s="153"/>
      <c r="AB215" s="153"/>
    </row>
    <row r="216" spans="3:28" ht="13.2">
      <c r="C216" s="10"/>
      <c r="D216" s="10"/>
      <c r="E216" s="273"/>
      <c r="U216" s="274"/>
      <c r="V216" s="274"/>
      <c r="AA216" s="153"/>
      <c r="AB216" s="153"/>
    </row>
    <row r="217" spans="3:28" ht="13.2">
      <c r="C217" s="10"/>
      <c r="D217" s="10"/>
      <c r="E217" s="273"/>
      <c r="U217" s="274"/>
      <c r="V217" s="274"/>
      <c r="AA217" s="153"/>
      <c r="AB217" s="153"/>
    </row>
    <row r="218" spans="3:28" ht="13.2">
      <c r="C218" s="10"/>
      <c r="D218" s="10"/>
      <c r="E218" s="273"/>
      <c r="U218" s="274"/>
      <c r="V218" s="274"/>
      <c r="AA218" s="153"/>
      <c r="AB218" s="153"/>
    </row>
    <row r="219" spans="3:28" ht="13.2">
      <c r="C219" s="10"/>
      <c r="D219" s="10"/>
      <c r="E219" s="273"/>
      <c r="U219" s="274"/>
      <c r="V219" s="274"/>
      <c r="AA219" s="153"/>
      <c r="AB219" s="153"/>
    </row>
    <row r="220" spans="3:28" ht="13.2">
      <c r="C220" s="10"/>
      <c r="D220" s="10"/>
      <c r="E220" s="273"/>
      <c r="U220" s="274"/>
      <c r="V220" s="274"/>
      <c r="AA220" s="153"/>
      <c r="AB220" s="153"/>
    </row>
    <row r="221" spans="3:28" ht="13.2">
      <c r="C221" s="10"/>
      <c r="D221" s="10"/>
      <c r="E221" s="273"/>
      <c r="U221" s="274"/>
      <c r="V221" s="274"/>
      <c r="AA221" s="153"/>
      <c r="AB221" s="153"/>
    </row>
    <row r="222" spans="3:28" ht="13.2">
      <c r="C222" s="10"/>
      <c r="D222" s="10"/>
      <c r="E222" s="273"/>
      <c r="U222" s="274"/>
      <c r="V222" s="274"/>
      <c r="AA222" s="153"/>
      <c r="AB222" s="153"/>
    </row>
    <row r="223" spans="3:28" ht="13.2">
      <c r="C223" s="10"/>
      <c r="D223" s="10"/>
      <c r="E223" s="273"/>
      <c r="U223" s="274"/>
      <c r="V223" s="274"/>
      <c r="AA223" s="153"/>
      <c r="AB223" s="153"/>
    </row>
    <row r="224" spans="3:28" ht="13.2">
      <c r="C224" s="10"/>
      <c r="D224" s="10"/>
      <c r="E224" s="273"/>
      <c r="U224" s="274"/>
      <c r="V224" s="274"/>
      <c r="AA224" s="153"/>
      <c r="AB224" s="153"/>
    </row>
    <row r="225" spans="3:28" ht="13.2">
      <c r="C225" s="10"/>
      <c r="D225" s="10"/>
      <c r="E225" s="273"/>
      <c r="U225" s="274"/>
      <c r="V225" s="274"/>
      <c r="AA225" s="153"/>
      <c r="AB225" s="153"/>
    </row>
    <row r="226" spans="3:28" ht="13.2">
      <c r="C226" s="10"/>
      <c r="D226" s="10"/>
      <c r="E226" s="273"/>
      <c r="U226" s="274"/>
      <c r="V226" s="274"/>
      <c r="AA226" s="153"/>
      <c r="AB226" s="153"/>
    </row>
    <row r="227" spans="3:28" ht="13.2">
      <c r="C227" s="10"/>
      <c r="D227" s="10"/>
      <c r="E227" s="273"/>
      <c r="U227" s="274"/>
      <c r="V227" s="274"/>
      <c r="AA227" s="153"/>
      <c r="AB227" s="153"/>
    </row>
    <row r="228" spans="3:28" ht="13.2">
      <c r="C228" s="10"/>
      <c r="D228" s="10"/>
      <c r="E228" s="273"/>
      <c r="U228" s="274"/>
      <c r="V228" s="274"/>
      <c r="AA228" s="153"/>
      <c r="AB228" s="153"/>
    </row>
    <row r="229" spans="3:28" ht="13.2">
      <c r="C229" s="10"/>
      <c r="D229" s="10"/>
      <c r="E229" s="273"/>
      <c r="U229" s="274"/>
      <c r="V229" s="274"/>
      <c r="AA229" s="153"/>
      <c r="AB229" s="153"/>
    </row>
    <row r="230" spans="3:28" ht="13.2">
      <c r="C230" s="10"/>
      <c r="D230" s="10"/>
      <c r="E230" s="273"/>
      <c r="U230" s="274"/>
      <c r="V230" s="274"/>
      <c r="AA230" s="153"/>
      <c r="AB230" s="153"/>
    </row>
    <row r="231" spans="3:28" ht="13.2">
      <c r="C231" s="10"/>
      <c r="D231" s="10"/>
      <c r="E231" s="273"/>
      <c r="U231" s="274"/>
      <c r="V231" s="274"/>
      <c r="AA231" s="153"/>
      <c r="AB231" s="153"/>
    </row>
    <row r="232" spans="3:28" ht="13.2">
      <c r="C232" s="10"/>
      <c r="D232" s="10"/>
      <c r="E232" s="273"/>
      <c r="U232" s="274"/>
      <c r="V232" s="274"/>
      <c r="AA232" s="153"/>
      <c r="AB232" s="153"/>
    </row>
    <row r="233" spans="3:28" ht="13.2">
      <c r="C233" s="10"/>
      <c r="D233" s="10"/>
      <c r="E233" s="273"/>
      <c r="U233" s="274"/>
      <c r="V233" s="274"/>
      <c r="AA233" s="153"/>
      <c r="AB233" s="153"/>
    </row>
    <row r="234" spans="3:28" ht="13.2">
      <c r="C234" s="10"/>
      <c r="D234" s="10"/>
      <c r="E234" s="273"/>
      <c r="U234" s="274"/>
      <c r="V234" s="274"/>
      <c r="AA234" s="153"/>
      <c r="AB234" s="153"/>
    </row>
    <row r="235" spans="3:28" ht="13.2">
      <c r="C235" s="10"/>
      <c r="D235" s="10"/>
      <c r="E235" s="273"/>
      <c r="U235" s="274"/>
      <c r="V235" s="274"/>
      <c r="AA235" s="153"/>
      <c r="AB235" s="153"/>
    </row>
    <row r="236" spans="3:28" ht="13.2">
      <c r="C236" s="10"/>
      <c r="D236" s="10"/>
      <c r="E236" s="273"/>
      <c r="U236" s="274"/>
      <c r="V236" s="274"/>
      <c r="AA236" s="153"/>
      <c r="AB236" s="153"/>
    </row>
    <row r="237" spans="3:28" ht="13.2">
      <c r="C237" s="10"/>
      <c r="D237" s="10"/>
      <c r="E237" s="273"/>
      <c r="U237" s="274"/>
      <c r="V237" s="274"/>
      <c r="AA237" s="153"/>
      <c r="AB237" s="153"/>
    </row>
    <row r="238" spans="3:28" ht="13.2">
      <c r="C238" s="10"/>
      <c r="D238" s="10"/>
      <c r="E238" s="273"/>
      <c r="U238" s="274"/>
      <c r="V238" s="274"/>
      <c r="AA238" s="153"/>
      <c r="AB238" s="153"/>
    </row>
    <row r="239" spans="3:28" ht="13.2">
      <c r="C239" s="10"/>
      <c r="D239" s="10"/>
      <c r="E239" s="273"/>
      <c r="U239" s="274"/>
      <c r="V239" s="274"/>
      <c r="AA239" s="153"/>
      <c r="AB239" s="153"/>
    </row>
    <row r="240" spans="3:28" ht="13.2">
      <c r="C240" s="10"/>
      <c r="D240" s="10"/>
      <c r="E240" s="273"/>
      <c r="U240" s="274"/>
      <c r="V240" s="274"/>
      <c r="AA240" s="153"/>
      <c r="AB240" s="153"/>
    </row>
    <row r="241" spans="3:28" ht="13.2">
      <c r="C241" s="10"/>
      <c r="D241" s="10"/>
      <c r="E241" s="273"/>
      <c r="U241" s="274"/>
      <c r="V241" s="274"/>
      <c r="AA241" s="153"/>
      <c r="AB241" s="153"/>
    </row>
    <row r="242" spans="3:28" ht="13.2">
      <c r="C242" s="10"/>
      <c r="D242" s="10"/>
      <c r="E242" s="273"/>
      <c r="U242" s="274"/>
      <c r="V242" s="274"/>
      <c r="AA242" s="153"/>
      <c r="AB242" s="153"/>
    </row>
    <row r="243" spans="3:28" ht="13.2">
      <c r="C243" s="10"/>
      <c r="D243" s="10"/>
      <c r="E243" s="273"/>
      <c r="U243" s="274"/>
      <c r="V243" s="274"/>
      <c r="AA243" s="153"/>
      <c r="AB243" s="153"/>
    </row>
    <row r="244" spans="3:28" ht="13.2">
      <c r="C244" s="10"/>
      <c r="D244" s="10"/>
      <c r="E244" s="273"/>
      <c r="U244" s="274"/>
      <c r="V244" s="274"/>
      <c r="AA244" s="153"/>
      <c r="AB244" s="153"/>
    </row>
    <row r="245" spans="3:28" ht="13.2">
      <c r="C245" s="10"/>
      <c r="D245" s="10"/>
      <c r="E245" s="273"/>
      <c r="U245" s="274"/>
      <c r="V245" s="274"/>
      <c r="AA245" s="153"/>
      <c r="AB245" s="153"/>
    </row>
    <row r="246" spans="3:28" ht="13.2">
      <c r="C246" s="10"/>
      <c r="D246" s="10"/>
      <c r="E246" s="273"/>
      <c r="U246" s="274"/>
      <c r="V246" s="274"/>
      <c r="AA246" s="153"/>
      <c r="AB246" s="153"/>
    </row>
    <row r="247" spans="3:28" ht="13.2">
      <c r="C247" s="10"/>
      <c r="D247" s="10"/>
      <c r="E247" s="273"/>
      <c r="U247" s="274"/>
      <c r="V247" s="274"/>
      <c r="AA247" s="153"/>
      <c r="AB247" s="153"/>
    </row>
    <row r="248" spans="3:28" ht="13.2">
      <c r="C248" s="10"/>
      <c r="D248" s="10"/>
      <c r="E248" s="273"/>
      <c r="U248" s="274"/>
      <c r="V248" s="274"/>
      <c r="AA248" s="153"/>
      <c r="AB248" s="153"/>
    </row>
    <row r="249" spans="3:28" ht="13.2">
      <c r="C249" s="10"/>
      <c r="D249" s="10"/>
      <c r="E249" s="273"/>
      <c r="U249" s="274"/>
      <c r="V249" s="274"/>
      <c r="AA249" s="153"/>
      <c r="AB249" s="153"/>
    </row>
    <row r="250" spans="3:28" ht="13.2">
      <c r="C250" s="10"/>
      <c r="D250" s="10"/>
      <c r="E250" s="273"/>
      <c r="U250" s="274"/>
      <c r="V250" s="274"/>
      <c r="AA250" s="153"/>
      <c r="AB250" s="153"/>
    </row>
    <row r="251" spans="3:28" ht="13.2">
      <c r="C251" s="10"/>
      <c r="D251" s="10"/>
      <c r="E251" s="273"/>
      <c r="U251" s="274"/>
      <c r="V251" s="274"/>
      <c r="AA251" s="153"/>
      <c r="AB251" s="153"/>
    </row>
    <row r="252" spans="3:28" ht="13.2">
      <c r="C252" s="10"/>
      <c r="D252" s="10"/>
      <c r="E252" s="273"/>
      <c r="U252" s="274"/>
      <c r="V252" s="274"/>
      <c r="AA252" s="153"/>
      <c r="AB252" s="153"/>
    </row>
    <row r="253" spans="3:28" ht="13.2">
      <c r="C253" s="10"/>
      <c r="D253" s="10"/>
      <c r="E253" s="273"/>
      <c r="U253" s="274"/>
      <c r="V253" s="274"/>
      <c r="AA253" s="153"/>
      <c r="AB253" s="153"/>
    </row>
    <row r="254" spans="3:28" ht="13.2">
      <c r="C254" s="10"/>
      <c r="D254" s="10"/>
      <c r="E254" s="273"/>
      <c r="U254" s="274"/>
      <c r="V254" s="274"/>
      <c r="AA254" s="153"/>
      <c r="AB254" s="153"/>
    </row>
    <row r="255" spans="3:28" ht="13.2">
      <c r="C255" s="10"/>
      <c r="D255" s="10"/>
      <c r="E255" s="273"/>
      <c r="U255" s="274"/>
      <c r="V255" s="274"/>
      <c r="AA255" s="153"/>
      <c r="AB255" s="153"/>
    </row>
    <row r="256" spans="3:28" ht="13.2">
      <c r="C256" s="10"/>
      <c r="D256" s="10"/>
      <c r="E256" s="273"/>
      <c r="U256" s="274"/>
      <c r="V256" s="274"/>
      <c r="AA256" s="153"/>
      <c r="AB256" s="153"/>
    </row>
    <row r="257" spans="3:28" ht="13.2">
      <c r="C257" s="10"/>
      <c r="D257" s="10"/>
      <c r="E257" s="273"/>
      <c r="U257" s="274"/>
      <c r="V257" s="274"/>
      <c r="AA257" s="153"/>
      <c r="AB257" s="153"/>
    </row>
    <row r="258" spans="3:28" ht="13.2">
      <c r="C258" s="10"/>
      <c r="D258" s="10"/>
      <c r="E258" s="273"/>
      <c r="U258" s="274"/>
      <c r="V258" s="274"/>
      <c r="AA258" s="153"/>
      <c r="AB258" s="153"/>
    </row>
    <row r="259" spans="3:28" ht="13.2">
      <c r="C259" s="10"/>
      <c r="D259" s="10"/>
      <c r="E259" s="273"/>
      <c r="U259" s="274"/>
      <c r="V259" s="274"/>
      <c r="AA259" s="153"/>
      <c r="AB259" s="153"/>
    </row>
    <row r="260" spans="3:28" ht="13.2">
      <c r="C260" s="10"/>
      <c r="D260" s="10"/>
      <c r="E260" s="273"/>
      <c r="U260" s="274"/>
      <c r="V260" s="274"/>
      <c r="AA260" s="153"/>
      <c r="AB260" s="153"/>
    </row>
    <row r="261" spans="3:28" ht="13.2">
      <c r="C261" s="10"/>
      <c r="D261" s="10"/>
      <c r="E261" s="273"/>
      <c r="U261" s="274"/>
      <c r="V261" s="274"/>
      <c r="AA261" s="153"/>
      <c r="AB261" s="153"/>
    </row>
    <row r="262" spans="3:28" ht="13.2">
      <c r="C262" s="10"/>
      <c r="D262" s="10"/>
      <c r="E262" s="273"/>
      <c r="U262" s="274"/>
      <c r="V262" s="274"/>
      <c r="AA262" s="153"/>
      <c r="AB262" s="153"/>
    </row>
    <row r="263" spans="3:28" ht="13.2">
      <c r="C263" s="10"/>
      <c r="D263" s="10"/>
      <c r="E263" s="273"/>
      <c r="U263" s="274"/>
      <c r="V263" s="274"/>
      <c r="AA263" s="153"/>
      <c r="AB263" s="153"/>
    </row>
    <row r="264" spans="3:28" ht="13.2">
      <c r="C264" s="10"/>
      <c r="D264" s="10"/>
      <c r="E264" s="273"/>
      <c r="U264" s="274"/>
      <c r="V264" s="274"/>
      <c r="AA264" s="153"/>
      <c r="AB264" s="153"/>
    </row>
    <row r="265" spans="3:28" ht="13.2">
      <c r="C265" s="10"/>
      <c r="D265" s="10"/>
      <c r="E265" s="273"/>
      <c r="U265" s="274"/>
      <c r="V265" s="274"/>
      <c r="AA265" s="153"/>
      <c r="AB265" s="153"/>
    </row>
    <row r="266" spans="3:28" ht="13.2">
      <c r="C266" s="10"/>
      <c r="D266" s="10"/>
      <c r="E266" s="273"/>
      <c r="U266" s="274"/>
      <c r="V266" s="274"/>
      <c r="AA266" s="153"/>
      <c r="AB266" s="153"/>
    </row>
    <row r="267" spans="3:28" ht="13.2">
      <c r="C267" s="10"/>
      <c r="D267" s="10"/>
      <c r="E267" s="273"/>
      <c r="U267" s="274"/>
      <c r="V267" s="274"/>
      <c r="AA267" s="153"/>
      <c r="AB267" s="153"/>
    </row>
    <row r="268" spans="3:28" ht="13.2">
      <c r="C268" s="10"/>
      <c r="D268" s="10"/>
      <c r="E268" s="273"/>
      <c r="U268" s="274"/>
      <c r="V268" s="274"/>
      <c r="AA268" s="153"/>
      <c r="AB268" s="153"/>
    </row>
    <row r="269" spans="3:28" ht="13.2">
      <c r="C269" s="10"/>
      <c r="D269" s="10"/>
      <c r="E269" s="273"/>
      <c r="U269" s="274"/>
      <c r="V269" s="274"/>
      <c r="AA269" s="153"/>
      <c r="AB269" s="153"/>
    </row>
    <row r="270" spans="3:28" ht="13.2">
      <c r="C270" s="10"/>
      <c r="D270" s="10"/>
      <c r="E270" s="273"/>
      <c r="U270" s="274"/>
      <c r="V270" s="274"/>
      <c r="AA270" s="153"/>
      <c r="AB270" s="153"/>
    </row>
    <row r="271" spans="3:28" ht="13.2">
      <c r="C271" s="10"/>
      <c r="D271" s="10"/>
      <c r="E271" s="273"/>
      <c r="U271" s="274"/>
      <c r="V271" s="274"/>
      <c r="AA271" s="153"/>
      <c r="AB271" s="153"/>
    </row>
    <row r="272" spans="3:28" ht="13.2">
      <c r="C272" s="10"/>
      <c r="D272" s="10"/>
      <c r="E272" s="273"/>
      <c r="U272" s="274"/>
      <c r="V272" s="274"/>
      <c r="AA272" s="153"/>
      <c r="AB272" s="153"/>
    </row>
    <row r="273" spans="3:28" ht="13.2">
      <c r="C273" s="10"/>
      <c r="D273" s="10"/>
      <c r="E273" s="273"/>
      <c r="U273" s="274"/>
      <c r="V273" s="274"/>
      <c r="AA273" s="153"/>
      <c r="AB273" s="153"/>
    </row>
    <row r="274" spans="3:28" ht="13.2">
      <c r="C274" s="10"/>
      <c r="D274" s="10"/>
      <c r="E274" s="273"/>
      <c r="U274" s="274"/>
      <c r="V274" s="274"/>
      <c r="AA274" s="153"/>
      <c r="AB274" s="153"/>
    </row>
    <row r="275" spans="3:28" ht="13.2">
      <c r="C275" s="10"/>
      <c r="D275" s="10"/>
      <c r="E275" s="273"/>
      <c r="U275" s="274"/>
      <c r="V275" s="274"/>
      <c r="AA275" s="153"/>
      <c r="AB275" s="153"/>
    </row>
    <row r="276" spans="3:28" ht="13.2">
      <c r="C276" s="10"/>
      <c r="D276" s="10"/>
      <c r="E276" s="273"/>
      <c r="U276" s="274"/>
      <c r="V276" s="274"/>
      <c r="AA276" s="153"/>
      <c r="AB276" s="153"/>
    </row>
    <row r="277" spans="3:28" ht="13.2">
      <c r="C277" s="10"/>
      <c r="D277" s="10"/>
      <c r="E277" s="273"/>
      <c r="U277" s="274"/>
      <c r="V277" s="274"/>
      <c r="AA277" s="153"/>
      <c r="AB277" s="153"/>
    </row>
    <row r="278" spans="3:28" ht="13.2">
      <c r="C278" s="10"/>
      <c r="D278" s="10"/>
      <c r="E278" s="273"/>
      <c r="U278" s="274"/>
      <c r="V278" s="274"/>
      <c r="AA278" s="153"/>
      <c r="AB278" s="153"/>
    </row>
    <row r="279" spans="3:28" ht="13.2">
      <c r="C279" s="10"/>
      <c r="D279" s="10"/>
      <c r="E279" s="273"/>
      <c r="U279" s="274"/>
      <c r="V279" s="274"/>
      <c r="AA279" s="153"/>
      <c r="AB279" s="153"/>
    </row>
    <row r="280" spans="3:28" ht="13.2">
      <c r="C280" s="10"/>
      <c r="D280" s="10"/>
      <c r="E280" s="273"/>
      <c r="U280" s="274"/>
      <c r="V280" s="274"/>
      <c r="AA280" s="153"/>
      <c r="AB280" s="153"/>
    </row>
    <row r="281" spans="3:28" ht="13.2">
      <c r="C281" s="10"/>
      <c r="D281" s="10"/>
      <c r="E281" s="273"/>
      <c r="U281" s="274"/>
      <c r="V281" s="274"/>
      <c r="AA281" s="153"/>
      <c r="AB281" s="153"/>
    </row>
    <row r="282" spans="3:28" ht="13.2">
      <c r="C282" s="10"/>
      <c r="D282" s="10"/>
      <c r="E282" s="273"/>
      <c r="U282" s="274"/>
      <c r="V282" s="274"/>
      <c r="AA282" s="153"/>
      <c r="AB282" s="153"/>
    </row>
    <row r="283" spans="3:28" ht="13.2">
      <c r="C283" s="10"/>
      <c r="D283" s="10"/>
      <c r="E283" s="273"/>
      <c r="U283" s="274"/>
      <c r="V283" s="274"/>
      <c r="AA283" s="153"/>
      <c r="AB283" s="153"/>
    </row>
    <row r="284" spans="3:28" ht="13.2">
      <c r="C284" s="10"/>
      <c r="D284" s="10"/>
      <c r="E284" s="273"/>
      <c r="U284" s="274"/>
      <c r="V284" s="274"/>
      <c r="AA284" s="153"/>
      <c r="AB284" s="153"/>
    </row>
    <row r="285" spans="3:28" ht="13.2">
      <c r="C285" s="10"/>
      <c r="D285" s="10"/>
      <c r="E285" s="273"/>
      <c r="U285" s="274"/>
      <c r="V285" s="274"/>
      <c r="AA285" s="153"/>
      <c r="AB285" s="153"/>
    </row>
    <row r="286" spans="3:28" ht="13.2">
      <c r="C286" s="10"/>
      <c r="D286" s="10"/>
      <c r="E286" s="273"/>
      <c r="U286" s="274"/>
      <c r="V286" s="274"/>
      <c r="AA286" s="153"/>
      <c r="AB286" s="153"/>
    </row>
    <row r="287" spans="3:28" ht="13.2">
      <c r="C287" s="10"/>
      <c r="D287" s="10"/>
      <c r="E287" s="273"/>
      <c r="U287" s="274"/>
      <c r="V287" s="274"/>
      <c r="AA287" s="153"/>
      <c r="AB287" s="153"/>
    </row>
    <row r="288" spans="3:28" ht="13.2">
      <c r="C288" s="10"/>
      <c r="D288" s="10"/>
      <c r="E288" s="273"/>
      <c r="U288" s="274"/>
      <c r="V288" s="274"/>
      <c r="AA288" s="153"/>
      <c r="AB288" s="153"/>
    </row>
    <row r="289" spans="3:28" ht="13.2">
      <c r="C289" s="10"/>
      <c r="D289" s="10"/>
      <c r="E289" s="273"/>
      <c r="U289" s="274"/>
      <c r="V289" s="274"/>
      <c r="AA289" s="153"/>
      <c r="AB289" s="153"/>
    </row>
    <row r="290" spans="3:28" ht="13.2">
      <c r="C290" s="10"/>
      <c r="D290" s="10"/>
      <c r="E290" s="273"/>
      <c r="U290" s="274"/>
      <c r="V290" s="274"/>
      <c r="AA290" s="153"/>
      <c r="AB290" s="153"/>
    </row>
    <row r="291" spans="3:28" ht="13.2">
      <c r="C291" s="10"/>
      <c r="D291" s="10"/>
      <c r="E291" s="273"/>
      <c r="U291" s="274"/>
      <c r="V291" s="274"/>
      <c r="AA291" s="153"/>
      <c r="AB291" s="153"/>
    </row>
    <row r="292" spans="3:28" ht="13.2">
      <c r="C292" s="10"/>
      <c r="D292" s="10"/>
      <c r="E292" s="273"/>
      <c r="U292" s="274"/>
      <c r="V292" s="274"/>
      <c r="AA292" s="153"/>
      <c r="AB292" s="153"/>
    </row>
    <row r="293" spans="3:28" ht="13.2">
      <c r="C293" s="10"/>
      <c r="D293" s="10"/>
      <c r="E293" s="273"/>
      <c r="U293" s="274"/>
      <c r="V293" s="274"/>
      <c r="AA293" s="153"/>
      <c r="AB293" s="153"/>
    </row>
    <row r="294" spans="3:28" ht="13.2">
      <c r="C294" s="10"/>
      <c r="D294" s="10"/>
      <c r="E294" s="273"/>
      <c r="U294" s="274"/>
      <c r="V294" s="274"/>
      <c r="AA294" s="153"/>
      <c r="AB294" s="153"/>
    </row>
    <row r="295" spans="3:28" ht="13.2">
      <c r="C295" s="10"/>
      <c r="D295" s="10"/>
      <c r="E295" s="273"/>
      <c r="U295" s="274"/>
      <c r="V295" s="274"/>
      <c r="AA295" s="153"/>
      <c r="AB295" s="153"/>
    </row>
    <row r="296" spans="3:28" ht="13.2">
      <c r="C296" s="10"/>
      <c r="D296" s="10"/>
      <c r="E296" s="273"/>
      <c r="U296" s="274"/>
      <c r="V296" s="274"/>
      <c r="AA296" s="153"/>
      <c r="AB296" s="153"/>
    </row>
    <row r="297" spans="3:28" ht="13.2">
      <c r="C297" s="10"/>
      <c r="D297" s="10"/>
      <c r="E297" s="273"/>
      <c r="U297" s="274"/>
      <c r="V297" s="274"/>
      <c r="AA297" s="153"/>
      <c r="AB297" s="153"/>
    </row>
    <row r="298" spans="3:28" ht="13.2">
      <c r="C298" s="10"/>
      <c r="D298" s="10"/>
      <c r="E298" s="273"/>
      <c r="U298" s="274"/>
      <c r="V298" s="274"/>
      <c r="AA298" s="153"/>
      <c r="AB298" s="153"/>
    </row>
    <row r="299" spans="3:28" ht="13.2">
      <c r="C299" s="10"/>
      <c r="D299" s="10"/>
      <c r="E299" s="273"/>
      <c r="U299" s="274"/>
      <c r="V299" s="274"/>
      <c r="AA299" s="153"/>
      <c r="AB299" s="153"/>
    </row>
    <row r="300" spans="3:28" ht="13.2">
      <c r="C300" s="10"/>
      <c r="D300" s="10"/>
      <c r="E300" s="273"/>
      <c r="U300" s="274"/>
      <c r="V300" s="274"/>
      <c r="AA300" s="153"/>
      <c r="AB300" s="153"/>
    </row>
    <row r="301" spans="3:28" ht="13.2">
      <c r="C301" s="10"/>
      <c r="D301" s="10"/>
      <c r="E301" s="273"/>
      <c r="U301" s="274"/>
      <c r="V301" s="274"/>
      <c r="AA301" s="153"/>
      <c r="AB301" s="153"/>
    </row>
    <row r="302" spans="3:28" ht="13.2">
      <c r="C302" s="10"/>
      <c r="D302" s="10"/>
      <c r="E302" s="273"/>
      <c r="U302" s="274"/>
      <c r="V302" s="274"/>
      <c r="AA302" s="153"/>
      <c r="AB302" s="153"/>
    </row>
    <row r="303" spans="3:28" ht="13.2">
      <c r="C303" s="10"/>
      <c r="D303" s="10"/>
      <c r="E303" s="273"/>
      <c r="U303" s="274"/>
      <c r="V303" s="274"/>
      <c r="AA303" s="153"/>
      <c r="AB303" s="153"/>
    </row>
    <row r="304" spans="3:28" ht="13.2">
      <c r="C304" s="10"/>
      <c r="D304" s="10"/>
      <c r="E304" s="273"/>
      <c r="U304" s="274"/>
      <c r="V304" s="274"/>
      <c r="AA304" s="153"/>
      <c r="AB304" s="153"/>
    </row>
    <row r="305" spans="3:28" ht="13.2">
      <c r="C305" s="10"/>
      <c r="D305" s="10"/>
      <c r="E305" s="273"/>
      <c r="U305" s="274"/>
      <c r="V305" s="274"/>
      <c r="AA305" s="153"/>
      <c r="AB305" s="153"/>
    </row>
    <row r="306" spans="3:28" ht="13.2">
      <c r="C306" s="10"/>
      <c r="D306" s="10"/>
      <c r="E306" s="273"/>
      <c r="U306" s="274"/>
      <c r="V306" s="274"/>
      <c r="AA306" s="153"/>
      <c r="AB306" s="153"/>
    </row>
    <row r="307" spans="3:28" ht="13.2">
      <c r="C307" s="10"/>
      <c r="D307" s="10"/>
      <c r="E307" s="273"/>
      <c r="U307" s="274"/>
      <c r="V307" s="274"/>
      <c r="AA307" s="153"/>
      <c r="AB307" s="153"/>
    </row>
    <row r="308" spans="3:28" ht="13.2">
      <c r="C308" s="10"/>
      <c r="D308" s="10"/>
      <c r="E308" s="273"/>
      <c r="U308" s="274"/>
      <c r="V308" s="274"/>
      <c r="AA308" s="153"/>
      <c r="AB308" s="153"/>
    </row>
    <row r="309" spans="3:28" ht="13.2">
      <c r="C309" s="10"/>
      <c r="D309" s="10"/>
      <c r="E309" s="273"/>
      <c r="U309" s="274"/>
      <c r="V309" s="274"/>
      <c r="AA309" s="153"/>
      <c r="AB309" s="153"/>
    </row>
    <row r="310" spans="3:28" ht="13.2">
      <c r="C310" s="10"/>
      <c r="D310" s="10"/>
      <c r="E310" s="273"/>
      <c r="U310" s="274"/>
      <c r="V310" s="274"/>
      <c r="AA310" s="153"/>
      <c r="AB310" s="153"/>
    </row>
    <row r="311" spans="3:28" ht="13.2">
      <c r="C311" s="10"/>
      <c r="D311" s="10"/>
      <c r="E311" s="273"/>
      <c r="U311" s="274"/>
      <c r="V311" s="274"/>
      <c r="AA311" s="153"/>
      <c r="AB311" s="153"/>
    </row>
    <row r="312" spans="3:28" ht="13.2">
      <c r="C312" s="10"/>
      <c r="D312" s="10"/>
      <c r="E312" s="273"/>
      <c r="U312" s="274"/>
      <c r="V312" s="274"/>
      <c r="AA312" s="153"/>
      <c r="AB312" s="153"/>
    </row>
    <row r="313" spans="3:28" ht="13.2">
      <c r="C313" s="10"/>
      <c r="D313" s="10"/>
      <c r="E313" s="273"/>
      <c r="U313" s="274"/>
      <c r="V313" s="274"/>
      <c r="AA313" s="153"/>
      <c r="AB313" s="153"/>
    </row>
    <row r="314" spans="3:28" ht="13.2">
      <c r="C314" s="10"/>
      <c r="D314" s="10"/>
      <c r="E314" s="273"/>
      <c r="U314" s="274"/>
      <c r="V314" s="274"/>
      <c r="AA314" s="153"/>
      <c r="AB314" s="153"/>
    </row>
    <row r="315" spans="3:28" ht="13.2">
      <c r="C315" s="10"/>
      <c r="D315" s="10"/>
      <c r="E315" s="273"/>
      <c r="U315" s="274"/>
      <c r="V315" s="274"/>
      <c r="AA315" s="153"/>
      <c r="AB315" s="153"/>
    </row>
    <row r="316" spans="3:28" ht="13.2">
      <c r="C316" s="10"/>
      <c r="D316" s="10"/>
      <c r="E316" s="273"/>
      <c r="U316" s="274"/>
      <c r="V316" s="274"/>
      <c r="AA316" s="153"/>
      <c r="AB316" s="153"/>
    </row>
    <row r="317" spans="3:28" ht="13.2">
      <c r="C317" s="10"/>
      <c r="D317" s="10"/>
      <c r="E317" s="273"/>
      <c r="U317" s="274"/>
      <c r="V317" s="274"/>
      <c r="AA317" s="153"/>
      <c r="AB317" s="153"/>
    </row>
    <row r="318" spans="3:28" ht="13.2">
      <c r="C318" s="10"/>
      <c r="D318" s="10"/>
      <c r="E318" s="273"/>
      <c r="U318" s="274"/>
      <c r="V318" s="274"/>
      <c r="AA318" s="153"/>
      <c r="AB318" s="153"/>
    </row>
    <row r="319" spans="3:28" ht="13.2">
      <c r="C319" s="10"/>
      <c r="D319" s="10"/>
      <c r="E319" s="273"/>
      <c r="U319" s="274"/>
      <c r="V319" s="274"/>
      <c r="AA319" s="153"/>
      <c r="AB319" s="153"/>
    </row>
    <row r="320" spans="3:28" ht="13.2">
      <c r="C320" s="10"/>
      <c r="D320" s="10"/>
      <c r="E320" s="273"/>
      <c r="U320" s="274"/>
      <c r="V320" s="274"/>
      <c r="AA320" s="153"/>
      <c r="AB320" s="153"/>
    </row>
    <row r="321" spans="3:28" ht="13.2">
      <c r="C321" s="10"/>
      <c r="D321" s="10"/>
      <c r="E321" s="273"/>
      <c r="U321" s="274"/>
      <c r="V321" s="274"/>
      <c r="AA321" s="153"/>
      <c r="AB321" s="153"/>
    </row>
    <row r="322" spans="3:28" ht="13.2">
      <c r="C322" s="10"/>
      <c r="D322" s="10"/>
      <c r="E322" s="273"/>
      <c r="U322" s="274"/>
      <c r="V322" s="274"/>
      <c r="AA322" s="153"/>
      <c r="AB322" s="153"/>
    </row>
    <row r="323" spans="3:28" ht="13.2">
      <c r="C323" s="10"/>
      <c r="D323" s="10"/>
      <c r="E323" s="273"/>
      <c r="U323" s="274"/>
      <c r="V323" s="274"/>
      <c r="AA323" s="153"/>
      <c r="AB323" s="153"/>
    </row>
    <row r="324" spans="3:28" ht="13.2">
      <c r="C324" s="10"/>
      <c r="D324" s="10"/>
      <c r="E324" s="273"/>
      <c r="U324" s="274"/>
      <c r="V324" s="274"/>
      <c r="AA324" s="153"/>
      <c r="AB324" s="153"/>
    </row>
    <row r="325" spans="3:28" ht="13.2">
      <c r="C325" s="10"/>
      <c r="D325" s="10"/>
      <c r="E325" s="273"/>
      <c r="U325" s="274"/>
      <c r="V325" s="274"/>
      <c r="AA325" s="153"/>
      <c r="AB325" s="153"/>
    </row>
    <row r="326" spans="3:28" ht="13.2">
      <c r="C326" s="10"/>
      <c r="D326" s="10"/>
      <c r="E326" s="273"/>
      <c r="U326" s="274"/>
      <c r="V326" s="274"/>
      <c r="AA326" s="153"/>
      <c r="AB326" s="153"/>
    </row>
    <row r="327" spans="3:28" ht="13.2">
      <c r="C327" s="10"/>
      <c r="D327" s="10"/>
      <c r="E327" s="273"/>
      <c r="U327" s="274"/>
      <c r="V327" s="274"/>
      <c r="AA327" s="153"/>
      <c r="AB327" s="153"/>
    </row>
    <row r="328" spans="3:28" ht="13.2">
      <c r="C328" s="10"/>
      <c r="D328" s="10"/>
      <c r="E328" s="273"/>
      <c r="U328" s="274"/>
      <c r="V328" s="274"/>
      <c r="AA328" s="153"/>
      <c r="AB328" s="153"/>
    </row>
    <row r="329" spans="3:28" ht="13.2">
      <c r="C329" s="10"/>
      <c r="D329" s="10"/>
      <c r="E329" s="273"/>
      <c r="U329" s="274"/>
      <c r="V329" s="274"/>
      <c r="AA329" s="153"/>
      <c r="AB329" s="153"/>
    </row>
    <row r="330" spans="3:28" ht="13.2">
      <c r="C330" s="10"/>
      <c r="D330" s="10"/>
      <c r="E330" s="273"/>
      <c r="U330" s="274"/>
      <c r="V330" s="274"/>
      <c r="AA330" s="153"/>
      <c r="AB330" s="153"/>
    </row>
    <row r="331" spans="3:28" ht="13.2">
      <c r="C331" s="10"/>
      <c r="D331" s="10"/>
      <c r="E331" s="273"/>
      <c r="U331" s="274"/>
      <c r="V331" s="274"/>
      <c r="AA331" s="153"/>
      <c r="AB331" s="153"/>
    </row>
    <row r="332" spans="3:28" ht="13.2">
      <c r="C332" s="10"/>
      <c r="D332" s="10"/>
      <c r="E332" s="273"/>
      <c r="U332" s="274"/>
      <c r="V332" s="274"/>
      <c r="AA332" s="153"/>
      <c r="AB332" s="153"/>
    </row>
    <row r="333" spans="3:28" ht="13.2">
      <c r="C333" s="10"/>
      <c r="D333" s="10"/>
      <c r="E333" s="273"/>
      <c r="U333" s="274"/>
      <c r="V333" s="274"/>
      <c r="AA333" s="153"/>
      <c r="AB333" s="153"/>
    </row>
    <row r="334" spans="3:28" ht="13.2">
      <c r="C334" s="10"/>
      <c r="D334" s="10"/>
      <c r="E334" s="273"/>
      <c r="U334" s="274"/>
      <c r="V334" s="274"/>
      <c r="AA334" s="153"/>
      <c r="AB334" s="153"/>
    </row>
    <row r="335" spans="3:28" ht="13.2">
      <c r="C335" s="10"/>
      <c r="D335" s="10"/>
      <c r="E335" s="273"/>
      <c r="U335" s="274"/>
      <c r="V335" s="274"/>
      <c r="AA335" s="153"/>
      <c r="AB335" s="153"/>
    </row>
    <row r="336" spans="3:28" ht="13.2">
      <c r="C336" s="10"/>
      <c r="D336" s="10"/>
      <c r="E336" s="273"/>
      <c r="U336" s="274"/>
      <c r="V336" s="274"/>
      <c r="AA336" s="153"/>
      <c r="AB336" s="153"/>
    </row>
    <row r="337" spans="3:28" ht="13.2">
      <c r="C337" s="10"/>
      <c r="D337" s="10"/>
      <c r="E337" s="273"/>
      <c r="U337" s="274"/>
      <c r="V337" s="274"/>
      <c r="AA337" s="153"/>
      <c r="AB337" s="153"/>
    </row>
    <row r="338" spans="3:28" ht="13.2">
      <c r="C338" s="10"/>
      <c r="D338" s="10"/>
      <c r="E338" s="273"/>
      <c r="U338" s="274"/>
      <c r="V338" s="274"/>
      <c r="AA338" s="153"/>
      <c r="AB338" s="153"/>
    </row>
    <row r="339" spans="3:28" ht="13.2">
      <c r="C339" s="10"/>
      <c r="D339" s="10"/>
      <c r="E339" s="273"/>
      <c r="U339" s="274"/>
      <c r="V339" s="274"/>
      <c r="AA339" s="153"/>
      <c r="AB339" s="153"/>
    </row>
    <row r="340" spans="3:28" ht="13.2">
      <c r="C340" s="10"/>
      <c r="D340" s="10"/>
      <c r="E340" s="273"/>
      <c r="U340" s="274"/>
      <c r="V340" s="274"/>
      <c r="AA340" s="153"/>
      <c r="AB340" s="153"/>
    </row>
    <row r="341" spans="3:28" ht="13.2">
      <c r="C341" s="10"/>
      <c r="D341" s="10"/>
      <c r="E341" s="273"/>
      <c r="U341" s="274"/>
      <c r="V341" s="274"/>
      <c r="AA341" s="153"/>
      <c r="AB341" s="153"/>
    </row>
    <row r="342" spans="3:28" ht="13.2">
      <c r="C342" s="10"/>
      <c r="D342" s="10"/>
      <c r="E342" s="273"/>
      <c r="U342" s="274"/>
      <c r="V342" s="274"/>
      <c r="AA342" s="153"/>
      <c r="AB342" s="153"/>
    </row>
    <row r="343" spans="3:28" ht="13.2">
      <c r="C343" s="10"/>
      <c r="D343" s="10"/>
      <c r="E343" s="273"/>
      <c r="U343" s="274"/>
      <c r="V343" s="274"/>
      <c r="AA343" s="153"/>
      <c r="AB343" s="153"/>
    </row>
    <row r="344" spans="3:28" ht="13.2">
      <c r="C344" s="10"/>
      <c r="D344" s="10"/>
      <c r="E344" s="273"/>
      <c r="U344" s="274"/>
      <c r="V344" s="274"/>
      <c r="AA344" s="153"/>
      <c r="AB344" s="153"/>
    </row>
    <row r="345" spans="3:28" ht="13.2">
      <c r="C345" s="10"/>
      <c r="D345" s="10"/>
      <c r="E345" s="273"/>
      <c r="U345" s="274"/>
      <c r="V345" s="274"/>
      <c r="AA345" s="153"/>
      <c r="AB345" s="153"/>
    </row>
    <row r="346" spans="3:28" ht="13.2">
      <c r="C346" s="10"/>
      <c r="D346" s="10"/>
      <c r="E346" s="273"/>
      <c r="U346" s="274"/>
      <c r="V346" s="274"/>
      <c r="AA346" s="153"/>
      <c r="AB346" s="153"/>
    </row>
    <row r="347" spans="3:28" ht="13.2">
      <c r="C347" s="10"/>
      <c r="D347" s="10"/>
      <c r="E347" s="273"/>
      <c r="U347" s="274"/>
      <c r="V347" s="274"/>
      <c r="AA347" s="153"/>
      <c r="AB347" s="153"/>
    </row>
    <row r="348" spans="3:28" ht="13.2">
      <c r="C348" s="10"/>
      <c r="D348" s="10"/>
      <c r="E348" s="273"/>
      <c r="U348" s="274"/>
      <c r="V348" s="274"/>
      <c r="AA348" s="153"/>
      <c r="AB348" s="153"/>
    </row>
    <row r="349" spans="3:28" ht="13.2">
      <c r="C349" s="10"/>
      <c r="D349" s="10"/>
      <c r="E349" s="273"/>
      <c r="U349" s="274"/>
      <c r="V349" s="274"/>
      <c r="AA349" s="153"/>
      <c r="AB349" s="153"/>
    </row>
    <row r="350" spans="3:28" ht="13.2">
      <c r="C350" s="10"/>
      <c r="D350" s="10"/>
      <c r="E350" s="273"/>
      <c r="U350" s="274"/>
      <c r="V350" s="274"/>
      <c r="AA350" s="153"/>
      <c r="AB350" s="153"/>
    </row>
    <row r="351" spans="3:28" ht="13.2">
      <c r="C351" s="10"/>
      <c r="D351" s="10"/>
      <c r="E351" s="273"/>
      <c r="U351" s="274"/>
      <c r="V351" s="274"/>
      <c r="AA351" s="153"/>
      <c r="AB351" s="153"/>
    </row>
    <row r="352" spans="3:28" ht="13.2">
      <c r="C352" s="10"/>
      <c r="D352" s="10"/>
      <c r="E352" s="273"/>
      <c r="U352" s="274"/>
      <c r="V352" s="274"/>
      <c r="AA352" s="153"/>
      <c r="AB352" s="153"/>
    </row>
    <row r="353" spans="3:28" ht="13.2">
      <c r="C353" s="10"/>
      <c r="D353" s="10"/>
      <c r="E353" s="273"/>
      <c r="U353" s="274"/>
      <c r="V353" s="274"/>
      <c r="AA353" s="153"/>
      <c r="AB353" s="153"/>
    </row>
    <row r="354" spans="3:28" ht="13.2">
      <c r="C354" s="10"/>
      <c r="D354" s="10"/>
      <c r="E354" s="273"/>
      <c r="U354" s="274"/>
      <c r="V354" s="274"/>
      <c r="AA354" s="153"/>
      <c r="AB354" s="153"/>
    </row>
    <row r="355" spans="3:28" ht="13.2">
      <c r="C355" s="10"/>
      <c r="D355" s="10"/>
      <c r="E355" s="273"/>
      <c r="U355" s="274"/>
      <c r="V355" s="274"/>
      <c r="AA355" s="153"/>
      <c r="AB355" s="153"/>
    </row>
    <row r="356" spans="3:28" ht="13.2">
      <c r="C356" s="10"/>
      <c r="D356" s="10"/>
      <c r="E356" s="273"/>
      <c r="U356" s="274"/>
      <c r="V356" s="274"/>
      <c r="AA356" s="153"/>
      <c r="AB356" s="153"/>
    </row>
    <row r="357" spans="3:28" ht="13.2">
      <c r="C357" s="10"/>
      <c r="D357" s="10"/>
      <c r="E357" s="273"/>
      <c r="U357" s="274"/>
      <c r="V357" s="274"/>
      <c r="AA357" s="153"/>
      <c r="AB357" s="153"/>
    </row>
    <row r="358" spans="3:28" ht="13.2">
      <c r="C358" s="10"/>
      <c r="D358" s="10"/>
      <c r="E358" s="273"/>
      <c r="U358" s="274"/>
      <c r="V358" s="274"/>
      <c r="AA358" s="153"/>
      <c r="AB358" s="153"/>
    </row>
    <row r="359" spans="3:28" ht="13.2">
      <c r="C359" s="10"/>
      <c r="D359" s="10"/>
      <c r="E359" s="273"/>
      <c r="U359" s="274"/>
      <c r="V359" s="274"/>
      <c r="AA359" s="153"/>
      <c r="AB359" s="153"/>
    </row>
    <row r="360" spans="3:28" ht="13.2">
      <c r="C360" s="10"/>
      <c r="D360" s="10"/>
      <c r="E360" s="273"/>
      <c r="U360" s="274"/>
      <c r="V360" s="274"/>
      <c r="AA360" s="153"/>
      <c r="AB360" s="153"/>
    </row>
    <row r="361" spans="3:28" ht="13.2">
      <c r="C361" s="10"/>
      <c r="D361" s="10"/>
      <c r="E361" s="273"/>
      <c r="U361" s="274"/>
      <c r="V361" s="274"/>
      <c r="AA361" s="153"/>
      <c r="AB361" s="153"/>
    </row>
    <row r="362" spans="3:28" ht="13.2">
      <c r="C362" s="10"/>
      <c r="D362" s="10"/>
      <c r="E362" s="273"/>
      <c r="U362" s="274"/>
      <c r="V362" s="274"/>
      <c r="AA362" s="153"/>
      <c r="AB362" s="153"/>
    </row>
    <row r="363" spans="3:28" ht="13.2">
      <c r="C363" s="10"/>
      <c r="D363" s="10"/>
      <c r="E363" s="273"/>
      <c r="U363" s="274"/>
      <c r="V363" s="274"/>
      <c r="AA363" s="153"/>
      <c r="AB363" s="153"/>
    </row>
    <row r="364" spans="3:28" ht="13.2">
      <c r="C364" s="10"/>
      <c r="D364" s="10"/>
      <c r="E364" s="273"/>
      <c r="U364" s="274"/>
      <c r="V364" s="274"/>
      <c r="AA364" s="153"/>
      <c r="AB364" s="153"/>
    </row>
    <row r="365" spans="3:28" ht="13.2">
      <c r="C365" s="10"/>
      <c r="D365" s="10"/>
      <c r="E365" s="273"/>
      <c r="U365" s="274"/>
      <c r="V365" s="274"/>
      <c r="AA365" s="153"/>
      <c r="AB365" s="153"/>
    </row>
    <row r="366" spans="3:28" ht="13.2">
      <c r="C366" s="10"/>
      <c r="D366" s="10"/>
      <c r="E366" s="273"/>
      <c r="U366" s="274"/>
      <c r="V366" s="274"/>
      <c r="AA366" s="153"/>
      <c r="AB366" s="153"/>
    </row>
    <row r="367" spans="3:28" ht="13.2">
      <c r="C367" s="10"/>
      <c r="D367" s="10"/>
      <c r="E367" s="273"/>
      <c r="U367" s="274"/>
      <c r="V367" s="274"/>
      <c r="AA367" s="153"/>
      <c r="AB367" s="153"/>
    </row>
    <row r="368" spans="3:28" ht="13.2">
      <c r="C368" s="10"/>
      <c r="D368" s="10"/>
      <c r="E368" s="273"/>
      <c r="U368" s="274"/>
      <c r="V368" s="274"/>
      <c r="AA368" s="153"/>
      <c r="AB368" s="153"/>
    </row>
    <row r="369" spans="3:28" ht="13.2">
      <c r="C369" s="10"/>
      <c r="D369" s="10"/>
      <c r="E369" s="273"/>
      <c r="U369" s="274"/>
      <c r="V369" s="274"/>
      <c r="AA369" s="153"/>
      <c r="AB369" s="153"/>
    </row>
    <row r="370" spans="3:28" ht="13.2">
      <c r="C370" s="10"/>
      <c r="D370" s="10"/>
      <c r="E370" s="273"/>
      <c r="U370" s="274"/>
      <c r="V370" s="274"/>
      <c r="AA370" s="153"/>
      <c r="AB370" s="153"/>
    </row>
    <row r="371" spans="3:28" ht="13.2">
      <c r="C371" s="10"/>
      <c r="D371" s="10"/>
      <c r="E371" s="273"/>
      <c r="U371" s="274"/>
      <c r="V371" s="274"/>
      <c r="AA371" s="153"/>
      <c r="AB371" s="153"/>
    </row>
    <row r="372" spans="3:28" ht="13.2">
      <c r="C372" s="10"/>
      <c r="D372" s="10"/>
      <c r="E372" s="273"/>
      <c r="U372" s="274"/>
      <c r="V372" s="274"/>
      <c r="AA372" s="153"/>
      <c r="AB372" s="153"/>
    </row>
    <row r="373" spans="3:28" ht="13.2">
      <c r="C373" s="10"/>
      <c r="D373" s="10"/>
      <c r="E373" s="273"/>
      <c r="U373" s="274"/>
      <c r="V373" s="274"/>
      <c r="AA373" s="153"/>
      <c r="AB373" s="153"/>
    </row>
    <row r="374" spans="3:28" ht="13.2">
      <c r="C374" s="10"/>
      <c r="D374" s="10"/>
      <c r="E374" s="273"/>
      <c r="U374" s="274"/>
      <c r="V374" s="274"/>
      <c r="AA374" s="153"/>
      <c r="AB374" s="153"/>
    </row>
    <row r="375" spans="3:28" ht="13.2">
      <c r="C375" s="10"/>
      <c r="D375" s="10"/>
      <c r="E375" s="273"/>
      <c r="U375" s="274"/>
      <c r="V375" s="274"/>
      <c r="AA375" s="153"/>
      <c r="AB375" s="153"/>
    </row>
    <row r="376" spans="3:28" ht="13.2">
      <c r="C376" s="10"/>
      <c r="D376" s="10"/>
      <c r="E376" s="273"/>
      <c r="U376" s="274"/>
      <c r="V376" s="274"/>
      <c r="AA376" s="153"/>
      <c r="AB376" s="153"/>
    </row>
    <row r="377" spans="3:28" ht="13.2">
      <c r="C377" s="10"/>
      <c r="D377" s="10"/>
      <c r="E377" s="273"/>
      <c r="U377" s="274"/>
      <c r="V377" s="274"/>
      <c r="AA377" s="153"/>
      <c r="AB377" s="153"/>
    </row>
    <row r="378" spans="3:28" ht="13.2">
      <c r="C378" s="10"/>
      <c r="D378" s="10"/>
      <c r="E378" s="273"/>
      <c r="U378" s="274"/>
      <c r="V378" s="274"/>
      <c r="AA378" s="153"/>
      <c r="AB378" s="153"/>
    </row>
    <row r="379" spans="3:28" ht="13.2">
      <c r="C379" s="10"/>
      <c r="D379" s="10"/>
      <c r="E379" s="273"/>
      <c r="U379" s="274"/>
      <c r="V379" s="274"/>
      <c r="AA379" s="153"/>
      <c r="AB379" s="153"/>
    </row>
    <row r="380" spans="3:28" ht="13.2">
      <c r="C380" s="10"/>
      <c r="D380" s="10"/>
      <c r="E380" s="273"/>
      <c r="U380" s="274"/>
      <c r="V380" s="274"/>
      <c r="AA380" s="153"/>
      <c r="AB380" s="153"/>
    </row>
    <row r="381" spans="3:28" ht="13.2">
      <c r="C381" s="10"/>
      <c r="D381" s="10"/>
      <c r="E381" s="273"/>
      <c r="U381" s="274"/>
      <c r="V381" s="274"/>
      <c r="AA381" s="153"/>
      <c r="AB381" s="153"/>
    </row>
    <row r="382" spans="3:28" ht="13.2">
      <c r="C382" s="10"/>
      <c r="D382" s="10"/>
      <c r="E382" s="273"/>
      <c r="U382" s="274"/>
      <c r="V382" s="274"/>
      <c r="AA382" s="153"/>
      <c r="AB382" s="153"/>
    </row>
    <row r="383" spans="3:28" ht="13.2">
      <c r="C383" s="10"/>
      <c r="D383" s="10"/>
      <c r="E383" s="273"/>
      <c r="U383" s="274"/>
      <c r="V383" s="274"/>
      <c r="AA383" s="153"/>
      <c r="AB383" s="153"/>
    </row>
    <row r="384" spans="3:28" ht="13.2">
      <c r="C384" s="10"/>
      <c r="D384" s="10"/>
      <c r="E384" s="273"/>
      <c r="U384" s="274"/>
      <c r="V384" s="274"/>
      <c r="AA384" s="153"/>
      <c r="AB384" s="153"/>
    </row>
    <row r="385" spans="3:28" ht="13.2">
      <c r="C385" s="10"/>
      <c r="D385" s="10"/>
      <c r="E385" s="273"/>
      <c r="U385" s="274"/>
      <c r="V385" s="274"/>
      <c r="AA385" s="153"/>
      <c r="AB385" s="153"/>
    </row>
    <row r="386" spans="3:28" ht="13.2">
      <c r="C386" s="10"/>
      <c r="D386" s="10"/>
      <c r="E386" s="273"/>
      <c r="U386" s="274"/>
      <c r="V386" s="274"/>
      <c r="AA386" s="153"/>
      <c r="AB386" s="153"/>
    </row>
    <row r="387" spans="3:28" ht="13.2">
      <c r="C387" s="10"/>
      <c r="D387" s="10"/>
      <c r="E387" s="273"/>
      <c r="U387" s="274"/>
      <c r="V387" s="274"/>
      <c r="AA387" s="153"/>
      <c r="AB387" s="153"/>
    </row>
    <row r="388" spans="3:28" ht="13.2">
      <c r="C388" s="10"/>
      <c r="D388" s="10"/>
      <c r="E388" s="273"/>
      <c r="U388" s="274"/>
      <c r="V388" s="274"/>
      <c r="AA388" s="153"/>
      <c r="AB388" s="153"/>
    </row>
    <row r="389" spans="3:28" ht="13.2">
      <c r="C389" s="10"/>
      <c r="D389" s="10"/>
      <c r="E389" s="273"/>
      <c r="U389" s="274"/>
      <c r="V389" s="274"/>
      <c r="AA389" s="153"/>
      <c r="AB389" s="153"/>
    </row>
    <row r="390" spans="3:28" ht="13.2">
      <c r="C390" s="10"/>
      <c r="D390" s="10"/>
      <c r="E390" s="273"/>
      <c r="U390" s="274"/>
      <c r="V390" s="274"/>
      <c r="AA390" s="153"/>
      <c r="AB390" s="153"/>
    </row>
    <row r="391" spans="3:28" ht="13.2">
      <c r="C391" s="10"/>
      <c r="D391" s="10"/>
      <c r="E391" s="273"/>
      <c r="U391" s="274"/>
      <c r="V391" s="274"/>
      <c r="AA391" s="153"/>
      <c r="AB391" s="153"/>
    </row>
    <row r="392" spans="3:28" ht="13.2">
      <c r="C392" s="10"/>
      <c r="D392" s="10"/>
      <c r="E392" s="273"/>
      <c r="U392" s="274"/>
      <c r="V392" s="274"/>
      <c r="AA392" s="153"/>
      <c r="AB392" s="153"/>
    </row>
    <row r="393" spans="3:28" ht="13.2">
      <c r="C393" s="10"/>
      <c r="D393" s="10"/>
      <c r="E393" s="273"/>
      <c r="U393" s="274"/>
      <c r="V393" s="274"/>
      <c r="AA393" s="153"/>
      <c r="AB393" s="153"/>
    </row>
    <row r="394" spans="3:28" ht="13.2">
      <c r="C394" s="10"/>
      <c r="D394" s="10"/>
      <c r="E394" s="273"/>
      <c r="U394" s="274"/>
      <c r="V394" s="274"/>
      <c r="AA394" s="153"/>
      <c r="AB394" s="153"/>
    </row>
    <row r="395" spans="3:28" ht="13.2">
      <c r="C395" s="10"/>
      <c r="D395" s="10"/>
      <c r="E395" s="273"/>
      <c r="U395" s="274"/>
      <c r="V395" s="274"/>
      <c r="AA395" s="153"/>
      <c r="AB395" s="153"/>
    </row>
    <row r="396" spans="3:28" ht="13.2">
      <c r="C396" s="10"/>
      <c r="D396" s="10"/>
      <c r="E396" s="273"/>
      <c r="U396" s="274"/>
      <c r="V396" s="274"/>
      <c r="AA396" s="153"/>
      <c r="AB396" s="153"/>
    </row>
    <row r="397" spans="3:28" ht="13.2">
      <c r="C397" s="10"/>
      <c r="D397" s="10"/>
      <c r="E397" s="273"/>
      <c r="U397" s="274"/>
      <c r="V397" s="274"/>
      <c r="AA397" s="153"/>
      <c r="AB397" s="153"/>
    </row>
    <row r="398" spans="3:28" ht="13.2">
      <c r="C398" s="10"/>
      <c r="D398" s="10"/>
      <c r="E398" s="273"/>
      <c r="U398" s="274"/>
      <c r="V398" s="274"/>
      <c r="AA398" s="153"/>
      <c r="AB398" s="153"/>
    </row>
    <row r="399" spans="3:28" ht="13.2">
      <c r="C399" s="10"/>
      <c r="D399" s="10"/>
      <c r="E399" s="273"/>
      <c r="U399" s="274"/>
      <c r="V399" s="274"/>
      <c r="AA399" s="153"/>
      <c r="AB399" s="153"/>
    </row>
    <row r="400" spans="3:28" ht="13.2">
      <c r="C400" s="10"/>
      <c r="D400" s="10"/>
      <c r="E400" s="273"/>
      <c r="U400" s="274"/>
      <c r="V400" s="274"/>
      <c r="AA400" s="153"/>
      <c r="AB400" s="153"/>
    </row>
    <row r="401" spans="3:28" ht="13.2">
      <c r="C401" s="10"/>
      <c r="D401" s="10"/>
      <c r="E401" s="273"/>
      <c r="U401" s="274"/>
      <c r="V401" s="274"/>
      <c r="AA401" s="153"/>
      <c r="AB401" s="153"/>
    </row>
    <row r="402" spans="3:28" ht="13.2">
      <c r="C402" s="10"/>
      <c r="D402" s="10"/>
      <c r="E402" s="273"/>
      <c r="U402" s="274"/>
      <c r="V402" s="274"/>
      <c r="AA402" s="153"/>
      <c r="AB402" s="153"/>
    </row>
    <row r="403" spans="3:28" ht="13.2">
      <c r="C403" s="10"/>
      <c r="D403" s="10"/>
      <c r="E403" s="273"/>
      <c r="U403" s="274"/>
      <c r="V403" s="274"/>
      <c r="AA403" s="153"/>
      <c r="AB403" s="153"/>
    </row>
    <row r="404" spans="3:28" ht="13.2">
      <c r="C404" s="10"/>
      <c r="D404" s="10"/>
      <c r="E404" s="273"/>
      <c r="U404" s="274"/>
      <c r="V404" s="274"/>
      <c r="AA404" s="153"/>
      <c r="AB404" s="153"/>
    </row>
    <row r="405" spans="3:28" ht="13.2">
      <c r="C405" s="10"/>
      <c r="D405" s="10"/>
      <c r="E405" s="273"/>
      <c r="U405" s="274"/>
      <c r="V405" s="274"/>
      <c r="AA405" s="153"/>
      <c r="AB405" s="153"/>
    </row>
    <row r="406" spans="3:28" ht="13.2">
      <c r="C406" s="10"/>
      <c r="D406" s="10"/>
      <c r="E406" s="273"/>
      <c r="U406" s="274"/>
      <c r="V406" s="274"/>
      <c r="AA406" s="153"/>
      <c r="AB406" s="153"/>
    </row>
    <row r="407" spans="3:28" ht="13.2">
      <c r="C407" s="10"/>
      <c r="D407" s="10"/>
      <c r="E407" s="273"/>
      <c r="U407" s="274"/>
      <c r="V407" s="274"/>
      <c r="AA407" s="153"/>
      <c r="AB407" s="153"/>
    </row>
    <row r="408" spans="3:28" ht="13.2">
      <c r="C408" s="10"/>
      <c r="D408" s="10"/>
      <c r="E408" s="273"/>
      <c r="U408" s="274"/>
      <c r="V408" s="274"/>
      <c r="AA408" s="153"/>
      <c r="AB408" s="153"/>
    </row>
    <row r="409" spans="3:28" ht="13.2">
      <c r="C409" s="10"/>
      <c r="D409" s="10"/>
      <c r="E409" s="273"/>
      <c r="U409" s="274"/>
      <c r="V409" s="274"/>
      <c r="AA409" s="153"/>
      <c r="AB409" s="153"/>
    </row>
    <row r="410" spans="3:28" ht="13.2">
      <c r="C410" s="10"/>
      <c r="D410" s="10"/>
      <c r="E410" s="273"/>
      <c r="U410" s="274"/>
      <c r="V410" s="274"/>
      <c r="AA410" s="153"/>
      <c r="AB410" s="153"/>
    </row>
    <row r="411" spans="3:28" ht="13.2">
      <c r="C411" s="10"/>
      <c r="D411" s="10"/>
      <c r="E411" s="273"/>
      <c r="U411" s="274"/>
      <c r="V411" s="274"/>
      <c r="AA411" s="153"/>
      <c r="AB411" s="153"/>
    </row>
    <row r="412" spans="3:28" ht="13.2">
      <c r="C412" s="10"/>
      <c r="D412" s="10"/>
      <c r="E412" s="273"/>
      <c r="U412" s="274"/>
      <c r="V412" s="274"/>
      <c r="AA412" s="153"/>
      <c r="AB412" s="153"/>
    </row>
    <row r="413" spans="3:28" ht="13.2">
      <c r="C413" s="10"/>
      <c r="D413" s="10"/>
      <c r="E413" s="273"/>
      <c r="U413" s="274"/>
      <c r="V413" s="274"/>
      <c r="AA413" s="153"/>
      <c r="AB413" s="153"/>
    </row>
    <row r="414" spans="3:28" ht="13.2">
      <c r="C414" s="10"/>
      <c r="D414" s="10"/>
      <c r="E414" s="273"/>
      <c r="U414" s="274"/>
      <c r="V414" s="274"/>
      <c r="AA414" s="153"/>
      <c r="AB414" s="153"/>
    </row>
    <row r="415" spans="3:28" ht="13.2">
      <c r="C415" s="10"/>
      <c r="D415" s="10"/>
      <c r="E415" s="273"/>
      <c r="U415" s="274"/>
      <c r="V415" s="274"/>
      <c r="AA415" s="153"/>
      <c r="AB415" s="153"/>
    </row>
    <row r="416" spans="3:28" ht="13.2">
      <c r="C416" s="10"/>
      <c r="D416" s="10"/>
      <c r="E416" s="273"/>
      <c r="U416" s="274"/>
      <c r="V416" s="274"/>
      <c r="AA416" s="153"/>
      <c r="AB416" s="153"/>
    </row>
    <row r="417" spans="3:28" ht="13.2">
      <c r="C417" s="10"/>
      <c r="D417" s="10"/>
      <c r="E417" s="273"/>
      <c r="U417" s="274"/>
      <c r="V417" s="274"/>
      <c r="AA417" s="153"/>
      <c r="AB417" s="153"/>
    </row>
    <row r="418" spans="3:28" ht="13.2">
      <c r="C418" s="10"/>
      <c r="D418" s="10"/>
      <c r="E418" s="273"/>
      <c r="U418" s="274"/>
      <c r="V418" s="274"/>
      <c r="AA418" s="153"/>
      <c r="AB418" s="153"/>
    </row>
    <row r="419" spans="3:28" ht="13.2">
      <c r="C419" s="10"/>
      <c r="D419" s="10"/>
      <c r="E419" s="273"/>
      <c r="U419" s="274"/>
      <c r="V419" s="274"/>
      <c r="AA419" s="153"/>
      <c r="AB419" s="153"/>
    </row>
    <row r="420" spans="3:28" ht="13.2">
      <c r="C420" s="10"/>
      <c r="D420" s="10"/>
      <c r="E420" s="273"/>
      <c r="U420" s="274"/>
      <c r="V420" s="274"/>
      <c r="AA420" s="153"/>
      <c r="AB420" s="153"/>
    </row>
    <row r="421" spans="3:28" ht="13.2">
      <c r="C421" s="10"/>
      <c r="D421" s="10"/>
      <c r="E421" s="273"/>
      <c r="U421" s="274"/>
      <c r="V421" s="274"/>
      <c r="AA421" s="153"/>
      <c r="AB421" s="153"/>
    </row>
    <row r="422" spans="3:28" ht="13.2">
      <c r="C422" s="10"/>
      <c r="D422" s="10"/>
      <c r="E422" s="273"/>
      <c r="U422" s="274"/>
      <c r="V422" s="274"/>
      <c r="AA422" s="153"/>
      <c r="AB422" s="153"/>
    </row>
    <row r="423" spans="3:28" ht="13.2">
      <c r="C423" s="10"/>
      <c r="D423" s="10"/>
      <c r="E423" s="273"/>
      <c r="U423" s="274"/>
      <c r="V423" s="274"/>
      <c r="AA423" s="153"/>
      <c r="AB423" s="153"/>
    </row>
    <row r="424" spans="3:28" ht="13.2">
      <c r="C424" s="10"/>
      <c r="D424" s="10"/>
      <c r="E424" s="273"/>
      <c r="U424" s="274"/>
      <c r="V424" s="274"/>
      <c r="AA424" s="153"/>
      <c r="AB424" s="153"/>
    </row>
    <row r="425" spans="3:28" ht="13.2">
      <c r="C425" s="10"/>
      <c r="D425" s="10"/>
      <c r="E425" s="273"/>
      <c r="U425" s="274"/>
      <c r="V425" s="274"/>
      <c r="AA425" s="153"/>
      <c r="AB425" s="153"/>
    </row>
    <row r="426" spans="3:28" ht="13.2">
      <c r="C426" s="10"/>
      <c r="D426" s="10"/>
      <c r="E426" s="273"/>
      <c r="U426" s="274"/>
      <c r="V426" s="274"/>
      <c r="AA426" s="153"/>
      <c r="AB426" s="153"/>
    </row>
    <row r="427" spans="3:28" ht="13.2">
      <c r="C427" s="10"/>
      <c r="D427" s="10"/>
      <c r="E427" s="273"/>
      <c r="U427" s="274"/>
      <c r="V427" s="274"/>
      <c r="AA427" s="153"/>
      <c r="AB427" s="153"/>
    </row>
    <row r="428" spans="3:28" ht="13.2">
      <c r="C428" s="10"/>
      <c r="D428" s="10"/>
      <c r="E428" s="273"/>
      <c r="U428" s="274"/>
      <c r="V428" s="274"/>
      <c r="AA428" s="153"/>
      <c r="AB428" s="153"/>
    </row>
    <row r="429" spans="3:28" ht="13.2">
      <c r="C429" s="10"/>
      <c r="D429" s="10"/>
      <c r="E429" s="273"/>
      <c r="U429" s="274"/>
      <c r="V429" s="274"/>
      <c r="AA429" s="153"/>
      <c r="AB429" s="153"/>
    </row>
    <row r="430" spans="3:28" ht="13.2">
      <c r="C430" s="10"/>
      <c r="D430" s="10"/>
      <c r="E430" s="273"/>
      <c r="U430" s="274"/>
      <c r="V430" s="274"/>
      <c r="AA430" s="153"/>
      <c r="AB430" s="153"/>
    </row>
    <row r="431" spans="3:28" ht="13.2">
      <c r="C431" s="10"/>
      <c r="D431" s="10"/>
      <c r="E431" s="273"/>
      <c r="U431" s="274"/>
      <c r="V431" s="274"/>
      <c r="AA431" s="153"/>
      <c r="AB431" s="153"/>
    </row>
    <row r="432" spans="3:28" ht="13.2">
      <c r="C432" s="10"/>
      <c r="D432" s="10"/>
      <c r="E432" s="273"/>
      <c r="U432" s="274"/>
      <c r="V432" s="274"/>
      <c r="AA432" s="153"/>
      <c r="AB432" s="153"/>
    </row>
    <row r="433" spans="3:28" ht="13.2">
      <c r="C433" s="10"/>
      <c r="D433" s="10"/>
      <c r="E433" s="273"/>
      <c r="U433" s="274"/>
      <c r="V433" s="274"/>
      <c r="AA433" s="153"/>
      <c r="AB433" s="153"/>
    </row>
    <row r="434" spans="3:28" ht="13.2">
      <c r="C434" s="10"/>
      <c r="D434" s="10"/>
      <c r="E434" s="273"/>
      <c r="U434" s="274"/>
      <c r="V434" s="274"/>
      <c r="AA434" s="153"/>
      <c r="AB434" s="153"/>
    </row>
    <row r="435" spans="3:28" ht="13.2">
      <c r="C435" s="10"/>
      <c r="D435" s="10"/>
      <c r="E435" s="273"/>
      <c r="U435" s="274"/>
      <c r="V435" s="274"/>
      <c r="AA435" s="153"/>
      <c r="AB435" s="153"/>
    </row>
    <row r="436" spans="3:28" ht="13.2">
      <c r="C436" s="10"/>
      <c r="D436" s="10"/>
      <c r="E436" s="273"/>
      <c r="U436" s="274"/>
      <c r="V436" s="274"/>
      <c r="AA436" s="153"/>
      <c r="AB436" s="153"/>
    </row>
    <row r="437" spans="3:28" ht="13.2">
      <c r="C437" s="10"/>
      <c r="D437" s="10"/>
      <c r="E437" s="273"/>
      <c r="U437" s="274"/>
      <c r="V437" s="274"/>
      <c r="AA437" s="153"/>
      <c r="AB437" s="153"/>
    </row>
    <row r="438" spans="3:28" ht="13.2">
      <c r="C438" s="10"/>
      <c r="D438" s="10"/>
      <c r="E438" s="273"/>
      <c r="U438" s="274"/>
      <c r="V438" s="274"/>
      <c r="AA438" s="153"/>
      <c r="AB438" s="153"/>
    </row>
    <row r="439" spans="3:28" ht="13.2">
      <c r="C439" s="10"/>
      <c r="D439" s="10"/>
      <c r="E439" s="273"/>
      <c r="U439" s="274"/>
      <c r="V439" s="274"/>
      <c r="AA439" s="153"/>
      <c r="AB439" s="153"/>
    </row>
    <row r="440" spans="3:28" ht="13.2">
      <c r="C440" s="10"/>
      <c r="D440" s="10"/>
      <c r="E440" s="273"/>
      <c r="U440" s="274"/>
      <c r="V440" s="274"/>
      <c r="AA440" s="153"/>
      <c r="AB440" s="153"/>
    </row>
    <row r="441" spans="3:28" ht="13.2">
      <c r="C441" s="10"/>
      <c r="D441" s="10"/>
      <c r="E441" s="273"/>
      <c r="U441" s="274"/>
      <c r="V441" s="274"/>
      <c r="AA441" s="153"/>
      <c r="AB441" s="153"/>
    </row>
    <row r="442" spans="3:28" ht="13.2">
      <c r="C442" s="10"/>
      <c r="D442" s="10"/>
      <c r="E442" s="273"/>
      <c r="U442" s="274"/>
      <c r="V442" s="274"/>
      <c r="AA442" s="153"/>
      <c r="AB442" s="153"/>
    </row>
    <row r="443" spans="3:28" ht="13.2">
      <c r="C443" s="10"/>
      <c r="D443" s="10"/>
      <c r="E443" s="273"/>
      <c r="U443" s="274"/>
      <c r="V443" s="274"/>
      <c r="AA443" s="153"/>
      <c r="AB443" s="153"/>
    </row>
    <row r="444" spans="3:28" ht="13.2">
      <c r="C444" s="10"/>
      <c r="D444" s="10"/>
      <c r="E444" s="273"/>
      <c r="U444" s="274"/>
      <c r="V444" s="274"/>
      <c r="AA444" s="153"/>
      <c r="AB444" s="153"/>
    </row>
    <row r="445" spans="3:28" ht="13.2">
      <c r="C445" s="10"/>
      <c r="D445" s="10"/>
      <c r="E445" s="273"/>
      <c r="U445" s="274"/>
      <c r="V445" s="274"/>
      <c r="AA445" s="153"/>
      <c r="AB445" s="153"/>
    </row>
    <row r="446" spans="3:28" ht="13.2">
      <c r="C446" s="10"/>
      <c r="D446" s="10"/>
      <c r="E446" s="273"/>
      <c r="U446" s="274"/>
      <c r="V446" s="274"/>
      <c r="AA446" s="153"/>
      <c r="AB446" s="153"/>
    </row>
    <row r="447" spans="3:28" ht="13.2">
      <c r="C447" s="10"/>
      <c r="D447" s="10"/>
      <c r="E447" s="273"/>
      <c r="U447" s="274"/>
      <c r="V447" s="274"/>
      <c r="AA447" s="153"/>
      <c r="AB447" s="153"/>
    </row>
    <row r="448" spans="3:28" ht="13.2">
      <c r="C448" s="10"/>
      <c r="D448" s="10"/>
      <c r="E448" s="273"/>
      <c r="U448" s="274"/>
      <c r="V448" s="274"/>
      <c r="AA448" s="153"/>
      <c r="AB448" s="153"/>
    </row>
    <row r="449" spans="3:28" ht="13.2">
      <c r="C449" s="10"/>
      <c r="D449" s="10"/>
      <c r="E449" s="273"/>
      <c r="U449" s="274"/>
      <c r="V449" s="274"/>
      <c r="AA449" s="153"/>
      <c r="AB449" s="153"/>
    </row>
    <row r="450" spans="3:28" ht="13.2">
      <c r="C450" s="10"/>
      <c r="D450" s="10"/>
      <c r="E450" s="273"/>
      <c r="U450" s="274"/>
      <c r="V450" s="274"/>
      <c r="AA450" s="153"/>
      <c r="AB450" s="153"/>
    </row>
    <row r="451" spans="3:28" ht="13.2">
      <c r="C451" s="10"/>
      <c r="D451" s="10"/>
      <c r="E451" s="273"/>
      <c r="U451" s="274"/>
      <c r="V451" s="274"/>
      <c r="AA451" s="153"/>
      <c r="AB451" s="153"/>
    </row>
    <row r="452" spans="3:28" ht="13.2">
      <c r="C452" s="10"/>
      <c r="D452" s="10"/>
      <c r="E452" s="273"/>
      <c r="U452" s="274"/>
      <c r="V452" s="274"/>
      <c r="AA452" s="153"/>
      <c r="AB452" s="153"/>
    </row>
    <row r="453" spans="3:28" ht="13.2">
      <c r="C453" s="10"/>
      <c r="D453" s="10"/>
      <c r="E453" s="273"/>
      <c r="U453" s="274"/>
      <c r="V453" s="274"/>
      <c r="AA453" s="153"/>
      <c r="AB453" s="153"/>
    </row>
    <row r="454" spans="3:28" ht="13.2">
      <c r="C454" s="10"/>
      <c r="D454" s="10"/>
      <c r="E454" s="273"/>
      <c r="U454" s="274"/>
      <c r="V454" s="274"/>
      <c r="AA454" s="153"/>
      <c r="AB454" s="153"/>
    </row>
    <row r="455" spans="3:28" ht="13.2">
      <c r="C455" s="10"/>
      <c r="D455" s="10"/>
      <c r="E455" s="273"/>
      <c r="U455" s="274"/>
      <c r="V455" s="274"/>
      <c r="AA455" s="153"/>
      <c r="AB455" s="153"/>
    </row>
    <row r="456" spans="3:28" ht="13.2">
      <c r="C456" s="10"/>
      <c r="D456" s="10"/>
      <c r="E456" s="273"/>
      <c r="U456" s="274"/>
      <c r="V456" s="274"/>
      <c r="AA456" s="153"/>
      <c r="AB456" s="153"/>
    </row>
    <row r="457" spans="3:28" ht="13.2">
      <c r="C457" s="10"/>
      <c r="D457" s="10"/>
      <c r="E457" s="273"/>
      <c r="U457" s="274"/>
      <c r="V457" s="274"/>
      <c r="AA457" s="153"/>
      <c r="AB457" s="153"/>
    </row>
    <row r="458" spans="3:28" ht="13.2">
      <c r="C458" s="10"/>
      <c r="D458" s="10"/>
      <c r="E458" s="273"/>
      <c r="U458" s="274"/>
      <c r="V458" s="274"/>
      <c r="AA458" s="153"/>
      <c r="AB458" s="153"/>
    </row>
    <row r="459" spans="3:28" ht="13.2">
      <c r="C459" s="10"/>
      <c r="D459" s="10"/>
      <c r="E459" s="273"/>
      <c r="U459" s="274"/>
      <c r="V459" s="274"/>
      <c r="AA459" s="153"/>
      <c r="AB459" s="153"/>
    </row>
    <row r="460" spans="3:28" ht="13.2">
      <c r="C460" s="10"/>
      <c r="D460" s="10"/>
      <c r="E460" s="273"/>
      <c r="U460" s="274"/>
      <c r="V460" s="274"/>
      <c r="AA460" s="153"/>
      <c r="AB460" s="153"/>
    </row>
    <row r="461" spans="3:28" ht="13.2">
      <c r="C461" s="10"/>
      <c r="D461" s="10"/>
      <c r="E461" s="273"/>
      <c r="U461" s="274"/>
      <c r="V461" s="274"/>
      <c r="AA461" s="153"/>
      <c r="AB461" s="153"/>
    </row>
    <row r="462" spans="3:28" ht="13.2">
      <c r="C462" s="10"/>
      <c r="D462" s="10"/>
      <c r="E462" s="273"/>
      <c r="U462" s="274"/>
      <c r="V462" s="274"/>
      <c r="AA462" s="153"/>
      <c r="AB462" s="153"/>
    </row>
    <row r="463" spans="3:28" ht="13.2">
      <c r="C463" s="10"/>
      <c r="D463" s="10"/>
      <c r="E463" s="273"/>
      <c r="U463" s="274"/>
      <c r="V463" s="274"/>
      <c r="AA463" s="153"/>
      <c r="AB463" s="153"/>
    </row>
    <row r="464" spans="3:28" ht="13.2">
      <c r="C464" s="10"/>
      <c r="D464" s="10"/>
      <c r="E464" s="273"/>
      <c r="U464" s="274"/>
      <c r="V464" s="274"/>
      <c r="AA464" s="153"/>
      <c r="AB464" s="153"/>
    </row>
    <row r="465" spans="3:28" ht="13.2">
      <c r="C465" s="10"/>
      <c r="D465" s="10"/>
      <c r="E465" s="273"/>
      <c r="U465" s="274"/>
      <c r="V465" s="274"/>
      <c r="AA465" s="153"/>
      <c r="AB465" s="153"/>
    </row>
    <row r="466" spans="3:28" ht="13.2">
      <c r="C466" s="10"/>
      <c r="D466" s="10"/>
      <c r="E466" s="273"/>
      <c r="U466" s="274"/>
      <c r="V466" s="274"/>
      <c r="AA466" s="153"/>
      <c r="AB466" s="153"/>
    </row>
    <row r="467" spans="3:28" ht="13.2">
      <c r="C467" s="10"/>
      <c r="D467" s="10"/>
      <c r="E467" s="273"/>
      <c r="U467" s="274"/>
      <c r="V467" s="274"/>
      <c r="AA467" s="153"/>
      <c r="AB467" s="153"/>
    </row>
    <row r="468" spans="3:28" ht="13.2">
      <c r="C468" s="10"/>
      <c r="D468" s="10"/>
      <c r="E468" s="273"/>
      <c r="U468" s="274"/>
      <c r="V468" s="274"/>
      <c r="AA468" s="153"/>
      <c r="AB468" s="153"/>
    </row>
    <row r="469" spans="3:28" ht="13.2">
      <c r="C469" s="10"/>
      <c r="D469" s="10"/>
      <c r="E469" s="273"/>
      <c r="U469" s="274"/>
      <c r="V469" s="274"/>
      <c r="AA469" s="153"/>
      <c r="AB469" s="153"/>
    </row>
    <row r="470" spans="3:28" ht="13.2">
      <c r="C470" s="10"/>
      <c r="D470" s="10"/>
      <c r="E470" s="273"/>
      <c r="U470" s="274"/>
      <c r="V470" s="274"/>
      <c r="AA470" s="153"/>
      <c r="AB470" s="153"/>
    </row>
    <row r="471" spans="3:28" ht="13.2">
      <c r="C471" s="10"/>
      <c r="D471" s="10"/>
      <c r="E471" s="273"/>
      <c r="U471" s="274"/>
      <c r="V471" s="274"/>
      <c r="AA471" s="153"/>
      <c r="AB471" s="153"/>
    </row>
    <row r="472" spans="3:28" ht="13.2">
      <c r="C472" s="10"/>
      <c r="D472" s="10"/>
      <c r="E472" s="273"/>
      <c r="U472" s="274"/>
      <c r="V472" s="274"/>
      <c r="AA472" s="153"/>
      <c r="AB472" s="153"/>
    </row>
    <row r="473" spans="3:28" ht="13.2">
      <c r="C473" s="10"/>
      <c r="D473" s="10"/>
      <c r="E473" s="273"/>
      <c r="U473" s="274"/>
      <c r="V473" s="274"/>
      <c r="AA473" s="153"/>
      <c r="AB473" s="153"/>
    </row>
    <row r="474" spans="3:28" ht="13.2">
      <c r="C474" s="10"/>
      <c r="D474" s="10"/>
      <c r="E474" s="273"/>
      <c r="U474" s="274"/>
      <c r="V474" s="274"/>
      <c r="AA474" s="153"/>
      <c r="AB474" s="153"/>
    </row>
    <row r="475" spans="3:28" ht="13.2">
      <c r="C475" s="10"/>
      <c r="D475" s="10"/>
      <c r="E475" s="273"/>
      <c r="U475" s="274"/>
      <c r="V475" s="274"/>
      <c r="AA475" s="153"/>
      <c r="AB475" s="153"/>
    </row>
    <row r="476" spans="3:28" ht="13.2">
      <c r="C476" s="10"/>
      <c r="D476" s="10"/>
      <c r="E476" s="273"/>
      <c r="U476" s="274"/>
      <c r="V476" s="274"/>
      <c r="AA476" s="153"/>
      <c r="AB476" s="153"/>
    </row>
    <row r="477" spans="3:28" ht="13.2">
      <c r="C477" s="10"/>
      <c r="D477" s="10"/>
      <c r="E477" s="273"/>
      <c r="U477" s="274"/>
      <c r="V477" s="274"/>
      <c r="AA477" s="153"/>
      <c r="AB477" s="153"/>
    </row>
    <row r="478" spans="3:28" ht="13.2">
      <c r="C478" s="10"/>
      <c r="D478" s="10"/>
      <c r="E478" s="273"/>
      <c r="U478" s="274"/>
      <c r="V478" s="274"/>
      <c r="AA478" s="153"/>
      <c r="AB478" s="153"/>
    </row>
    <row r="479" spans="3:28" ht="13.2">
      <c r="C479" s="10"/>
      <c r="D479" s="10"/>
      <c r="E479" s="273"/>
      <c r="U479" s="274"/>
      <c r="V479" s="274"/>
      <c r="AA479" s="153"/>
      <c r="AB479" s="153"/>
    </row>
    <row r="480" spans="3:28" ht="13.2">
      <c r="C480" s="10"/>
      <c r="D480" s="10"/>
      <c r="E480" s="273"/>
      <c r="U480" s="274"/>
      <c r="V480" s="274"/>
      <c r="AA480" s="153"/>
      <c r="AB480" s="153"/>
    </row>
    <row r="481" spans="3:28" ht="13.2">
      <c r="C481" s="10"/>
      <c r="D481" s="10"/>
      <c r="E481" s="273"/>
      <c r="U481" s="274"/>
      <c r="V481" s="274"/>
      <c r="AA481" s="153"/>
      <c r="AB481" s="153"/>
    </row>
    <row r="482" spans="3:28" ht="13.2">
      <c r="C482" s="10"/>
      <c r="D482" s="10"/>
      <c r="E482" s="273"/>
      <c r="U482" s="274"/>
      <c r="V482" s="274"/>
      <c r="AA482" s="153"/>
      <c r="AB482" s="153"/>
    </row>
    <row r="483" spans="3:28" ht="13.2">
      <c r="C483" s="10"/>
      <c r="D483" s="10"/>
      <c r="E483" s="273"/>
      <c r="U483" s="274"/>
      <c r="V483" s="274"/>
      <c r="AA483" s="153"/>
      <c r="AB483" s="153"/>
    </row>
    <row r="484" spans="3:28" ht="13.2">
      <c r="C484" s="10"/>
      <c r="D484" s="10"/>
      <c r="E484" s="273"/>
      <c r="U484" s="274"/>
      <c r="V484" s="274"/>
      <c r="AA484" s="153"/>
      <c r="AB484" s="153"/>
    </row>
    <row r="485" spans="3:28" ht="13.2">
      <c r="C485" s="10"/>
      <c r="D485" s="10"/>
      <c r="E485" s="273"/>
      <c r="U485" s="274"/>
      <c r="V485" s="274"/>
      <c r="AA485" s="153"/>
      <c r="AB485" s="153"/>
    </row>
    <row r="486" spans="3:28" ht="13.2">
      <c r="C486" s="10"/>
      <c r="D486" s="10"/>
      <c r="E486" s="273"/>
      <c r="U486" s="274"/>
      <c r="V486" s="274"/>
      <c r="AA486" s="153"/>
      <c r="AB486" s="153"/>
    </row>
    <row r="487" spans="3:28" ht="13.2">
      <c r="C487" s="10"/>
      <c r="D487" s="10"/>
      <c r="E487" s="273"/>
      <c r="U487" s="274"/>
      <c r="V487" s="274"/>
      <c r="AA487" s="153"/>
      <c r="AB487" s="153"/>
    </row>
    <row r="488" spans="3:28" ht="13.2">
      <c r="C488" s="10"/>
      <c r="D488" s="10"/>
      <c r="E488" s="273"/>
      <c r="U488" s="274"/>
      <c r="V488" s="274"/>
      <c r="AA488" s="153"/>
      <c r="AB488" s="153"/>
    </row>
    <row r="489" spans="3:28" ht="13.2">
      <c r="C489" s="10"/>
      <c r="D489" s="10"/>
      <c r="E489" s="273"/>
      <c r="U489" s="274"/>
      <c r="V489" s="274"/>
      <c r="AA489" s="153"/>
      <c r="AB489" s="153"/>
    </row>
    <row r="490" spans="3:28" ht="13.2">
      <c r="C490" s="10"/>
      <c r="D490" s="10"/>
      <c r="E490" s="273"/>
      <c r="U490" s="274"/>
      <c r="V490" s="274"/>
      <c r="AA490" s="153"/>
      <c r="AB490" s="153"/>
    </row>
    <row r="491" spans="3:28" ht="13.2">
      <c r="C491" s="10"/>
      <c r="D491" s="10"/>
      <c r="E491" s="273"/>
      <c r="U491" s="274"/>
      <c r="V491" s="274"/>
      <c r="AA491" s="153"/>
      <c r="AB491" s="153"/>
    </row>
    <row r="492" spans="3:28" ht="13.2">
      <c r="C492" s="10"/>
      <c r="D492" s="10"/>
      <c r="E492" s="273"/>
      <c r="U492" s="274"/>
      <c r="V492" s="274"/>
      <c r="AA492" s="153"/>
      <c r="AB492" s="153"/>
    </row>
    <row r="493" spans="3:28" ht="13.2">
      <c r="C493" s="10"/>
      <c r="D493" s="10"/>
      <c r="E493" s="273"/>
      <c r="U493" s="274"/>
      <c r="V493" s="274"/>
      <c r="AA493" s="153"/>
      <c r="AB493" s="153"/>
    </row>
    <row r="494" spans="3:28" ht="13.2">
      <c r="C494" s="10"/>
      <c r="D494" s="10"/>
      <c r="E494" s="273"/>
      <c r="U494" s="274"/>
      <c r="V494" s="274"/>
      <c r="AA494" s="153"/>
      <c r="AB494" s="153"/>
    </row>
    <row r="495" spans="3:28" ht="13.2">
      <c r="C495" s="10"/>
      <c r="D495" s="10"/>
      <c r="E495" s="273"/>
      <c r="U495" s="274"/>
      <c r="V495" s="274"/>
      <c r="AA495" s="153"/>
      <c r="AB495" s="153"/>
    </row>
    <row r="496" spans="3:28" ht="13.2">
      <c r="C496" s="10"/>
      <c r="D496" s="10"/>
      <c r="E496" s="273"/>
      <c r="U496" s="274"/>
      <c r="V496" s="274"/>
      <c r="AA496" s="153"/>
      <c r="AB496" s="153"/>
    </row>
    <row r="497" spans="3:28" ht="13.2">
      <c r="C497" s="10"/>
      <c r="D497" s="10"/>
      <c r="E497" s="273"/>
      <c r="U497" s="274"/>
      <c r="V497" s="274"/>
      <c r="AA497" s="153"/>
      <c r="AB497" s="153"/>
    </row>
    <row r="498" spans="3:28" ht="13.2">
      <c r="C498" s="10"/>
      <c r="D498" s="10"/>
      <c r="E498" s="273"/>
      <c r="U498" s="274"/>
      <c r="V498" s="274"/>
      <c r="AA498" s="153"/>
      <c r="AB498" s="153"/>
    </row>
    <row r="499" spans="3:28" ht="13.2">
      <c r="C499" s="10"/>
      <c r="D499" s="10"/>
      <c r="E499" s="273"/>
      <c r="U499" s="274"/>
      <c r="V499" s="274"/>
      <c r="AA499" s="153"/>
      <c r="AB499" s="153"/>
    </row>
    <row r="500" spans="3:28" ht="13.2">
      <c r="C500" s="10"/>
      <c r="D500" s="10"/>
      <c r="E500" s="273"/>
      <c r="U500" s="274"/>
      <c r="V500" s="274"/>
      <c r="AA500" s="153"/>
      <c r="AB500" s="153"/>
    </row>
    <row r="501" spans="3:28" ht="13.2">
      <c r="C501" s="10"/>
      <c r="D501" s="10"/>
      <c r="E501" s="273"/>
      <c r="U501" s="274"/>
      <c r="V501" s="274"/>
      <c r="AA501" s="153"/>
      <c r="AB501" s="153"/>
    </row>
    <row r="502" spans="3:28" ht="13.2">
      <c r="C502" s="10"/>
      <c r="D502" s="10"/>
      <c r="E502" s="273"/>
      <c r="U502" s="274"/>
      <c r="V502" s="274"/>
      <c r="AA502" s="153"/>
      <c r="AB502" s="153"/>
    </row>
    <row r="503" spans="3:28" ht="13.2">
      <c r="C503" s="10"/>
      <c r="D503" s="10"/>
      <c r="E503" s="273"/>
      <c r="U503" s="274"/>
      <c r="V503" s="274"/>
      <c r="AA503" s="153"/>
      <c r="AB503" s="153"/>
    </row>
    <row r="504" spans="3:28" ht="13.2">
      <c r="C504" s="10"/>
      <c r="D504" s="10"/>
      <c r="E504" s="273"/>
      <c r="U504" s="274"/>
      <c r="V504" s="274"/>
      <c r="AA504" s="153"/>
      <c r="AB504" s="153"/>
    </row>
    <row r="505" spans="3:28" ht="13.2">
      <c r="C505" s="10"/>
      <c r="D505" s="10"/>
      <c r="E505" s="273"/>
      <c r="U505" s="274"/>
      <c r="V505" s="274"/>
      <c r="AA505" s="153"/>
      <c r="AB505" s="153"/>
    </row>
    <row r="506" spans="3:28" ht="13.2">
      <c r="C506" s="10"/>
      <c r="D506" s="10"/>
      <c r="E506" s="273"/>
      <c r="U506" s="274"/>
      <c r="V506" s="274"/>
      <c r="AA506" s="153"/>
      <c r="AB506" s="153"/>
    </row>
    <row r="507" spans="3:28" ht="13.2">
      <c r="C507" s="10"/>
      <c r="D507" s="10"/>
      <c r="E507" s="273"/>
      <c r="U507" s="274"/>
      <c r="V507" s="274"/>
      <c r="AA507" s="153"/>
      <c r="AB507" s="153"/>
    </row>
    <row r="508" spans="3:28" ht="13.2">
      <c r="C508" s="10"/>
      <c r="D508" s="10"/>
      <c r="E508" s="273"/>
      <c r="U508" s="274"/>
      <c r="V508" s="274"/>
      <c r="AA508" s="153"/>
      <c r="AB508" s="153"/>
    </row>
    <row r="509" spans="3:28" ht="13.2">
      <c r="C509" s="10"/>
      <c r="D509" s="10"/>
      <c r="E509" s="273"/>
      <c r="U509" s="274"/>
      <c r="V509" s="274"/>
      <c r="AA509" s="153"/>
      <c r="AB509" s="153"/>
    </row>
    <row r="510" spans="3:28" ht="13.2">
      <c r="C510" s="10"/>
      <c r="D510" s="10"/>
      <c r="E510" s="273"/>
      <c r="U510" s="274"/>
      <c r="V510" s="274"/>
      <c r="AA510" s="153"/>
      <c r="AB510" s="153"/>
    </row>
    <row r="511" spans="3:28" ht="13.2">
      <c r="C511" s="10"/>
      <c r="D511" s="10"/>
      <c r="E511" s="273"/>
      <c r="U511" s="274"/>
      <c r="V511" s="274"/>
      <c r="AA511" s="153"/>
      <c r="AB511" s="153"/>
    </row>
    <row r="512" spans="3:28" ht="13.2">
      <c r="C512" s="10"/>
      <c r="D512" s="10"/>
      <c r="E512" s="273"/>
      <c r="U512" s="274"/>
      <c r="V512" s="274"/>
      <c r="AA512" s="153"/>
      <c r="AB512" s="153"/>
    </row>
    <row r="513" spans="3:28" ht="13.2">
      <c r="C513" s="10"/>
      <c r="D513" s="10"/>
      <c r="E513" s="273"/>
      <c r="U513" s="274"/>
      <c r="V513" s="274"/>
      <c r="AA513" s="153"/>
      <c r="AB513" s="153"/>
    </row>
    <row r="514" spans="3:28" ht="13.2">
      <c r="C514" s="10"/>
      <c r="D514" s="10"/>
      <c r="E514" s="273"/>
      <c r="U514" s="274"/>
      <c r="V514" s="274"/>
      <c r="AA514" s="153"/>
      <c r="AB514" s="153"/>
    </row>
    <row r="515" spans="3:28" ht="13.2">
      <c r="C515" s="10"/>
      <c r="D515" s="10"/>
      <c r="E515" s="273"/>
      <c r="U515" s="274"/>
      <c r="V515" s="274"/>
      <c r="AA515" s="153"/>
      <c r="AB515" s="153"/>
    </row>
    <row r="516" spans="3:28" ht="13.2">
      <c r="C516" s="10"/>
      <c r="D516" s="10"/>
      <c r="E516" s="273"/>
      <c r="U516" s="274"/>
      <c r="V516" s="274"/>
      <c r="AA516" s="153"/>
      <c r="AB516" s="153"/>
    </row>
    <row r="517" spans="3:28" ht="13.2">
      <c r="C517" s="10"/>
      <c r="D517" s="10"/>
      <c r="E517" s="273"/>
      <c r="U517" s="274"/>
      <c r="V517" s="274"/>
      <c r="AA517" s="153"/>
      <c r="AB517" s="153"/>
    </row>
    <row r="518" spans="3:28" ht="13.2">
      <c r="C518" s="10"/>
      <c r="D518" s="10"/>
      <c r="E518" s="273"/>
      <c r="U518" s="274"/>
      <c r="V518" s="274"/>
      <c r="AA518" s="153"/>
      <c r="AB518" s="153"/>
    </row>
    <row r="519" spans="3:28" ht="13.2">
      <c r="C519" s="10"/>
      <c r="D519" s="10"/>
      <c r="E519" s="273"/>
      <c r="U519" s="274"/>
      <c r="V519" s="274"/>
      <c r="AA519" s="153"/>
      <c r="AB519" s="153"/>
    </row>
    <row r="520" spans="3:28" ht="13.2">
      <c r="C520" s="10"/>
      <c r="D520" s="10"/>
      <c r="E520" s="273"/>
      <c r="U520" s="274"/>
      <c r="V520" s="274"/>
      <c r="AA520" s="153"/>
      <c r="AB520" s="153"/>
    </row>
    <row r="521" spans="3:28" ht="13.2">
      <c r="C521" s="10"/>
      <c r="D521" s="10"/>
      <c r="E521" s="273"/>
      <c r="U521" s="274"/>
      <c r="V521" s="274"/>
      <c r="AA521" s="153"/>
      <c r="AB521" s="153"/>
    </row>
    <row r="522" spans="3:28" ht="13.2">
      <c r="C522" s="10"/>
      <c r="D522" s="10"/>
      <c r="E522" s="273"/>
      <c r="U522" s="274"/>
      <c r="V522" s="274"/>
      <c r="AA522" s="153"/>
      <c r="AB522" s="153"/>
    </row>
    <row r="523" spans="3:28" ht="13.2">
      <c r="C523" s="10"/>
      <c r="D523" s="10"/>
      <c r="E523" s="273"/>
      <c r="U523" s="274"/>
      <c r="V523" s="274"/>
      <c r="AA523" s="153"/>
      <c r="AB523" s="153"/>
    </row>
    <row r="524" spans="3:28" ht="13.2">
      <c r="C524" s="10"/>
      <c r="D524" s="10"/>
      <c r="E524" s="273"/>
      <c r="U524" s="274"/>
      <c r="V524" s="274"/>
      <c r="AA524" s="153"/>
      <c r="AB524" s="153"/>
    </row>
    <row r="525" spans="3:28" ht="13.2">
      <c r="C525" s="10"/>
      <c r="D525" s="10"/>
      <c r="E525" s="273"/>
      <c r="U525" s="274"/>
      <c r="V525" s="274"/>
      <c r="AA525" s="153"/>
      <c r="AB525" s="153"/>
    </row>
    <row r="526" spans="3:28" ht="13.2">
      <c r="C526" s="10"/>
      <c r="D526" s="10"/>
      <c r="E526" s="273"/>
      <c r="U526" s="274"/>
      <c r="V526" s="274"/>
      <c r="AA526" s="153"/>
      <c r="AB526" s="153"/>
    </row>
    <row r="527" spans="3:28" ht="13.2">
      <c r="C527" s="10"/>
      <c r="D527" s="10"/>
      <c r="E527" s="273"/>
      <c r="U527" s="274"/>
      <c r="V527" s="274"/>
      <c r="AA527" s="153"/>
      <c r="AB527" s="153"/>
    </row>
    <row r="528" spans="3:28" ht="13.2">
      <c r="C528" s="10"/>
      <c r="D528" s="10"/>
      <c r="E528" s="273"/>
      <c r="U528" s="274"/>
      <c r="V528" s="274"/>
      <c r="AA528" s="153"/>
      <c r="AB528" s="153"/>
    </row>
    <row r="529" spans="3:28" ht="13.2">
      <c r="C529" s="10"/>
      <c r="D529" s="10"/>
      <c r="E529" s="273"/>
      <c r="U529" s="274"/>
      <c r="V529" s="274"/>
      <c r="AA529" s="153"/>
      <c r="AB529" s="153"/>
    </row>
    <row r="530" spans="3:28" ht="13.2">
      <c r="C530" s="10"/>
      <c r="D530" s="10"/>
      <c r="E530" s="273"/>
      <c r="U530" s="274"/>
      <c r="V530" s="274"/>
      <c r="AA530" s="153"/>
      <c r="AB530" s="153"/>
    </row>
    <row r="531" spans="3:28" ht="13.2">
      <c r="C531" s="10"/>
      <c r="D531" s="10"/>
      <c r="E531" s="273"/>
      <c r="U531" s="274"/>
      <c r="V531" s="274"/>
      <c r="AA531" s="153"/>
      <c r="AB531" s="153"/>
    </row>
    <row r="532" spans="3:28" ht="13.2">
      <c r="C532" s="10"/>
      <c r="D532" s="10"/>
      <c r="E532" s="273"/>
      <c r="U532" s="274"/>
      <c r="V532" s="274"/>
      <c r="AA532" s="153"/>
      <c r="AB532" s="153"/>
    </row>
    <row r="533" spans="3:28" ht="13.2">
      <c r="C533" s="10"/>
      <c r="D533" s="10"/>
      <c r="E533" s="273"/>
      <c r="U533" s="274"/>
      <c r="V533" s="274"/>
      <c r="AA533" s="153"/>
      <c r="AB533" s="153"/>
    </row>
    <row r="534" spans="3:28" ht="13.2">
      <c r="C534" s="10"/>
      <c r="D534" s="10"/>
      <c r="E534" s="273"/>
      <c r="U534" s="274"/>
      <c r="V534" s="274"/>
      <c r="AA534" s="153"/>
      <c r="AB534" s="153"/>
    </row>
    <row r="535" spans="3:28" ht="13.2">
      <c r="C535" s="10"/>
      <c r="D535" s="10"/>
      <c r="E535" s="273"/>
      <c r="U535" s="274"/>
      <c r="V535" s="274"/>
      <c r="AA535" s="153"/>
      <c r="AB535" s="153"/>
    </row>
    <row r="536" spans="3:28" ht="13.2">
      <c r="C536" s="10"/>
      <c r="D536" s="10"/>
      <c r="E536" s="273"/>
      <c r="U536" s="274"/>
      <c r="V536" s="274"/>
      <c r="AA536" s="153"/>
      <c r="AB536" s="153"/>
    </row>
    <row r="537" spans="3:28" ht="13.2">
      <c r="C537" s="10"/>
      <c r="D537" s="10"/>
      <c r="E537" s="273"/>
      <c r="U537" s="274"/>
      <c r="V537" s="274"/>
      <c r="AA537" s="153"/>
      <c r="AB537" s="153"/>
    </row>
    <row r="538" spans="3:28" ht="13.2">
      <c r="C538" s="10"/>
      <c r="D538" s="10"/>
      <c r="E538" s="273"/>
      <c r="U538" s="274"/>
      <c r="V538" s="274"/>
      <c r="AA538" s="153"/>
      <c r="AB538" s="153"/>
    </row>
    <row r="539" spans="3:28" ht="13.2">
      <c r="C539" s="10"/>
      <c r="D539" s="10"/>
      <c r="E539" s="273"/>
      <c r="U539" s="274"/>
      <c r="V539" s="274"/>
      <c r="AA539" s="153"/>
      <c r="AB539" s="153"/>
    </row>
    <row r="540" spans="3:28" ht="13.2">
      <c r="C540" s="10"/>
      <c r="D540" s="10"/>
      <c r="E540" s="273"/>
      <c r="U540" s="274"/>
      <c r="V540" s="274"/>
      <c r="AA540" s="153"/>
      <c r="AB540" s="153"/>
    </row>
    <row r="541" spans="3:28" ht="13.2">
      <c r="C541" s="10"/>
      <c r="D541" s="10"/>
      <c r="E541" s="273"/>
      <c r="U541" s="274"/>
      <c r="V541" s="274"/>
      <c r="AA541" s="153"/>
      <c r="AB541" s="153"/>
    </row>
    <row r="542" spans="3:28" ht="13.2">
      <c r="C542" s="10"/>
      <c r="D542" s="10"/>
      <c r="E542" s="273"/>
      <c r="U542" s="274"/>
      <c r="V542" s="274"/>
      <c r="AA542" s="153"/>
      <c r="AB542" s="153"/>
    </row>
    <row r="543" spans="3:28" ht="13.2">
      <c r="C543" s="10"/>
      <c r="D543" s="10"/>
      <c r="E543" s="273"/>
      <c r="U543" s="274"/>
      <c r="V543" s="274"/>
      <c r="AA543" s="153"/>
      <c r="AB543" s="153"/>
    </row>
    <row r="544" spans="3:28" ht="13.2">
      <c r="C544" s="10"/>
      <c r="D544" s="10"/>
      <c r="E544" s="273"/>
      <c r="U544" s="274"/>
      <c r="V544" s="274"/>
      <c r="AA544" s="153"/>
      <c r="AB544" s="153"/>
    </row>
    <row r="545" spans="3:28" ht="13.2">
      <c r="C545" s="10"/>
      <c r="D545" s="10"/>
      <c r="E545" s="273"/>
      <c r="U545" s="274"/>
      <c r="V545" s="274"/>
      <c r="AA545" s="153"/>
      <c r="AB545" s="153"/>
    </row>
    <row r="546" spans="3:28" ht="13.2">
      <c r="C546" s="10"/>
      <c r="D546" s="10"/>
      <c r="E546" s="273"/>
      <c r="U546" s="274"/>
      <c r="V546" s="274"/>
      <c r="AA546" s="153"/>
      <c r="AB546" s="153"/>
    </row>
    <row r="547" spans="3:28" ht="13.2">
      <c r="C547" s="10"/>
      <c r="D547" s="10"/>
      <c r="E547" s="273"/>
      <c r="U547" s="274"/>
      <c r="V547" s="274"/>
      <c r="AA547" s="153"/>
      <c r="AB547" s="153"/>
    </row>
    <row r="548" spans="3:28" ht="13.2">
      <c r="C548" s="10"/>
      <c r="D548" s="10"/>
      <c r="E548" s="273"/>
      <c r="U548" s="274"/>
      <c r="V548" s="274"/>
      <c r="AA548" s="153"/>
      <c r="AB548" s="153"/>
    </row>
    <row r="549" spans="3:28" ht="13.2">
      <c r="C549" s="10"/>
      <c r="D549" s="10"/>
      <c r="E549" s="273"/>
      <c r="U549" s="274"/>
      <c r="V549" s="274"/>
      <c r="AA549" s="153"/>
      <c r="AB549" s="153"/>
    </row>
    <row r="550" spans="3:28" ht="13.2">
      <c r="C550" s="10"/>
      <c r="D550" s="10"/>
      <c r="E550" s="273"/>
      <c r="U550" s="274"/>
      <c r="V550" s="274"/>
      <c r="AA550" s="153"/>
      <c r="AB550" s="153"/>
    </row>
    <row r="551" spans="3:28" ht="13.2">
      <c r="C551" s="10"/>
      <c r="D551" s="10"/>
      <c r="E551" s="273"/>
      <c r="U551" s="274"/>
      <c r="V551" s="274"/>
      <c r="AA551" s="153"/>
      <c r="AB551" s="153"/>
    </row>
    <row r="552" spans="3:28" ht="13.2">
      <c r="C552" s="10"/>
      <c r="D552" s="10"/>
      <c r="E552" s="273"/>
      <c r="U552" s="274"/>
      <c r="V552" s="274"/>
      <c r="AA552" s="153"/>
      <c r="AB552" s="153"/>
    </row>
    <row r="553" spans="3:28" ht="13.2">
      <c r="C553" s="10"/>
      <c r="D553" s="10"/>
      <c r="E553" s="273"/>
      <c r="U553" s="274"/>
      <c r="V553" s="274"/>
      <c r="AA553" s="153"/>
      <c r="AB553" s="153"/>
    </row>
    <row r="554" spans="3:28" ht="13.2">
      <c r="C554" s="10"/>
      <c r="D554" s="10"/>
      <c r="E554" s="273"/>
      <c r="U554" s="274"/>
      <c r="V554" s="274"/>
      <c r="AA554" s="153"/>
      <c r="AB554" s="153"/>
    </row>
    <row r="555" spans="3:28" ht="13.2">
      <c r="C555" s="10"/>
      <c r="D555" s="10"/>
      <c r="E555" s="273"/>
      <c r="U555" s="274"/>
      <c r="V555" s="274"/>
      <c r="AA555" s="153"/>
      <c r="AB555" s="153"/>
    </row>
    <row r="556" spans="3:28" ht="13.2">
      <c r="C556" s="10"/>
      <c r="D556" s="10"/>
      <c r="E556" s="273"/>
      <c r="U556" s="274"/>
      <c r="V556" s="274"/>
      <c r="AA556" s="153"/>
      <c r="AB556" s="153"/>
    </row>
    <row r="557" spans="3:28" ht="13.2">
      <c r="C557" s="10"/>
      <c r="D557" s="10"/>
      <c r="E557" s="273"/>
      <c r="U557" s="274"/>
      <c r="V557" s="274"/>
      <c r="AA557" s="153"/>
      <c r="AB557" s="153"/>
    </row>
    <row r="558" spans="3:28" ht="13.2">
      <c r="C558" s="10"/>
      <c r="D558" s="10"/>
      <c r="E558" s="273"/>
      <c r="U558" s="274"/>
      <c r="V558" s="274"/>
      <c r="AA558" s="153"/>
      <c r="AB558" s="153"/>
    </row>
    <row r="559" spans="3:28" ht="13.2">
      <c r="C559" s="10"/>
      <c r="D559" s="10"/>
      <c r="E559" s="273"/>
      <c r="U559" s="274"/>
      <c r="V559" s="274"/>
      <c r="AA559" s="153"/>
      <c r="AB559" s="153"/>
    </row>
    <row r="560" spans="3:28" ht="13.2">
      <c r="C560" s="10"/>
      <c r="D560" s="10"/>
      <c r="E560" s="273"/>
      <c r="U560" s="274"/>
      <c r="V560" s="274"/>
      <c r="AA560" s="153"/>
      <c r="AB560" s="153"/>
    </row>
    <row r="561" spans="3:28" ht="13.2">
      <c r="C561" s="10"/>
      <c r="D561" s="10"/>
      <c r="E561" s="273"/>
      <c r="U561" s="274"/>
      <c r="V561" s="274"/>
      <c r="AA561" s="153"/>
      <c r="AB561" s="153"/>
    </row>
    <row r="562" spans="3:28" ht="13.2">
      <c r="C562" s="10"/>
      <c r="D562" s="10"/>
      <c r="E562" s="273"/>
      <c r="U562" s="274"/>
      <c r="V562" s="274"/>
      <c r="AA562" s="153"/>
      <c r="AB562" s="153"/>
    </row>
    <row r="563" spans="3:28" ht="13.2">
      <c r="C563" s="10"/>
      <c r="D563" s="10"/>
      <c r="E563" s="273"/>
      <c r="U563" s="274"/>
      <c r="V563" s="274"/>
      <c r="AA563" s="153"/>
      <c r="AB563" s="153"/>
    </row>
    <row r="564" spans="3:28" ht="13.2">
      <c r="C564" s="10"/>
      <c r="D564" s="10"/>
      <c r="E564" s="273"/>
      <c r="U564" s="274"/>
      <c r="V564" s="274"/>
      <c r="AA564" s="153"/>
      <c r="AB564" s="153"/>
    </row>
    <row r="565" spans="3:28" ht="13.2">
      <c r="C565" s="10"/>
      <c r="D565" s="10"/>
      <c r="E565" s="273"/>
      <c r="U565" s="274"/>
      <c r="V565" s="274"/>
      <c r="AA565" s="153"/>
      <c r="AB565" s="153"/>
    </row>
    <row r="566" spans="3:28" ht="13.2">
      <c r="C566" s="10"/>
      <c r="D566" s="10"/>
      <c r="E566" s="273"/>
      <c r="U566" s="274"/>
      <c r="V566" s="274"/>
      <c r="AA566" s="153"/>
      <c r="AB566" s="153"/>
    </row>
    <row r="567" spans="3:28" ht="13.2">
      <c r="C567" s="10"/>
      <c r="D567" s="10"/>
      <c r="E567" s="273"/>
      <c r="U567" s="274"/>
      <c r="V567" s="274"/>
      <c r="AA567" s="153"/>
      <c r="AB567" s="153"/>
    </row>
    <row r="568" spans="3:28" ht="13.2">
      <c r="C568" s="10"/>
      <c r="D568" s="10"/>
      <c r="E568" s="273"/>
      <c r="U568" s="274"/>
      <c r="V568" s="274"/>
      <c r="AA568" s="153"/>
      <c r="AB568" s="153"/>
    </row>
    <row r="569" spans="3:28" ht="13.2">
      <c r="C569" s="10"/>
      <c r="D569" s="10"/>
      <c r="E569" s="273"/>
      <c r="U569" s="274"/>
      <c r="V569" s="274"/>
      <c r="AA569" s="153"/>
      <c r="AB569" s="153"/>
    </row>
    <row r="570" spans="3:28" ht="13.2">
      <c r="C570" s="10"/>
      <c r="D570" s="10"/>
      <c r="E570" s="273"/>
      <c r="U570" s="274"/>
      <c r="V570" s="274"/>
      <c r="AA570" s="153"/>
      <c r="AB570" s="153"/>
    </row>
    <row r="571" spans="3:28" ht="13.2">
      <c r="C571" s="10"/>
      <c r="D571" s="10"/>
      <c r="E571" s="273"/>
      <c r="U571" s="274"/>
      <c r="V571" s="274"/>
      <c r="AA571" s="153"/>
      <c r="AB571" s="153"/>
    </row>
    <row r="572" spans="3:28" ht="13.2">
      <c r="C572" s="10"/>
      <c r="D572" s="10"/>
      <c r="E572" s="273"/>
      <c r="U572" s="274"/>
      <c r="V572" s="274"/>
      <c r="AA572" s="153"/>
      <c r="AB572" s="153"/>
    </row>
    <row r="573" spans="3:28" ht="13.2">
      <c r="C573" s="10"/>
      <c r="D573" s="10"/>
      <c r="E573" s="273"/>
      <c r="U573" s="274"/>
      <c r="V573" s="274"/>
      <c r="AA573" s="153"/>
      <c r="AB573" s="153"/>
    </row>
    <row r="574" spans="3:28" ht="13.2">
      <c r="C574" s="10"/>
      <c r="D574" s="10"/>
      <c r="E574" s="273"/>
      <c r="U574" s="274"/>
      <c r="V574" s="274"/>
      <c r="AA574" s="153"/>
      <c r="AB574" s="153"/>
    </row>
    <row r="575" spans="3:28" ht="13.2">
      <c r="C575" s="10"/>
      <c r="D575" s="10"/>
      <c r="E575" s="273"/>
      <c r="U575" s="274"/>
      <c r="V575" s="274"/>
      <c r="AA575" s="153"/>
      <c r="AB575" s="153"/>
    </row>
    <row r="576" spans="3:28" ht="13.2">
      <c r="C576" s="10"/>
      <c r="D576" s="10"/>
      <c r="E576" s="273"/>
      <c r="U576" s="274"/>
      <c r="V576" s="274"/>
      <c r="AA576" s="153"/>
      <c r="AB576" s="153"/>
    </row>
    <row r="577" spans="3:28" ht="13.2">
      <c r="C577" s="10"/>
      <c r="D577" s="10"/>
      <c r="E577" s="273"/>
      <c r="U577" s="274"/>
      <c r="V577" s="274"/>
      <c r="AA577" s="153"/>
      <c r="AB577" s="153"/>
    </row>
    <row r="578" spans="3:28" ht="13.2">
      <c r="C578" s="10"/>
      <c r="D578" s="10"/>
      <c r="E578" s="273"/>
      <c r="U578" s="274"/>
      <c r="V578" s="274"/>
      <c r="AA578" s="153"/>
      <c r="AB578" s="153"/>
    </row>
    <row r="579" spans="3:28" ht="13.2">
      <c r="C579" s="10"/>
      <c r="D579" s="10"/>
      <c r="E579" s="273"/>
      <c r="U579" s="274"/>
      <c r="V579" s="274"/>
      <c r="AA579" s="153"/>
      <c r="AB579" s="153"/>
    </row>
    <row r="580" spans="3:28" ht="13.2">
      <c r="C580" s="10"/>
      <c r="D580" s="10"/>
      <c r="E580" s="273"/>
      <c r="U580" s="274"/>
      <c r="V580" s="274"/>
      <c r="AA580" s="153"/>
      <c r="AB580" s="153"/>
    </row>
    <row r="581" spans="3:28" ht="13.2">
      <c r="C581" s="10"/>
      <c r="D581" s="10"/>
      <c r="E581" s="273"/>
      <c r="U581" s="274"/>
      <c r="V581" s="274"/>
      <c r="AA581" s="153"/>
      <c r="AB581" s="153"/>
    </row>
    <row r="582" spans="3:28" ht="13.2">
      <c r="C582" s="10"/>
      <c r="D582" s="10"/>
      <c r="E582" s="273"/>
      <c r="U582" s="274"/>
      <c r="V582" s="274"/>
      <c r="AA582" s="153"/>
      <c r="AB582" s="153"/>
    </row>
    <row r="583" spans="3:28" ht="13.2">
      <c r="C583" s="10"/>
      <c r="D583" s="10"/>
      <c r="E583" s="273"/>
      <c r="U583" s="274"/>
      <c r="V583" s="274"/>
      <c r="AA583" s="153"/>
      <c r="AB583" s="153"/>
    </row>
    <row r="584" spans="3:28" ht="13.2">
      <c r="C584" s="10"/>
      <c r="D584" s="10"/>
      <c r="E584" s="273"/>
      <c r="U584" s="274"/>
      <c r="V584" s="274"/>
      <c r="AA584" s="153"/>
      <c r="AB584" s="153"/>
    </row>
    <row r="585" spans="3:28" ht="13.2">
      <c r="C585" s="10"/>
      <c r="D585" s="10"/>
      <c r="E585" s="273"/>
      <c r="U585" s="274"/>
      <c r="V585" s="274"/>
      <c r="AA585" s="153"/>
      <c r="AB585" s="153"/>
    </row>
    <row r="586" spans="3:28" ht="13.2">
      <c r="C586" s="10"/>
      <c r="D586" s="10"/>
      <c r="E586" s="273"/>
      <c r="U586" s="274"/>
      <c r="V586" s="274"/>
      <c r="AA586" s="153"/>
      <c r="AB586" s="153"/>
    </row>
    <row r="587" spans="3:28" ht="13.2">
      <c r="C587" s="10"/>
      <c r="D587" s="10"/>
      <c r="E587" s="273"/>
      <c r="U587" s="274"/>
      <c r="V587" s="274"/>
      <c r="AA587" s="153"/>
      <c r="AB587" s="153"/>
    </row>
    <row r="588" spans="3:28" ht="13.2">
      <c r="C588" s="10"/>
      <c r="D588" s="10"/>
      <c r="E588" s="273"/>
      <c r="U588" s="274"/>
      <c r="V588" s="274"/>
      <c r="AA588" s="153"/>
      <c r="AB588" s="153"/>
    </row>
    <row r="589" spans="3:28" ht="13.2">
      <c r="C589" s="10"/>
      <c r="D589" s="10"/>
      <c r="E589" s="273"/>
      <c r="U589" s="274"/>
      <c r="V589" s="274"/>
      <c r="AA589" s="153"/>
      <c r="AB589" s="153"/>
    </row>
    <row r="590" spans="3:28" ht="13.2">
      <c r="C590" s="10"/>
      <c r="D590" s="10"/>
      <c r="E590" s="273"/>
      <c r="U590" s="274"/>
      <c r="V590" s="274"/>
      <c r="AA590" s="153"/>
      <c r="AB590" s="153"/>
    </row>
    <row r="591" spans="3:28" ht="13.2">
      <c r="C591" s="10"/>
      <c r="D591" s="10"/>
      <c r="E591" s="273"/>
      <c r="U591" s="274"/>
      <c r="V591" s="274"/>
      <c r="AA591" s="153"/>
      <c r="AB591" s="153"/>
    </row>
    <row r="592" spans="3:28" ht="13.2">
      <c r="C592" s="10"/>
      <c r="D592" s="10"/>
      <c r="E592" s="273"/>
      <c r="U592" s="274"/>
      <c r="V592" s="274"/>
      <c r="AA592" s="153"/>
      <c r="AB592" s="153"/>
    </row>
    <row r="593" spans="3:28" ht="13.2">
      <c r="C593" s="10"/>
      <c r="D593" s="10"/>
      <c r="E593" s="273"/>
      <c r="U593" s="274"/>
      <c r="V593" s="274"/>
      <c r="AA593" s="153"/>
      <c r="AB593" s="153"/>
    </row>
    <row r="594" spans="3:28" ht="13.2">
      <c r="C594" s="10"/>
      <c r="D594" s="10"/>
      <c r="E594" s="273"/>
      <c r="U594" s="274"/>
      <c r="V594" s="274"/>
      <c r="AA594" s="153"/>
      <c r="AB594" s="153"/>
    </row>
    <row r="595" spans="3:28" ht="13.2">
      <c r="C595" s="10"/>
      <c r="D595" s="10"/>
      <c r="E595" s="273"/>
      <c r="U595" s="274"/>
      <c r="V595" s="274"/>
      <c r="AA595" s="153"/>
      <c r="AB595" s="153"/>
    </row>
    <row r="596" spans="3:28" ht="13.2">
      <c r="C596" s="10"/>
      <c r="D596" s="10"/>
      <c r="E596" s="273"/>
      <c r="U596" s="274"/>
      <c r="V596" s="274"/>
      <c r="AA596" s="153"/>
      <c r="AB596" s="153"/>
    </row>
    <row r="597" spans="3:28" ht="13.2">
      <c r="C597" s="10"/>
      <c r="D597" s="10"/>
      <c r="E597" s="273"/>
      <c r="U597" s="274"/>
      <c r="V597" s="274"/>
      <c r="AA597" s="153"/>
      <c r="AB597" s="153"/>
    </row>
    <row r="598" spans="3:28" ht="13.2">
      <c r="C598" s="10"/>
      <c r="D598" s="10"/>
      <c r="E598" s="273"/>
      <c r="U598" s="274"/>
      <c r="V598" s="274"/>
      <c r="AA598" s="153"/>
      <c r="AB598" s="153"/>
    </row>
    <row r="599" spans="3:28" ht="13.2">
      <c r="C599" s="10"/>
      <c r="D599" s="10"/>
      <c r="E599" s="273"/>
      <c r="U599" s="274"/>
      <c r="V599" s="274"/>
      <c r="AA599" s="153"/>
      <c r="AB599" s="153"/>
    </row>
    <row r="600" spans="3:28" ht="13.2">
      <c r="C600" s="10"/>
      <c r="D600" s="10"/>
      <c r="E600" s="273"/>
      <c r="U600" s="274"/>
      <c r="V600" s="274"/>
      <c r="AA600" s="153"/>
      <c r="AB600" s="153"/>
    </row>
    <row r="601" spans="3:28" ht="13.2">
      <c r="C601" s="10"/>
      <c r="D601" s="10"/>
      <c r="E601" s="273"/>
      <c r="U601" s="274"/>
      <c r="V601" s="274"/>
      <c r="AA601" s="153"/>
      <c r="AB601" s="153"/>
    </row>
    <row r="602" spans="3:28" ht="13.2">
      <c r="C602" s="10"/>
      <c r="D602" s="10"/>
      <c r="E602" s="273"/>
      <c r="U602" s="274"/>
      <c r="V602" s="274"/>
      <c r="AA602" s="153"/>
      <c r="AB602" s="153"/>
    </row>
    <row r="603" spans="3:28" ht="13.2">
      <c r="C603" s="10"/>
      <c r="D603" s="10"/>
      <c r="E603" s="273"/>
      <c r="U603" s="274"/>
      <c r="V603" s="274"/>
      <c r="AA603" s="153"/>
      <c r="AB603" s="153"/>
    </row>
    <row r="604" spans="3:28" ht="13.2">
      <c r="C604" s="10"/>
      <c r="D604" s="10"/>
      <c r="E604" s="273"/>
      <c r="U604" s="274"/>
      <c r="V604" s="274"/>
      <c r="AA604" s="153"/>
      <c r="AB604" s="153"/>
    </row>
    <row r="605" spans="3:28" ht="13.2">
      <c r="C605" s="10"/>
      <c r="D605" s="10"/>
      <c r="E605" s="273"/>
      <c r="U605" s="274"/>
      <c r="V605" s="274"/>
      <c r="AA605" s="153"/>
      <c r="AB605" s="153"/>
    </row>
    <row r="606" spans="3:28" ht="13.2">
      <c r="C606" s="10"/>
      <c r="D606" s="10"/>
      <c r="E606" s="273"/>
      <c r="U606" s="274"/>
      <c r="V606" s="274"/>
      <c r="AA606" s="153"/>
      <c r="AB606" s="153"/>
    </row>
    <row r="607" spans="3:28" ht="13.2">
      <c r="C607" s="10"/>
      <c r="D607" s="10"/>
      <c r="E607" s="273"/>
      <c r="U607" s="274"/>
      <c r="V607" s="274"/>
      <c r="AA607" s="153"/>
      <c r="AB607" s="153"/>
    </row>
    <row r="608" spans="3:28" ht="13.2">
      <c r="C608" s="10"/>
      <c r="D608" s="10"/>
      <c r="E608" s="273"/>
      <c r="U608" s="274"/>
      <c r="V608" s="274"/>
      <c r="AA608" s="153"/>
      <c r="AB608" s="153"/>
    </row>
    <row r="609" spans="3:28" ht="13.2">
      <c r="C609" s="10"/>
      <c r="D609" s="10"/>
      <c r="E609" s="273"/>
      <c r="U609" s="274"/>
      <c r="V609" s="274"/>
      <c r="AA609" s="153"/>
      <c r="AB609" s="153"/>
    </row>
    <row r="610" spans="3:28" ht="13.2">
      <c r="C610" s="10"/>
      <c r="D610" s="10"/>
      <c r="E610" s="273"/>
      <c r="U610" s="274"/>
      <c r="V610" s="274"/>
      <c r="AA610" s="153"/>
      <c r="AB610" s="153"/>
    </row>
    <row r="611" spans="3:28" ht="13.2">
      <c r="C611" s="10"/>
      <c r="D611" s="10"/>
      <c r="E611" s="273"/>
      <c r="U611" s="274"/>
      <c r="V611" s="274"/>
      <c r="AA611" s="153"/>
      <c r="AB611" s="153"/>
    </row>
    <row r="612" spans="3:28" ht="13.2">
      <c r="C612" s="10"/>
      <c r="D612" s="10"/>
      <c r="E612" s="273"/>
      <c r="U612" s="274"/>
      <c r="V612" s="274"/>
      <c r="AA612" s="153"/>
      <c r="AB612" s="153"/>
    </row>
    <row r="613" spans="3:28" ht="13.2">
      <c r="C613" s="10"/>
      <c r="D613" s="10"/>
      <c r="E613" s="273"/>
      <c r="U613" s="274"/>
      <c r="V613" s="274"/>
      <c r="AA613" s="153"/>
      <c r="AB613" s="153"/>
    </row>
    <row r="614" spans="3:28" ht="13.2">
      <c r="C614" s="10"/>
      <c r="D614" s="10"/>
      <c r="E614" s="273"/>
      <c r="U614" s="274"/>
      <c r="V614" s="274"/>
      <c r="AA614" s="153"/>
      <c r="AB614" s="153"/>
    </row>
    <row r="615" spans="3:28" ht="13.2">
      <c r="C615" s="10"/>
      <c r="D615" s="10"/>
      <c r="E615" s="273"/>
      <c r="U615" s="274"/>
      <c r="V615" s="274"/>
      <c r="AA615" s="153"/>
      <c r="AB615" s="153"/>
    </row>
    <row r="616" spans="3:28" ht="13.2">
      <c r="C616" s="10"/>
      <c r="D616" s="10"/>
      <c r="E616" s="273"/>
      <c r="U616" s="274"/>
      <c r="V616" s="274"/>
      <c r="AA616" s="153"/>
      <c r="AB616" s="153"/>
    </row>
    <row r="617" spans="3:28" ht="13.2">
      <c r="C617" s="10"/>
      <c r="D617" s="10"/>
      <c r="E617" s="273"/>
      <c r="U617" s="274"/>
      <c r="V617" s="274"/>
      <c r="AA617" s="153"/>
      <c r="AB617" s="153"/>
    </row>
    <row r="618" spans="3:28" ht="13.2">
      <c r="C618" s="10"/>
      <c r="D618" s="10"/>
      <c r="E618" s="273"/>
      <c r="U618" s="274"/>
      <c r="V618" s="274"/>
      <c r="AA618" s="153"/>
      <c r="AB618" s="153"/>
    </row>
    <row r="619" spans="3:28" ht="13.2">
      <c r="C619" s="10"/>
      <c r="D619" s="10"/>
      <c r="E619" s="273"/>
      <c r="U619" s="274"/>
      <c r="V619" s="274"/>
      <c r="AA619" s="153"/>
      <c r="AB619" s="153"/>
    </row>
    <row r="620" spans="3:28" ht="13.2">
      <c r="C620" s="10"/>
      <c r="D620" s="10"/>
      <c r="E620" s="273"/>
      <c r="U620" s="274"/>
      <c r="V620" s="274"/>
      <c r="AA620" s="153"/>
      <c r="AB620" s="153"/>
    </row>
    <row r="621" spans="3:28" ht="13.2">
      <c r="C621" s="10"/>
      <c r="D621" s="10"/>
      <c r="E621" s="273"/>
      <c r="U621" s="274"/>
      <c r="V621" s="274"/>
      <c r="AA621" s="153"/>
      <c r="AB621" s="153"/>
    </row>
    <row r="622" spans="3:28" ht="13.2">
      <c r="C622" s="10"/>
      <c r="D622" s="10"/>
      <c r="E622" s="273"/>
      <c r="U622" s="274"/>
      <c r="V622" s="274"/>
      <c r="AA622" s="153"/>
      <c r="AB622" s="153"/>
    </row>
    <row r="623" spans="3:28" ht="13.2">
      <c r="C623" s="10"/>
      <c r="D623" s="10"/>
      <c r="E623" s="273"/>
      <c r="U623" s="274"/>
      <c r="V623" s="274"/>
      <c r="AA623" s="153"/>
      <c r="AB623" s="153"/>
    </row>
    <row r="624" spans="3:28" ht="13.2">
      <c r="C624" s="10"/>
      <c r="D624" s="10"/>
      <c r="E624" s="273"/>
      <c r="U624" s="274"/>
      <c r="V624" s="274"/>
      <c r="AA624" s="153"/>
      <c r="AB624" s="153"/>
    </row>
    <row r="625" spans="3:28" ht="13.2">
      <c r="C625" s="10"/>
      <c r="D625" s="10"/>
      <c r="E625" s="273"/>
      <c r="U625" s="274"/>
      <c r="V625" s="274"/>
      <c r="AA625" s="153"/>
      <c r="AB625" s="153"/>
    </row>
    <row r="626" spans="3:28" ht="13.2">
      <c r="C626" s="10"/>
      <c r="D626" s="10"/>
      <c r="E626" s="273"/>
      <c r="U626" s="274"/>
      <c r="V626" s="274"/>
      <c r="AA626" s="153"/>
      <c r="AB626" s="153"/>
    </row>
    <row r="627" spans="3:28" ht="13.2">
      <c r="C627" s="10"/>
      <c r="D627" s="10"/>
      <c r="E627" s="273"/>
      <c r="U627" s="274"/>
      <c r="V627" s="274"/>
      <c r="AA627" s="153"/>
      <c r="AB627" s="153"/>
    </row>
    <row r="628" spans="3:28" ht="13.2">
      <c r="C628" s="10"/>
      <c r="D628" s="10"/>
      <c r="E628" s="273"/>
      <c r="U628" s="274"/>
      <c r="V628" s="274"/>
      <c r="AA628" s="153"/>
      <c r="AB628" s="153"/>
    </row>
    <row r="629" spans="3:28" ht="13.2">
      <c r="C629" s="10"/>
      <c r="D629" s="10"/>
      <c r="E629" s="273"/>
      <c r="U629" s="274"/>
      <c r="V629" s="274"/>
      <c r="AA629" s="153"/>
      <c r="AB629" s="153"/>
    </row>
    <row r="630" spans="3:28" ht="13.2">
      <c r="C630" s="10"/>
      <c r="D630" s="10"/>
      <c r="E630" s="273"/>
      <c r="U630" s="274"/>
      <c r="V630" s="274"/>
      <c r="AA630" s="153"/>
      <c r="AB630" s="153"/>
    </row>
    <row r="631" spans="3:28" ht="13.2">
      <c r="C631" s="10"/>
      <c r="D631" s="10"/>
      <c r="E631" s="273"/>
      <c r="U631" s="274"/>
      <c r="V631" s="274"/>
      <c r="AA631" s="153"/>
      <c r="AB631" s="153"/>
    </row>
    <row r="632" spans="3:28" ht="13.2">
      <c r="C632" s="10"/>
      <c r="D632" s="10"/>
      <c r="E632" s="273"/>
      <c r="U632" s="274"/>
      <c r="V632" s="274"/>
      <c r="AA632" s="153"/>
      <c r="AB632" s="153"/>
    </row>
    <row r="633" spans="3:28" ht="13.2">
      <c r="C633" s="10"/>
      <c r="D633" s="10"/>
      <c r="E633" s="273"/>
      <c r="U633" s="274"/>
      <c r="V633" s="274"/>
      <c r="AA633" s="153"/>
      <c r="AB633" s="153"/>
    </row>
    <row r="634" spans="3:28" ht="13.2">
      <c r="C634" s="10"/>
      <c r="D634" s="10"/>
      <c r="E634" s="273"/>
      <c r="U634" s="274"/>
      <c r="V634" s="274"/>
      <c r="AA634" s="153"/>
      <c r="AB634" s="153"/>
    </row>
    <row r="635" spans="3:28" ht="13.2">
      <c r="C635" s="10"/>
      <c r="D635" s="10"/>
      <c r="E635" s="273"/>
      <c r="U635" s="274"/>
      <c r="V635" s="274"/>
      <c r="AA635" s="153"/>
      <c r="AB635" s="153"/>
    </row>
    <row r="636" spans="3:28" ht="13.2">
      <c r="C636" s="10"/>
      <c r="D636" s="10"/>
      <c r="E636" s="273"/>
      <c r="U636" s="274"/>
      <c r="V636" s="274"/>
      <c r="AA636" s="153"/>
      <c r="AB636" s="153"/>
    </row>
    <row r="637" spans="3:28" ht="13.2">
      <c r="C637" s="10"/>
      <c r="D637" s="10"/>
      <c r="E637" s="273"/>
      <c r="U637" s="274"/>
      <c r="V637" s="274"/>
      <c r="AA637" s="153"/>
      <c r="AB637" s="153"/>
    </row>
    <row r="638" spans="3:28" ht="13.2">
      <c r="C638" s="10"/>
      <c r="D638" s="10"/>
      <c r="E638" s="273"/>
      <c r="U638" s="274"/>
      <c r="V638" s="274"/>
      <c r="AA638" s="153"/>
      <c r="AB638" s="153"/>
    </row>
    <row r="639" spans="3:28" ht="13.2">
      <c r="C639" s="10"/>
      <c r="D639" s="10"/>
      <c r="E639" s="273"/>
      <c r="U639" s="274"/>
      <c r="V639" s="274"/>
      <c r="AA639" s="153"/>
      <c r="AB639" s="153"/>
    </row>
    <row r="640" spans="3:28" ht="13.2">
      <c r="C640" s="10"/>
      <c r="D640" s="10"/>
      <c r="E640" s="273"/>
      <c r="U640" s="274"/>
      <c r="V640" s="274"/>
      <c r="AA640" s="153"/>
      <c r="AB640" s="153"/>
    </row>
    <row r="641" spans="3:28" ht="13.2">
      <c r="C641" s="10"/>
      <c r="D641" s="10"/>
      <c r="E641" s="273"/>
      <c r="U641" s="274"/>
      <c r="V641" s="274"/>
      <c r="AA641" s="153"/>
      <c r="AB641" s="153"/>
    </row>
    <row r="642" spans="3:28" ht="13.2">
      <c r="C642" s="10"/>
      <c r="D642" s="10"/>
      <c r="E642" s="273"/>
      <c r="U642" s="274"/>
      <c r="V642" s="274"/>
      <c r="AA642" s="153"/>
      <c r="AB642" s="153"/>
    </row>
    <row r="643" spans="3:28" ht="13.2">
      <c r="C643" s="10"/>
      <c r="D643" s="10"/>
      <c r="E643" s="273"/>
      <c r="U643" s="274"/>
      <c r="V643" s="274"/>
      <c r="AA643" s="153"/>
      <c r="AB643" s="153"/>
    </row>
    <row r="644" spans="3:28" ht="13.2">
      <c r="C644" s="10"/>
      <c r="D644" s="10"/>
      <c r="E644" s="273"/>
      <c r="U644" s="274"/>
      <c r="V644" s="274"/>
      <c r="AA644" s="153"/>
      <c r="AB644" s="153"/>
    </row>
    <row r="645" spans="3:28" ht="13.2">
      <c r="C645" s="10"/>
      <c r="D645" s="10"/>
      <c r="E645" s="273"/>
      <c r="U645" s="274"/>
      <c r="V645" s="274"/>
      <c r="AA645" s="153"/>
      <c r="AB645" s="153"/>
    </row>
    <row r="646" spans="3:28" ht="13.2">
      <c r="C646" s="10"/>
      <c r="D646" s="10"/>
      <c r="E646" s="273"/>
      <c r="U646" s="274"/>
      <c r="V646" s="274"/>
      <c r="AA646" s="153"/>
      <c r="AB646" s="153"/>
    </row>
    <row r="647" spans="3:28" ht="13.2">
      <c r="C647" s="10"/>
      <c r="D647" s="10"/>
      <c r="E647" s="273"/>
      <c r="U647" s="274"/>
      <c r="V647" s="274"/>
      <c r="AA647" s="153"/>
      <c r="AB647" s="153"/>
    </row>
    <row r="648" spans="3:28" ht="13.2">
      <c r="C648" s="10"/>
      <c r="D648" s="10"/>
      <c r="E648" s="273"/>
      <c r="U648" s="274"/>
      <c r="V648" s="274"/>
      <c r="AA648" s="153"/>
      <c r="AB648" s="153"/>
    </row>
    <row r="649" spans="3:28" ht="13.2">
      <c r="C649" s="10"/>
      <c r="D649" s="10"/>
      <c r="E649" s="273"/>
      <c r="U649" s="274"/>
      <c r="V649" s="274"/>
      <c r="AA649" s="153"/>
      <c r="AB649" s="153"/>
    </row>
    <row r="650" spans="3:28" ht="13.2">
      <c r="C650" s="10"/>
      <c r="D650" s="10"/>
      <c r="E650" s="273"/>
      <c r="U650" s="274"/>
      <c r="V650" s="274"/>
      <c r="AA650" s="153"/>
      <c r="AB650" s="153"/>
    </row>
    <row r="651" spans="3:28" ht="13.2">
      <c r="C651" s="10"/>
      <c r="D651" s="10"/>
      <c r="E651" s="273"/>
      <c r="U651" s="274"/>
      <c r="V651" s="274"/>
      <c r="AA651" s="153"/>
      <c r="AB651" s="153"/>
    </row>
    <row r="652" spans="3:28" ht="13.2">
      <c r="C652" s="10"/>
      <c r="D652" s="10"/>
      <c r="E652" s="273"/>
      <c r="U652" s="274"/>
      <c r="V652" s="274"/>
      <c r="AA652" s="153"/>
      <c r="AB652" s="153"/>
    </row>
    <row r="653" spans="3:28" ht="13.2">
      <c r="C653" s="10"/>
      <c r="D653" s="10"/>
      <c r="E653" s="273"/>
      <c r="U653" s="274"/>
      <c r="V653" s="274"/>
      <c r="AA653" s="153"/>
      <c r="AB653" s="153"/>
    </row>
    <row r="654" spans="3:28" ht="13.2">
      <c r="C654" s="10"/>
      <c r="D654" s="10"/>
      <c r="E654" s="273"/>
      <c r="U654" s="274"/>
      <c r="V654" s="274"/>
      <c r="AA654" s="153"/>
      <c r="AB654" s="153"/>
    </row>
    <row r="655" spans="3:28" ht="13.2">
      <c r="C655" s="10"/>
      <c r="D655" s="10"/>
      <c r="E655" s="273"/>
      <c r="U655" s="274"/>
      <c r="V655" s="274"/>
      <c r="AA655" s="153"/>
      <c r="AB655" s="153"/>
    </row>
    <row r="656" spans="3:28" ht="13.2">
      <c r="C656" s="10"/>
      <c r="D656" s="10"/>
      <c r="E656" s="273"/>
      <c r="U656" s="274"/>
      <c r="V656" s="274"/>
      <c r="AA656" s="153"/>
      <c r="AB656" s="153"/>
    </row>
    <row r="657" spans="3:28" ht="13.2">
      <c r="C657" s="10"/>
      <c r="D657" s="10"/>
      <c r="E657" s="273"/>
      <c r="U657" s="274"/>
      <c r="V657" s="274"/>
      <c r="AA657" s="153"/>
      <c r="AB657" s="153"/>
    </row>
    <row r="658" spans="3:28" ht="13.2">
      <c r="C658" s="10"/>
      <c r="D658" s="10"/>
      <c r="E658" s="273"/>
      <c r="U658" s="274"/>
      <c r="V658" s="274"/>
      <c r="AA658" s="153"/>
      <c r="AB658" s="153"/>
    </row>
    <row r="659" spans="3:28" ht="13.2">
      <c r="C659" s="10"/>
      <c r="D659" s="10"/>
      <c r="E659" s="273"/>
      <c r="U659" s="274"/>
      <c r="V659" s="274"/>
      <c r="AA659" s="153"/>
      <c r="AB659" s="153"/>
    </row>
    <row r="660" spans="3:28" ht="13.2">
      <c r="C660" s="10"/>
      <c r="D660" s="10"/>
      <c r="E660" s="273"/>
      <c r="U660" s="274"/>
      <c r="V660" s="274"/>
      <c r="AA660" s="153"/>
      <c r="AB660" s="153"/>
    </row>
    <row r="661" spans="3:28" ht="13.2">
      <c r="C661" s="10"/>
      <c r="D661" s="10"/>
      <c r="E661" s="273"/>
      <c r="U661" s="274"/>
      <c r="V661" s="274"/>
      <c r="AA661" s="153"/>
      <c r="AB661" s="153"/>
    </row>
    <row r="662" spans="3:28" ht="13.2">
      <c r="C662" s="10"/>
      <c r="D662" s="10"/>
      <c r="E662" s="273"/>
      <c r="U662" s="274"/>
      <c r="V662" s="274"/>
      <c r="AA662" s="153"/>
      <c r="AB662" s="153"/>
    </row>
    <row r="663" spans="3:28" ht="13.2">
      <c r="C663" s="10"/>
      <c r="D663" s="10"/>
      <c r="E663" s="273"/>
      <c r="U663" s="274"/>
      <c r="V663" s="274"/>
      <c r="AA663" s="153"/>
      <c r="AB663" s="153"/>
    </row>
    <row r="664" spans="3:28" ht="13.2">
      <c r="C664" s="10"/>
      <c r="D664" s="10"/>
      <c r="E664" s="273"/>
      <c r="U664" s="274"/>
      <c r="V664" s="274"/>
      <c r="AA664" s="153"/>
      <c r="AB664" s="153"/>
    </row>
    <row r="665" spans="3:28" ht="13.2">
      <c r="C665" s="10"/>
      <c r="D665" s="10"/>
      <c r="E665" s="273"/>
      <c r="U665" s="274"/>
      <c r="V665" s="274"/>
      <c r="AA665" s="153"/>
      <c r="AB665" s="153"/>
    </row>
    <row r="666" spans="3:28" ht="13.2">
      <c r="C666" s="10"/>
      <c r="D666" s="10"/>
      <c r="E666" s="273"/>
      <c r="U666" s="274"/>
      <c r="V666" s="274"/>
      <c r="AA666" s="153"/>
      <c r="AB666" s="153"/>
    </row>
    <row r="667" spans="3:28" ht="13.2">
      <c r="C667" s="10"/>
      <c r="D667" s="10"/>
      <c r="E667" s="273"/>
      <c r="U667" s="274"/>
      <c r="V667" s="274"/>
      <c r="AA667" s="153"/>
      <c r="AB667" s="153"/>
    </row>
    <row r="668" spans="3:28" ht="13.2">
      <c r="C668" s="10"/>
      <c r="D668" s="10"/>
      <c r="E668" s="273"/>
      <c r="U668" s="274"/>
      <c r="V668" s="274"/>
      <c r="AA668" s="153"/>
      <c r="AB668" s="153"/>
    </row>
    <row r="669" spans="3:28" ht="13.2">
      <c r="C669" s="10"/>
      <c r="D669" s="10"/>
      <c r="E669" s="273"/>
      <c r="U669" s="274"/>
      <c r="V669" s="274"/>
      <c r="AA669" s="153"/>
      <c r="AB669" s="153"/>
    </row>
    <row r="670" spans="3:28" ht="13.2">
      <c r="C670" s="10"/>
      <c r="D670" s="10"/>
      <c r="E670" s="273"/>
      <c r="U670" s="274"/>
      <c r="V670" s="274"/>
      <c r="AA670" s="153"/>
      <c r="AB670" s="153"/>
    </row>
    <row r="671" spans="3:28" ht="13.2">
      <c r="C671" s="10"/>
      <c r="D671" s="10"/>
      <c r="E671" s="273"/>
      <c r="U671" s="274"/>
      <c r="V671" s="274"/>
      <c r="AA671" s="153"/>
      <c r="AB671" s="153"/>
    </row>
    <row r="672" spans="3:28" ht="13.2">
      <c r="C672" s="10"/>
      <c r="D672" s="10"/>
      <c r="E672" s="273"/>
      <c r="U672" s="274"/>
      <c r="V672" s="274"/>
      <c r="AA672" s="153"/>
      <c r="AB672" s="153"/>
    </row>
    <row r="673" spans="3:28" ht="13.2">
      <c r="C673" s="10"/>
      <c r="D673" s="10"/>
      <c r="E673" s="273"/>
      <c r="U673" s="274"/>
      <c r="V673" s="274"/>
      <c r="AA673" s="153"/>
      <c r="AB673" s="153"/>
    </row>
    <row r="674" spans="3:28" ht="13.2">
      <c r="C674" s="10"/>
      <c r="D674" s="10"/>
      <c r="E674" s="273"/>
      <c r="U674" s="274"/>
      <c r="V674" s="274"/>
      <c r="AA674" s="153"/>
      <c r="AB674" s="153"/>
    </row>
    <row r="675" spans="3:28" ht="13.2">
      <c r="C675" s="10"/>
      <c r="D675" s="10"/>
      <c r="E675" s="273"/>
      <c r="U675" s="274"/>
      <c r="V675" s="274"/>
      <c r="AA675" s="153"/>
      <c r="AB675" s="153"/>
    </row>
    <row r="676" spans="3:28" ht="13.2">
      <c r="C676" s="10"/>
      <c r="D676" s="10"/>
      <c r="E676" s="273"/>
      <c r="U676" s="274"/>
      <c r="V676" s="274"/>
      <c r="AA676" s="153"/>
      <c r="AB676" s="153"/>
    </row>
    <row r="677" spans="3:28" ht="13.2">
      <c r="C677" s="10"/>
      <c r="D677" s="10"/>
      <c r="E677" s="273"/>
      <c r="U677" s="274"/>
      <c r="V677" s="274"/>
      <c r="AA677" s="153"/>
      <c r="AB677" s="153"/>
    </row>
    <row r="678" spans="3:28" ht="13.2">
      <c r="C678" s="10"/>
      <c r="D678" s="10"/>
      <c r="E678" s="273"/>
      <c r="U678" s="274"/>
      <c r="V678" s="274"/>
      <c r="AA678" s="153"/>
      <c r="AB678" s="153"/>
    </row>
    <row r="679" spans="3:28" ht="13.2">
      <c r="C679" s="10"/>
      <c r="D679" s="10"/>
      <c r="E679" s="273"/>
      <c r="U679" s="274"/>
      <c r="V679" s="274"/>
      <c r="AA679" s="153"/>
      <c r="AB679" s="153"/>
    </row>
    <row r="680" spans="3:28" ht="13.2">
      <c r="C680" s="10"/>
      <c r="D680" s="10"/>
      <c r="E680" s="273"/>
      <c r="U680" s="274"/>
      <c r="V680" s="274"/>
      <c r="AA680" s="153"/>
      <c r="AB680" s="153"/>
    </row>
    <row r="681" spans="3:28" ht="13.2">
      <c r="C681" s="10"/>
      <c r="D681" s="10"/>
      <c r="E681" s="273"/>
      <c r="U681" s="274"/>
      <c r="V681" s="274"/>
      <c r="AA681" s="153"/>
      <c r="AB681" s="153"/>
    </row>
    <row r="682" spans="3:28" ht="13.2">
      <c r="C682" s="10"/>
      <c r="D682" s="10"/>
      <c r="E682" s="273"/>
      <c r="U682" s="274"/>
      <c r="V682" s="274"/>
      <c r="AA682" s="153"/>
      <c r="AB682" s="153"/>
    </row>
    <row r="683" spans="3:28" ht="13.2">
      <c r="C683" s="10"/>
      <c r="D683" s="10"/>
      <c r="E683" s="273"/>
      <c r="U683" s="274"/>
      <c r="V683" s="274"/>
      <c r="AA683" s="153"/>
      <c r="AB683" s="153"/>
    </row>
    <row r="684" spans="3:28" ht="13.2">
      <c r="C684" s="10"/>
      <c r="D684" s="10"/>
      <c r="E684" s="273"/>
      <c r="U684" s="274"/>
      <c r="V684" s="274"/>
      <c r="AA684" s="153"/>
      <c r="AB684" s="153"/>
    </row>
    <row r="685" spans="3:28" ht="13.2">
      <c r="C685" s="10"/>
      <c r="D685" s="10"/>
      <c r="E685" s="273"/>
      <c r="U685" s="274"/>
      <c r="V685" s="274"/>
      <c r="AA685" s="153"/>
      <c r="AB685" s="153"/>
    </row>
    <row r="686" spans="3:28" ht="13.2">
      <c r="C686" s="10"/>
      <c r="D686" s="10"/>
      <c r="E686" s="273"/>
      <c r="U686" s="274"/>
      <c r="V686" s="274"/>
      <c r="AA686" s="153"/>
      <c r="AB686" s="153"/>
    </row>
    <row r="687" spans="3:28" ht="13.2">
      <c r="C687" s="10"/>
      <c r="D687" s="10"/>
      <c r="E687" s="273"/>
      <c r="U687" s="274"/>
      <c r="V687" s="274"/>
      <c r="AA687" s="153"/>
      <c r="AB687" s="153"/>
    </row>
    <row r="688" spans="3:28" ht="13.2">
      <c r="C688" s="10"/>
      <c r="D688" s="10"/>
      <c r="E688" s="273"/>
      <c r="U688" s="274"/>
      <c r="V688" s="274"/>
      <c r="AA688" s="153"/>
      <c r="AB688" s="153"/>
    </row>
    <row r="689" spans="3:28" ht="13.2">
      <c r="C689" s="10"/>
      <c r="D689" s="10"/>
      <c r="E689" s="273"/>
      <c r="U689" s="274"/>
      <c r="V689" s="274"/>
      <c r="AA689" s="153"/>
      <c r="AB689" s="153"/>
    </row>
    <row r="690" spans="3:28" ht="13.2">
      <c r="C690" s="10"/>
      <c r="D690" s="10"/>
      <c r="E690" s="273"/>
      <c r="U690" s="274"/>
      <c r="V690" s="274"/>
      <c r="AA690" s="153"/>
      <c r="AB690" s="153"/>
    </row>
    <row r="691" spans="3:28" ht="13.2">
      <c r="C691" s="10"/>
      <c r="D691" s="10"/>
      <c r="E691" s="273"/>
      <c r="U691" s="274"/>
      <c r="V691" s="274"/>
      <c r="AA691" s="153"/>
      <c r="AB691" s="153"/>
    </row>
    <row r="692" spans="3:28" ht="13.2">
      <c r="C692" s="10"/>
      <c r="D692" s="10"/>
      <c r="E692" s="273"/>
      <c r="U692" s="274"/>
      <c r="V692" s="274"/>
      <c r="AA692" s="153"/>
      <c r="AB692" s="153"/>
    </row>
    <row r="693" spans="3:28" ht="13.2">
      <c r="C693" s="10"/>
      <c r="D693" s="10"/>
      <c r="E693" s="273"/>
      <c r="U693" s="274"/>
      <c r="V693" s="274"/>
      <c r="AA693" s="153"/>
      <c r="AB693" s="153"/>
    </row>
    <row r="694" spans="3:28" ht="13.2">
      <c r="C694" s="10"/>
      <c r="D694" s="10"/>
      <c r="E694" s="273"/>
      <c r="U694" s="274"/>
      <c r="V694" s="274"/>
      <c r="AA694" s="153"/>
      <c r="AB694" s="153"/>
    </row>
    <row r="695" spans="3:28" ht="13.2">
      <c r="C695" s="10"/>
      <c r="D695" s="10"/>
      <c r="E695" s="273"/>
      <c r="U695" s="274"/>
      <c r="V695" s="274"/>
      <c r="AA695" s="153"/>
      <c r="AB695" s="153"/>
    </row>
    <row r="696" spans="3:28" ht="13.2">
      <c r="C696" s="10"/>
      <c r="D696" s="10"/>
      <c r="E696" s="273"/>
      <c r="U696" s="274"/>
      <c r="V696" s="274"/>
      <c r="AA696" s="153"/>
      <c r="AB696" s="153"/>
    </row>
    <row r="697" spans="3:28" ht="13.2">
      <c r="C697" s="10"/>
      <c r="D697" s="10"/>
      <c r="E697" s="273"/>
      <c r="U697" s="274"/>
      <c r="V697" s="274"/>
      <c r="AA697" s="153"/>
      <c r="AB697" s="153"/>
    </row>
    <row r="698" spans="3:28" ht="13.2">
      <c r="C698" s="10"/>
      <c r="D698" s="10"/>
      <c r="E698" s="273"/>
      <c r="U698" s="274"/>
      <c r="V698" s="274"/>
      <c r="AA698" s="153"/>
      <c r="AB698" s="153"/>
    </row>
    <row r="699" spans="3:28" ht="13.2">
      <c r="C699" s="10"/>
      <c r="D699" s="10"/>
      <c r="E699" s="273"/>
      <c r="U699" s="274"/>
      <c r="V699" s="274"/>
      <c r="AA699" s="153"/>
      <c r="AB699" s="153"/>
    </row>
    <row r="700" spans="3:28" ht="13.2">
      <c r="C700" s="10"/>
      <c r="D700" s="10"/>
      <c r="E700" s="273"/>
      <c r="U700" s="274"/>
      <c r="V700" s="274"/>
      <c r="AA700" s="153"/>
      <c r="AB700" s="153"/>
    </row>
    <row r="701" spans="3:28" ht="13.2">
      <c r="C701" s="10"/>
      <c r="D701" s="10"/>
      <c r="E701" s="273"/>
      <c r="U701" s="274"/>
      <c r="V701" s="274"/>
      <c r="AA701" s="153"/>
      <c r="AB701" s="153"/>
    </row>
    <row r="702" spans="3:28" ht="13.2">
      <c r="C702" s="10"/>
      <c r="D702" s="10"/>
      <c r="E702" s="273"/>
      <c r="U702" s="274"/>
      <c r="V702" s="274"/>
      <c r="AA702" s="153"/>
      <c r="AB702" s="153"/>
    </row>
    <row r="703" spans="3:28" ht="13.2">
      <c r="C703" s="10"/>
      <c r="D703" s="10"/>
      <c r="E703" s="273"/>
      <c r="U703" s="274"/>
      <c r="V703" s="274"/>
      <c r="AA703" s="153"/>
      <c r="AB703" s="153"/>
    </row>
    <row r="704" spans="3:28" ht="13.2">
      <c r="C704" s="10"/>
      <c r="D704" s="10"/>
      <c r="E704" s="273"/>
      <c r="U704" s="274"/>
      <c r="V704" s="274"/>
      <c r="AA704" s="153"/>
      <c r="AB704" s="153"/>
    </row>
    <row r="705" spans="3:28" ht="13.2">
      <c r="C705" s="10"/>
      <c r="D705" s="10"/>
      <c r="E705" s="273"/>
      <c r="U705" s="274"/>
      <c r="V705" s="274"/>
      <c r="AA705" s="153"/>
      <c r="AB705" s="153"/>
    </row>
    <row r="706" spans="3:28" ht="13.2">
      <c r="C706" s="10"/>
      <c r="D706" s="10"/>
      <c r="E706" s="273"/>
      <c r="U706" s="274"/>
      <c r="V706" s="274"/>
      <c r="AA706" s="153"/>
      <c r="AB706" s="153"/>
    </row>
    <row r="707" spans="3:28" ht="13.2">
      <c r="C707" s="10"/>
      <c r="D707" s="10"/>
      <c r="E707" s="273"/>
      <c r="U707" s="274"/>
      <c r="V707" s="274"/>
      <c r="AA707" s="153"/>
      <c r="AB707" s="153"/>
    </row>
    <row r="708" spans="3:28" ht="13.2">
      <c r="C708" s="10"/>
      <c r="D708" s="10"/>
      <c r="E708" s="273"/>
      <c r="U708" s="274"/>
      <c r="V708" s="274"/>
      <c r="AA708" s="153"/>
      <c r="AB708" s="153"/>
    </row>
    <row r="709" spans="3:28" ht="13.2">
      <c r="C709" s="10"/>
      <c r="D709" s="10"/>
      <c r="E709" s="273"/>
      <c r="U709" s="274"/>
      <c r="V709" s="274"/>
      <c r="AA709" s="153"/>
      <c r="AB709" s="153"/>
    </row>
    <row r="710" spans="3:28" ht="13.2">
      <c r="C710" s="10"/>
      <c r="D710" s="10"/>
      <c r="E710" s="273"/>
      <c r="U710" s="274"/>
      <c r="V710" s="274"/>
      <c r="AA710" s="153"/>
      <c r="AB710" s="153"/>
    </row>
    <row r="711" spans="3:28" ht="13.2">
      <c r="C711" s="10"/>
      <c r="D711" s="10"/>
      <c r="E711" s="273"/>
      <c r="U711" s="274"/>
      <c r="V711" s="274"/>
      <c r="AA711" s="153"/>
      <c r="AB711" s="153"/>
    </row>
    <row r="712" spans="3:28" ht="13.2">
      <c r="C712" s="10"/>
      <c r="D712" s="10"/>
      <c r="E712" s="273"/>
      <c r="U712" s="274"/>
      <c r="V712" s="274"/>
      <c r="AA712" s="153"/>
      <c r="AB712" s="153"/>
    </row>
    <row r="713" spans="3:28" ht="13.2">
      <c r="C713" s="10"/>
      <c r="D713" s="10"/>
      <c r="E713" s="273"/>
      <c r="U713" s="274"/>
      <c r="V713" s="274"/>
      <c r="AA713" s="153"/>
      <c r="AB713" s="153"/>
    </row>
    <row r="714" spans="3:28" ht="13.2">
      <c r="C714" s="10"/>
      <c r="D714" s="10"/>
      <c r="E714" s="273"/>
      <c r="U714" s="274"/>
      <c r="V714" s="274"/>
      <c r="AA714" s="153"/>
      <c r="AB714" s="153"/>
    </row>
    <row r="715" spans="3:28" ht="13.2">
      <c r="C715" s="10"/>
      <c r="D715" s="10"/>
      <c r="E715" s="273"/>
      <c r="U715" s="274"/>
      <c r="V715" s="274"/>
      <c r="AA715" s="153"/>
      <c r="AB715" s="153"/>
    </row>
    <row r="716" spans="3:28" ht="13.2">
      <c r="C716" s="10"/>
      <c r="D716" s="10"/>
      <c r="E716" s="273"/>
      <c r="U716" s="274"/>
      <c r="V716" s="274"/>
      <c r="AA716" s="153"/>
      <c r="AB716" s="153"/>
    </row>
    <row r="717" spans="3:28" ht="13.2">
      <c r="C717" s="10"/>
      <c r="D717" s="10"/>
      <c r="E717" s="273"/>
      <c r="U717" s="274"/>
      <c r="V717" s="274"/>
      <c r="AA717" s="153"/>
      <c r="AB717" s="153"/>
    </row>
    <row r="718" spans="3:28" ht="13.2">
      <c r="C718" s="10"/>
      <c r="D718" s="10"/>
      <c r="E718" s="273"/>
      <c r="U718" s="274"/>
      <c r="V718" s="274"/>
      <c r="AA718" s="153"/>
      <c r="AB718" s="153"/>
    </row>
    <row r="719" spans="3:28" ht="13.2">
      <c r="C719" s="10"/>
      <c r="D719" s="10"/>
      <c r="E719" s="273"/>
      <c r="U719" s="274"/>
      <c r="V719" s="274"/>
      <c r="AA719" s="153"/>
      <c r="AB719" s="153"/>
    </row>
    <row r="720" spans="3:28" ht="13.2">
      <c r="C720" s="10"/>
      <c r="D720" s="10"/>
      <c r="E720" s="273"/>
      <c r="U720" s="274"/>
      <c r="V720" s="274"/>
      <c r="AA720" s="153"/>
      <c r="AB720" s="153"/>
    </row>
    <row r="721" spans="3:28" ht="13.2">
      <c r="C721" s="10"/>
      <c r="D721" s="10"/>
      <c r="E721" s="273"/>
      <c r="U721" s="274"/>
      <c r="V721" s="274"/>
      <c r="AA721" s="153"/>
      <c r="AB721" s="153"/>
    </row>
    <row r="722" spans="3:28" ht="13.2">
      <c r="C722" s="10"/>
      <c r="D722" s="10"/>
      <c r="E722" s="273"/>
      <c r="U722" s="274"/>
      <c r="V722" s="274"/>
      <c r="AA722" s="153"/>
      <c r="AB722" s="153"/>
    </row>
    <row r="723" spans="3:28" ht="13.2">
      <c r="C723" s="10"/>
      <c r="D723" s="10"/>
      <c r="E723" s="273"/>
      <c r="U723" s="274"/>
      <c r="V723" s="274"/>
      <c r="AA723" s="153"/>
      <c r="AB723" s="153"/>
    </row>
    <row r="724" spans="3:28" ht="13.2">
      <c r="C724" s="10"/>
      <c r="D724" s="10"/>
      <c r="E724" s="273"/>
      <c r="U724" s="274"/>
      <c r="V724" s="274"/>
      <c r="AA724" s="153"/>
      <c r="AB724" s="153"/>
    </row>
    <row r="725" spans="3:28" ht="13.2">
      <c r="C725" s="10"/>
      <c r="D725" s="10"/>
      <c r="E725" s="273"/>
      <c r="U725" s="274"/>
      <c r="V725" s="274"/>
      <c r="AA725" s="153"/>
      <c r="AB725" s="153"/>
    </row>
    <row r="726" spans="3:28" ht="13.2">
      <c r="C726" s="10"/>
      <c r="D726" s="10"/>
      <c r="E726" s="273"/>
      <c r="U726" s="274"/>
      <c r="V726" s="274"/>
      <c r="AA726" s="153"/>
      <c r="AB726" s="153"/>
    </row>
    <row r="727" spans="3:28" ht="13.2">
      <c r="C727" s="10"/>
      <c r="D727" s="10"/>
      <c r="E727" s="273"/>
      <c r="U727" s="274"/>
      <c r="V727" s="274"/>
      <c r="AA727" s="153"/>
      <c r="AB727" s="153"/>
    </row>
    <row r="728" spans="3:28" ht="13.2">
      <c r="C728" s="10"/>
      <c r="D728" s="10"/>
      <c r="E728" s="273"/>
      <c r="U728" s="274"/>
      <c r="V728" s="274"/>
      <c r="AA728" s="153"/>
      <c r="AB728" s="153"/>
    </row>
    <row r="729" spans="3:28" ht="13.2">
      <c r="C729" s="10"/>
      <c r="D729" s="10"/>
      <c r="E729" s="273"/>
      <c r="U729" s="274"/>
      <c r="V729" s="274"/>
      <c r="AA729" s="153"/>
      <c r="AB729" s="153"/>
    </row>
    <row r="730" spans="3:28" ht="13.2">
      <c r="C730" s="10"/>
      <c r="D730" s="10"/>
      <c r="E730" s="273"/>
      <c r="U730" s="274"/>
      <c r="V730" s="274"/>
      <c r="AA730" s="153"/>
      <c r="AB730" s="153"/>
    </row>
    <row r="731" spans="3:28" ht="13.2">
      <c r="C731" s="10"/>
      <c r="D731" s="10"/>
      <c r="E731" s="273"/>
      <c r="U731" s="274"/>
      <c r="V731" s="274"/>
      <c r="AA731" s="153"/>
      <c r="AB731" s="153"/>
    </row>
    <row r="732" spans="3:28" ht="13.2">
      <c r="C732" s="10"/>
      <c r="D732" s="10"/>
      <c r="E732" s="273"/>
      <c r="U732" s="274"/>
      <c r="V732" s="274"/>
      <c r="AA732" s="153"/>
      <c r="AB732" s="153"/>
    </row>
    <row r="733" spans="3:28" ht="13.2">
      <c r="C733" s="10"/>
      <c r="D733" s="10"/>
      <c r="E733" s="273"/>
      <c r="U733" s="274"/>
      <c r="V733" s="274"/>
      <c r="AA733" s="153"/>
      <c r="AB733" s="153"/>
    </row>
    <row r="734" spans="3:28" ht="13.2">
      <c r="C734" s="10"/>
      <c r="D734" s="10"/>
      <c r="E734" s="273"/>
      <c r="U734" s="274"/>
      <c r="V734" s="274"/>
      <c r="AA734" s="153"/>
      <c r="AB734" s="153"/>
    </row>
    <row r="735" spans="3:28" ht="13.2">
      <c r="C735" s="10"/>
      <c r="D735" s="10"/>
      <c r="E735" s="273"/>
      <c r="U735" s="274"/>
      <c r="V735" s="274"/>
      <c r="AA735" s="153"/>
      <c r="AB735" s="153"/>
    </row>
    <row r="736" spans="3:28" ht="13.2">
      <c r="C736" s="10"/>
      <c r="D736" s="10"/>
      <c r="E736" s="273"/>
      <c r="U736" s="274"/>
      <c r="V736" s="274"/>
      <c r="AA736" s="153"/>
      <c r="AB736" s="153"/>
    </row>
    <row r="737" spans="3:28" ht="13.2">
      <c r="C737" s="10"/>
      <c r="D737" s="10"/>
      <c r="E737" s="273"/>
      <c r="U737" s="274"/>
      <c r="V737" s="274"/>
      <c r="AA737" s="153"/>
      <c r="AB737" s="153"/>
    </row>
    <row r="738" spans="3:28" ht="13.2">
      <c r="C738" s="10"/>
      <c r="D738" s="10"/>
      <c r="E738" s="273"/>
      <c r="U738" s="274"/>
      <c r="V738" s="274"/>
      <c r="AA738" s="153"/>
      <c r="AB738" s="153"/>
    </row>
    <row r="739" spans="3:28" ht="13.2">
      <c r="C739" s="10"/>
      <c r="D739" s="10"/>
      <c r="E739" s="273"/>
      <c r="U739" s="274"/>
      <c r="V739" s="274"/>
      <c r="AA739" s="153"/>
      <c r="AB739" s="153"/>
    </row>
    <row r="740" spans="3:28" ht="13.2">
      <c r="C740" s="10"/>
      <c r="D740" s="10"/>
      <c r="E740" s="273"/>
      <c r="U740" s="274"/>
      <c r="V740" s="274"/>
      <c r="AA740" s="153"/>
      <c r="AB740" s="153"/>
    </row>
    <row r="741" spans="3:28" ht="13.2">
      <c r="C741" s="10"/>
      <c r="D741" s="10"/>
      <c r="E741" s="273"/>
      <c r="U741" s="274"/>
      <c r="V741" s="274"/>
      <c r="AA741" s="153"/>
      <c r="AB741" s="153"/>
    </row>
    <row r="742" spans="3:28" ht="13.2">
      <c r="C742" s="10"/>
      <c r="D742" s="10"/>
      <c r="E742" s="273"/>
      <c r="U742" s="274"/>
      <c r="V742" s="274"/>
      <c r="AA742" s="153"/>
      <c r="AB742" s="153"/>
    </row>
    <row r="743" spans="3:28" ht="13.2">
      <c r="C743" s="10"/>
      <c r="D743" s="10"/>
      <c r="E743" s="273"/>
      <c r="U743" s="274"/>
      <c r="V743" s="274"/>
      <c r="AA743" s="153"/>
      <c r="AB743" s="153"/>
    </row>
    <row r="744" spans="3:28" ht="13.2">
      <c r="C744" s="10"/>
      <c r="D744" s="10"/>
      <c r="E744" s="273"/>
      <c r="U744" s="274"/>
      <c r="V744" s="274"/>
      <c r="AA744" s="153"/>
      <c r="AB744" s="153"/>
    </row>
    <row r="745" spans="3:28" ht="13.2">
      <c r="C745" s="10"/>
      <c r="D745" s="10"/>
      <c r="E745" s="273"/>
      <c r="U745" s="274"/>
      <c r="V745" s="274"/>
      <c r="AA745" s="153"/>
      <c r="AB745" s="153"/>
    </row>
    <row r="746" spans="3:28" ht="13.2">
      <c r="C746" s="10"/>
      <c r="D746" s="10"/>
      <c r="E746" s="273"/>
      <c r="U746" s="274"/>
      <c r="V746" s="274"/>
      <c r="AA746" s="153"/>
      <c r="AB746" s="153"/>
    </row>
    <row r="747" spans="3:28" ht="13.2">
      <c r="C747" s="10"/>
      <c r="D747" s="10"/>
      <c r="E747" s="273"/>
      <c r="U747" s="274"/>
      <c r="V747" s="274"/>
      <c r="AA747" s="153"/>
      <c r="AB747" s="153"/>
    </row>
    <row r="748" spans="3:28" ht="13.2">
      <c r="C748" s="10"/>
      <c r="D748" s="10"/>
      <c r="E748" s="273"/>
      <c r="U748" s="274"/>
      <c r="V748" s="274"/>
      <c r="AA748" s="153"/>
      <c r="AB748" s="153"/>
    </row>
    <row r="749" spans="3:28" ht="13.2">
      <c r="C749" s="10"/>
      <c r="D749" s="10"/>
      <c r="E749" s="273"/>
      <c r="U749" s="274"/>
      <c r="V749" s="274"/>
      <c r="AA749" s="153"/>
      <c r="AB749" s="153"/>
    </row>
    <row r="750" spans="3:28" ht="13.2">
      <c r="C750" s="10"/>
      <c r="D750" s="10"/>
      <c r="E750" s="273"/>
      <c r="U750" s="274"/>
      <c r="V750" s="274"/>
      <c r="AA750" s="153"/>
      <c r="AB750" s="153"/>
    </row>
    <row r="751" spans="3:28" ht="13.2">
      <c r="C751" s="10"/>
      <c r="D751" s="10"/>
      <c r="E751" s="273"/>
      <c r="U751" s="274"/>
      <c r="V751" s="274"/>
      <c r="AA751" s="153"/>
      <c r="AB751" s="153"/>
    </row>
    <row r="752" spans="3:28" ht="13.2">
      <c r="C752" s="10"/>
      <c r="D752" s="10"/>
      <c r="E752" s="273"/>
      <c r="U752" s="274"/>
      <c r="V752" s="274"/>
      <c r="AA752" s="153"/>
      <c r="AB752" s="153"/>
    </row>
    <row r="753" spans="3:28" ht="13.2">
      <c r="C753" s="10"/>
      <c r="D753" s="10"/>
      <c r="E753" s="273"/>
      <c r="U753" s="274"/>
      <c r="V753" s="274"/>
      <c r="AA753" s="153"/>
      <c r="AB753" s="153"/>
    </row>
    <row r="754" spans="3:28" ht="13.2">
      <c r="C754" s="10"/>
      <c r="D754" s="10"/>
      <c r="E754" s="273"/>
      <c r="U754" s="274"/>
      <c r="V754" s="274"/>
      <c r="AA754" s="153"/>
      <c r="AB754" s="153"/>
    </row>
    <row r="755" spans="3:28" ht="13.2">
      <c r="C755" s="10"/>
      <c r="D755" s="10"/>
      <c r="E755" s="273"/>
      <c r="U755" s="274"/>
      <c r="V755" s="274"/>
      <c r="AA755" s="153"/>
      <c r="AB755" s="153"/>
    </row>
    <row r="756" spans="3:28" ht="13.2">
      <c r="C756" s="10"/>
      <c r="D756" s="10"/>
      <c r="E756" s="273"/>
      <c r="U756" s="274"/>
      <c r="V756" s="274"/>
      <c r="AA756" s="153"/>
      <c r="AB756" s="153"/>
    </row>
    <row r="757" spans="3:28" ht="13.2">
      <c r="C757" s="10"/>
      <c r="D757" s="10"/>
      <c r="E757" s="273"/>
      <c r="U757" s="274"/>
      <c r="V757" s="274"/>
      <c r="AA757" s="153"/>
      <c r="AB757" s="153"/>
    </row>
    <row r="758" spans="3:28" ht="13.2">
      <c r="C758" s="10"/>
      <c r="D758" s="10"/>
      <c r="E758" s="273"/>
      <c r="U758" s="274"/>
      <c r="V758" s="274"/>
      <c r="AA758" s="153"/>
      <c r="AB758" s="153"/>
    </row>
    <row r="759" spans="3:28" ht="13.2">
      <c r="C759" s="10"/>
      <c r="D759" s="10"/>
      <c r="E759" s="273"/>
      <c r="U759" s="274"/>
      <c r="V759" s="274"/>
      <c r="AA759" s="153"/>
      <c r="AB759" s="153"/>
    </row>
    <row r="760" spans="3:28" ht="13.2">
      <c r="C760" s="10"/>
      <c r="D760" s="10"/>
      <c r="E760" s="273"/>
      <c r="U760" s="274"/>
      <c r="V760" s="274"/>
      <c r="AA760" s="153"/>
      <c r="AB760" s="153"/>
    </row>
    <row r="761" spans="3:28" ht="13.2">
      <c r="C761" s="10"/>
      <c r="D761" s="10"/>
      <c r="E761" s="273"/>
      <c r="U761" s="274"/>
      <c r="V761" s="274"/>
      <c r="AA761" s="153"/>
      <c r="AB761" s="153"/>
    </row>
    <row r="762" spans="3:28" ht="13.2">
      <c r="C762" s="10"/>
      <c r="D762" s="10"/>
      <c r="E762" s="273"/>
      <c r="U762" s="274"/>
      <c r="V762" s="274"/>
      <c r="AA762" s="153"/>
      <c r="AB762" s="153"/>
    </row>
    <row r="763" spans="3:28" ht="13.2">
      <c r="C763" s="10"/>
      <c r="D763" s="10"/>
      <c r="E763" s="273"/>
      <c r="U763" s="274"/>
      <c r="V763" s="274"/>
      <c r="AA763" s="153"/>
      <c r="AB763" s="153"/>
    </row>
    <row r="764" spans="3:28" ht="13.2">
      <c r="C764" s="10"/>
      <c r="D764" s="10"/>
      <c r="E764" s="273"/>
      <c r="U764" s="274"/>
      <c r="V764" s="274"/>
      <c r="AA764" s="153"/>
      <c r="AB764" s="153"/>
    </row>
    <row r="765" spans="3:28" ht="13.2">
      <c r="C765" s="10"/>
      <c r="D765" s="10"/>
      <c r="E765" s="273"/>
      <c r="U765" s="274"/>
      <c r="V765" s="274"/>
      <c r="AA765" s="153"/>
      <c r="AB765" s="153"/>
    </row>
    <row r="766" spans="3:28" ht="13.2">
      <c r="C766" s="10"/>
      <c r="D766" s="10"/>
      <c r="E766" s="273"/>
      <c r="U766" s="274"/>
      <c r="V766" s="274"/>
      <c r="AA766" s="153"/>
      <c r="AB766" s="153"/>
    </row>
    <row r="767" spans="3:28" ht="13.2">
      <c r="C767" s="10"/>
      <c r="D767" s="10"/>
      <c r="E767" s="273"/>
      <c r="U767" s="274"/>
      <c r="V767" s="274"/>
      <c r="AA767" s="153"/>
      <c r="AB767" s="153"/>
    </row>
    <row r="768" spans="3:28" ht="13.2">
      <c r="C768" s="10"/>
      <c r="D768" s="10"/>
      <c r="E768" s="273"/>
      <c r="U768" s="274"/>
      <c r="V768" s="274"/>
      <c r="AA768" s="153"/>
      <c r="AB768" s="153"/>
    </row>
    <row r="769" spans="3:28" ht="13.2">
      <c r="C769" s="10"/>
      <c r="D769" s="10"/>
      <c r="E769" s="273"/>
      <c r="U769" s="274"/>
      <c r="V769" s="274"/>
      <c r="AA769" s="153"/>
      <c r="AB769" s="153"/>
    </row>
    <row r="770" spans="3:28" ht="13.2">
      <c r="C770" s="10"/>
      <c r="D770" s="10"/>
      <c r="E770" s="273"/>
      <c r="U770" s="274"/>
      <c r="V770" s="274"/>
      <c r="AA770" s="153"/>
      <c r="AB770" s="153"/>
    </row>
    <row r="771" spans="3:28" ht="13.2">
      <c r="C771" s="10"/>
      <c r="D771" s="10"/>
      <c r="E771" s="273"/>
      <c r="U771" s="274"/>
      <c r="V771" s="274"/>
      <c r="AA771" s="153"/>
      <c r="AB771" s="153"/>
    </row>
    <row r="772" spans="3:28" ht="13.2">
      <c r="C772" s="10"/>
      <c r="D772" s="10"/>
      <c r="E772" s="273"/>
      <c r="U772" s="274"/>
      <c r="V772" s="274"/>
      <c r="AA772" s="153"/>
      <c r="AB772" s="153"/>
    </row>
    <row r="773" spans="3:28" ht="13.2">
      <c r="C773" s="10"/>
      <c r="D773" s="10"/>
      <c r="E773" s="273"/>
      <c r="U773" s="274"/>
      <c r="V773" s="274"/>
      <c r="AA773" s="153"/>
      <c r="AB773" s="153"/>
    </row>
    <row r="774" spans="3:28" ht="13.2">
      <c r="C774" s="10"/>
      <c r="D774" s="10"/>
      <c r="E774" s="273"/>
      <c r="U774" s="274"/>
      <c r="V774" s="274"/>
      <c r="AA774" s="153"/>
      <c r="AB774" s="153"/>
    </row>
    <row r="775" spans="3:28" ht="13.2">
      <c r="C775" s="10"/>
      <c r="D775" s="10"/>
      <c r="E775" s="273"/>
      <c r="U775" s="274"/>
      <c r="V775" s="274"/>
      <c r="AA775" s="153"/>
      <c r="AB775" s="153"/>
    </row>
    <row r="776" spans="3:28" ht="13.2">
      <c r="C776" s="10"/>
      <c r="D776" s="10"/>
      <c r="E776" s="273"/>
      <c r="U776" s="274"/>
      <c r="V776" s="274"/>
      <c r="AA776" s="153"/>
      <c r="AB776" s="153"/>
    </row>
    <row r="777" spans="3:28" ht="13.2">
      <c r="C777" s="10"/>
      <c r="D777" s="10"/>
      <c r="E777" s="273"/>
      <c r="U777" s="274"/>
      <c r="V777" s="274"/>
      <c r="AA777" s="153"/>
      <c r="AB777" s="153"/>
    </row>
    <row r="778" spans="3:28" ht="13.2">
      <c r="C778" s="10"/>
      <c r="D778" s="10"/>
      <c r="E778" s="273"/>
      <c r="U778" s="274"/>
      <c r="V778" s="274"/>
      <c r="AA778" s="153"/>
      <c r="AB778" s="153"/>
    </row>
    <row r="779" spans="3:28" ht="13.2">
      <c r="C779" s="10"/>
      <c r="D779" s="10"/>
      <c r="E779" s="273"/>
      <c r="U779" s="274"/>
      <c r="V779" s="274"/>
      <c r="AA779" s="153"/>
      <c r="AB779" s="153"/>
    </row>
    <row r="780" spans="3:28" ht="13.2">
      <c r="C780" s="10"/>
      <c r="D780" s="10"/>
      <c r="E780" s="273"/>
      <c r="U780" s="274"/>
      <c r="V780" s="274"/>
      <c r="AA780" s="153"/>
      <c r="AB780" s="153"/>
    </row>
    <row r="781" spans="3:28" ht="13.2">
      <c r="C781" s="10"/>
      <c r="D781" s="10"/>
      <c r="E781" s="273"/>
      <c r="U781" s="274"/>
      <c r="V781" s="274"/>
      <c r="AA781" s="153"/>
      <c r="AB781" s="153"/>
    </row>
    <row r="782" spans="3:28" ht="13.2">
      <c r="C782" s="10"/>
      <c r="D782" s="10"/>
      <c r="E782" s="273"/>
      <c r="U782" s="274"/>
      <c r="V782" s="274"/>
      <c r="AA782" s="153"/>
      <c r="AB782" s="153"/>
    </row>
    <row r="783" spans="3:28" ht="13.2">
      <c r="C783" s="10"/>
      <c r="D783" s="10"/>
      <c r="E783" s="273"/>
      <c r="U783" s="274"/>
      <c r="V783" s="274"/>
      <c r="AA783" s="153"/>
      <c r="AB783" s="153"/>
    </row>
    <row r="784" spans="3:28" ht="13.2">
      <c r="C784" s="10"/>
      <c r="D784" s="10"/>
      <c r="E784" s="273"/>
      <c r="U784" s="274"/>
      <c r="V784" s="274"/>
      <c r="AA784" s="153"/>
      <c r="AB784" s="153"/>
    </row>
    <row r="785" spans="3:28" ht="13.2">
      <c r="C785" s="10"/>
      <c r="D785" s="10"/>
      <c r="E785" s="273"/>
      <c r="U785" s="274"/>
      <c r="V785" s="274"/>
      <c r="AA785" s="153"/>
      <c r="AB785" s="153"/>
    </row>
    <row r="786" spans="3:28" ht="13.2">
      <c r="C786" s="10"/>
      <c r="D786" s="10"/>
      <c r="E786" s="273"/>
      <c r="U786" s="274"/>
      <c r="V786" s="274"/>
      <c r="AA786" s="153"/>
      <c r="AB786" s="153"/>
    </row>
    <row r="787" spans="3:28" ht="13.2">
      <c r="C787" s="10"/>
      <c r="D787" s="10"/>
      <c r="E787" s="273"/>
      <c r="U787" s="274"/>
      <c r="V787" s="274"/>
      <c r="AA787" s="153"/>
      <c r="AB787" s="153"/>
    </row>
    <row r="788" spans="3:28" ht="13.2">
      <c r="C788" s="10"/>
      <c r="D788" s="10"/>
      <c r="E788" s="273"/>
      <c r="U788" s="274"/>
      <c r="V788" s="274"/>
      <c r="AA788" s="153"/>
      <c r="AB788" s="153"/>
    </row>
    <row r="789" spans="3:28" ht="13.2">
      <c r="C789" s="10"/>
      <c r="D789" s="10"/>
      <c r="E789" s="273"/>
      <c r="U789" s="274"/>
      <c r="V789" s="274"/>
      <c r="AA789" s="153"/>
      <c r="AB789" s="153"/>
    </row>
    <row r="790" spans="3:28" ht="13.2">
      <c r="C790" s="10"/>
      <c r="D790" s="10"/>
      <c r="E790" s="273"/>
      <c r="U790" s="274"/>
      <c r="V790" s="274"/>
      <c r="AA790" s="153"/>
      <c r="AB790" s="153"/>
    </row>
    <row r="791" spans="3:28" ht="13.2">
      <c r="C791" s="10"/>
      <c r="D791" s="10"/>
      <c r="E791" s="273"/>
      <c r="U791" s="274"/>
      <c r="V791" s="274"/>
      <c r="AA791" s="153"/>
      <c r="AB791" s="153"/>
    </row>
    <row r="792" spans="3:28" ht="13.2">
      <c r="C792" s="10"/>
      <c r="D792" s="10"/>
      <c r="E792" s="273"/>
      <c r="U792" s="274"/>
      <c r="V792" s="274"/>
      <c r="AA792" s="153"/>
      <c r="AB792" s="153"/>
    </row>
    <row r="793" spans="3:28" ht="13.2">
      <c r="C793" s="10"/>
      <c r="D793" s="10"/>
      <c r="E793" s="273"/>
      <c r="U793" s="274"/>
      <c r="V793" s="274"/>
      <c r="AA793" s="153"/>
      <c r="AB793" s="153"/>
    </row>
    <row r="794" spans="3:28" ht="13.2">
      <c r="C794" s="10"/>
      <c r="D794" s="10"/>
      <c r="E794" s="273"/>
      <c r="U794" s="274"/>
      <c r="V794" s="274"/>
      <c r="AA794" s="153"/>
      <c r="AB794" s="153"/>
    </row>
    <row r="795" spans="3:28" ht="13.2">
      <c r="C795" s="10"/>
      <c r="D795" s="10"/>
      <c r="E795" s="273"/>
      <c r="U795" s="274"/>
      <c r="V795" s="274"/>
      <c r="AA795" s="153"/>
      <c r="AB795" s="153"/>
    </row>
    <row r="796" spans="3:28" ht="13.2">
      <c r="C796" s="10"/>
      <c r="D796" s="10"/>
      <c r="E796" s="273"/>
      <c r="U796" s="274"/>
      <c r="V796" s="274"/>
      <c r="AA796" s="153"/>
      <c r="AB796" s="153"/>
    </row>
    <row r="797" spans="3:28" ht="13.2">
      <c r="C797" s="10"/>
      <c r="D797" s="10"/>
      <c r="E797" s="273"/>
      <c r="U797" s="274"/>
      <c r="V797" s="274"/>
      <c r="AA797" s="153"/>
      <c r="AB797" s="153"/>
    </row>
    <row r="798" spans="3:28" ht="13.2">
      <c r="C798" s="10"/>
      <c r="D798" s="10"/>
      <c r="E798" s="273"/>
      <c r="U798" s="274"/>
      <c r="V798" s="274"/>
      <c r="AA798" s="153"/>
      <c r="AB798" s="153"/>
    </row>
    <row r="799" spans="3:28" ht="13.2">
      <c r="C799" s="10"/>
      <c r="D799" s="10"/>
      <c r="E799" s="273"/>
      <c r="U799" s="274"/>
      <c r="V799" s="274"/>
      <c r="AA799" s="153"/>
      <c r="AB799" s="153"/>
    </row>
    <row r="800" spans="3:28" ht="13.2">
      <c r="C800" s="10"/>
      <c r="D800" s="10"/>
      <c r="E800" s="273"/>
      <c r="U800" s="274"/>
      <c r="V800" s="274"/>
      <c r="AA800" s="153"/>
      <c r="AB800" s="153"/>
    </row>
    <row r="801" spans="3:28" ht="13.2">
      <c r="C801" s="10"/>
      <c r="D801" s="10"/>
      <c r="E801" s="273"/>
      <c r="U801" s="274"/>
      <c r="V801" s="274"/>
      <c r="AA801" s="153"/>
      <c r="AB801" s="153"/>
    </row>
    <row r="802" spans="3:28" ht="13.2">
      <c r="C802" s="10"/>
      <c r="D802" s="10"/>
      <c r="E802" s="273"/>
      <c r="U802" s="274"/>
      <c r="V802" s="274"/>
      <c r="AA802" s="153"/>
      <c r="AB802" s="153"/>
    </row>
    <row r="803" spans="3:28" ht="13.2">
      <c r="C803" s="10"/>
      <c r="D803" s="10"/>
      <c r="E803" s="273"/>
      <c r="U803" s="274"/>
      <c r="V803" s="274"/>
      <c r="AA803" s="153"/>
      <c r="AB803" s="153"/>
    </row>
    <row r="804" spans="3:28" ht="13.2">
      <c r="C804" s="10"/>
      <c r="D804" s="10"/>
      <c r="E804" s="273"/>
      <c r="U804" s="274"/>
      <c r="V804" s="274"/>
      <c r="AA804" s="153"/>
      <c r="AB804" s="153"/>
    </row>
    <row r="805" spans="3:28" ht="13.2">
      <c r="C805" s="10"/>
      <c r="D805" s="10"/>
      <c r="E805" s="273"/>
      <c r="U805" s="274"/>
      <c r="V805" s="274"/>
      <c r="AA805" s="153"/>
      <c r="AB805" s="153"/>
    </row>
    <row r="806" spans="3:28" ht="13.2">
      <c r="C806" s="10"/>
      <c r="D806" s="10"/>
      <c r="E806" s="273"/>
      <c r="U806" s="274"/>
      <c r="V806" s="274"/>
      <c r="AA806" s="153"/>
      <c r="AB806" s="153"/>
    </row>
    <row r="807" spans="3:28" ht="13.2">
      <c r="C807" s="10"/>
      <c r="D807" s="10"/>
      <c r="E807" s="273"/>
      <c r="U807" s="274"/>
      <c r="V807" s="274"/>
      <c r="AA807" s="153"/>
      <c r="AB807" s="153"/>
    </row>
    <row r="808" spans="3:28" ht="13.2">
      <c r="C808" s="10"/>
      <c r="D808" s="10"/>
      <c r="E808" s="273"/>
      <c r="U808" s="274"/>
      <c r="V808" s="274"/>
      <c r="AA808" s="153"/>
      <c r="AB808" s="153"/>
    </row>
    <row r="809" spans="3:28" ht="13.2">
      <c r="C809" s="10"/>
      <c r="D809" s="10"/>
      <c r="E809" s="273"/>
      <c r="U809" s="274"/>
      <c r="V809" s="274"/>
      <c r="AA809" s="153"/>
      <c r="AB809" s="153"/>
    </row>
    <row r="810" spans="3:28" ht="13.2">
      <c r="C810" s="10"/>
      <c r="D810" s="10"/>
      <c r="E810" s="273"/>
      <c r="U810" s="274"/>
      <c r="V810" s="274"/>
      <c r="AA810" s="153"/>
      <c r="AB810" s="153"/>
    </row>
    <row r="811" spans="3:28" ht="13.2">
      <c r="C811" s="10"/>
      <c r="D811" s="10"/>
      <c r="E811" s="273"/>
      <c r="U811" s="274"/>
      <c r="V811" s="274"/>
      <c r="AA811" s="153"/>
      <c r="AB811" s="153"/>
    </row>
    <row r="812" spans="3:28" ht="13.2">
      <c r="C812" s="10"/>
      <c r="D812" s="10"/>
      <c r="E812" s="273"/>
      <c r="U812" s="274"/>
      <c r="V812" s="274"/>
      <c r="AA812" s="153"/>
      <c r="AB812" s="153"/>
    </row>
    <row r="813" spans="3:28" ht="13.2">
      <c r="C813" s="10"/>
      <c r="D813" s="10"/>
      <c r="E813" s="273"/>
      <c r="U813" s="274"/>
      <c r="V813" s="274"/>
      <c r="AA813" s="153"/>
      <c r="AB813" s="153"/>
    </row>
    <row r="814" spans="3:28" ht="13.2">
      <c r="C814" s="10"/>
      <c r="D814" s="10"/>
      <c r="E814" s="273"/>
      <c r="U814" s="274"/>
      <c r="V814" s="274"/>
      <c r="AA814" s="153"/>
      <c r="AB814" s="153"/>
    </row>
    <row r="815" spans="3:28" ht="13.2">
      <c r="C815" s="10"/>
      <c r="D815" s="10"/>
      <c r="E815" s="273"/>
      <c r="U815" s="274"/>
      <c r="V815" s="274"/>
      <c r="AA815" s="153"/>
      <c r="AB815" s="153"/>
    </row>
    <row r="816" spans="3:28" ht="13.2">
      <c r="C816" s="10"/>
      <c r="D816" s="10"/>
      <c r="E816" s="273"/>
      <c r="U816" s="274"/>
      <c r="V816" s="274"/>
      <c r="AA816" s="153"/>
      <c r="AB816" s="153"/>
    </row>
    <row r="817" spans="3:28" ht="13.2">
      <c r="C817" s="10"/>
      <c r="D817" s="10"/>
      <c r="E817" s="273"/>
      <c r="U817" s="274"/>
      <c r="V817" s="274"/>
      <c r="AA817" s="153"/>
      <c r="AB817" s="153"/>
    </row>
    <row r="818" spans="3:28" ht="13.2">
      <c r="C818" s="10"/>
      <c r="D818" s="10"/>
      <c r="E818" s="273"/>
      <c r="U818" s="274"/>
      <c r="V818" s="274"/>
      <c r="AA818" s="153"/>
      <c r="AB818" s="153"/>
    </row>
    <row r="819" spans="3:28" ht="13.2">
      <c r="C819" s="10"/>
      <c r="D819" s="10"/>
      <c r="E819" s="273"/>
      <c r="U819" s="274"/>
      <c r="V819" s="274"/>
      <c r="AA819" s="153"/>
      <c r="AB819" s="153"/>
    </row>
    <row r="820" spans="3:28" ht="13.2">
      <c r="C820" s="10"/>
      <c r="D820" s="10"/>
      <c r="E820" s="273"/>
      <c r="U820" s="274"/>
      <c r="V820" s="274"/>
      <c r="AA820" s="153"/>
      <c r="AB820" s="153"/>
    </row>
    <row r="821" spans="3:28" ht="13.2">
      <c r="C821" s="10"/>
      <c r="D821" s="10"/>
      <c r="E821" s="273"/>
      <c r="U821" s="274"/>
      <c r="V821" s="274"/>
      <c r="AA821" s="153"/>
      <c r="AB821" s="153"/>
    </row>
    <row r="822" spans="3:28" ht="13.2">
      <c r="C822" s="10"/>
      <c r="D822" s="10"/>
      <c r="E822" s="273"/>
      <c r="U822" s="274"/>
      <c r="V822" s="274"/>
      <c r="AA822" s="153"/>
      <c r="AB822" s="153"/>
    </row>
    <row r="823" spans="3:28" ht="13.2">
      <c r="C823" s="10"/>
      <c r="D823" s="10"/>
      <c r="E823" s="273"/>
      <c r="U823" s="274"/>
      <c r="V823" s="274"/>
      <c r="AA823" s="153"/>
      <c r="AB823" s="153"/>
    </row>
    <row r="824" spans="3:28" ht="13.2">
      <c r="C824" s="10"/>
      <c r="D824" s="10"/>
      <c r="E824" s="273"/>
      <c r="U824" s="274"/>
      <c r="V824" s="274"/>
      <c r="AA824" s="153"/>
      <c r="AB824" s="153"/>
    </row>
    <row r="825" spans="3:28" ht="13.2">
      <c r="C825" s="10"/>
      <c r="D825" s="10"/>
      <c r="E825" s="273"/>
      <c r="U825" s="274"/>
      <c r="V825" s="274"/>
      <c r="AA825" s="153"/>
      <c r="AB825" s="153"/>
    </row>
    <row r="826" spans="3:28" ht="13.2">
      <c r="C826" s="10"/>
      <c r="D826" s="10"/>
      <c r="E826" s="273"/>
      <c r="U826" s="274"/>
      <c r="V826" s="274"/>
      <c r="AA826" s="153"/>
      <c r="AB826" s="153"/>
    </row>
    <row r="827" spans="3:28" ht="13.2">
      <c r="C827" s="10"/>
      <c r="D827" s="10"/>
      <c r="E827" s="273"/>
      <c r="U827" s="274"/>
      <c r="V827" s="274"/>
      <c r="AA827" s="153"/>
      <c r="AB827" s="153"/>
    </row>
    <row r="828" spans="3:28" ht="13.2">
      <c r="C828" s="10"/>
      <c r="D828" s="10"/>
      <c r="E828" s="273"/>
      <c r="U828" s="274"/>
      <c r="V828" s="274"/>
      <c r="AA828" s="153"/>
      <c r="AB828" s="153"/>
    </row>
    <row r="829" spans="3:28" ht="13.2">
      <c r="C829" s="10"/>
      <c r="D829" s="10"/>
      <c r="E829" s="273"/>
      <c r="U829" s="274"/>
      <c r="V829" s="274"/>
      <c r="AA829" s="153"/>
      <c r="AB829" s="153"/>
    </row>
    <row r="830" spans="3:28" ht="13.2">
      <c r="C830" s="10"/>
      <c r="D830" s="10"/>
      <c r="E830" s="273"/>
      <c r="U830" s="274"/>
      <c r="V830" s="274"/>
      <c r="AA830" s="153"/>
      <c r="AB830" s="153"/>
    </row>
    <row r="831" spans="3:28" ht="13.2">
      <c r="C831" s="10"/>
      <c r="D831" s="10"/>
      <c r="E831" s="273"/>
      <c r="U831" s="274"/>
      <c r="V831" s="274"/>
      <c r="AA831" s="153"/>
      <c r="AB831" s="153"/>
    </row>
    <row r="832" spans="3:28" ht="13.2">
      <c r="C832" s="10"/>
      <c r="D832" s="10"/>
      <c r="E832" s="273"/>
      <c r="U832" s="274"/>
      <c r="V832" s="274"/>
      <c r="AA832" s="153"/>
      <c r="AB832" s="153"/>
    </row>
    <row r="833" spans="3:28" ht="13.2">
      <c r="C833" s="10"/>
      <c r="D833" s="10"/>
      <c r="E833" s="273"/>
      <c r="U833" s="274"/>
      <c r="V833" s="274"/>
      <c r="AA833" s="153"/>
      <c r="AB833" s="153"/>
    </row>
    <row r="834" spans="3:28" ht="13.2">
      <c r="C834" s="10"/>
      <c r="D834" s="10"/>
      <c r="E834" s="273"/>
      <c r="U834" s="274"/>
      <c r="V834" s="274"/>
      <c r="AA834" s="153"/>
      <c r="AB834" s="153"/>
    </row>
    <row r="835" spans="3:28" ht="13.2">
      <c r="C835" s="10"/>
      <c r="D835" s="10"/>
      <c r="E835" s="273"/>
      <c r="U835" s="274"/>
      <c r="V835" s="274"/>
      <c r="AA835" s="153"/>
      <c r="AB835" s="153"/>
    </row>
    <row r="836" spans="3:28" ht="13.2">
      <c r="C836" s="10"/>
      <c r="D836" s="10"/>
      <c r="E836" s="273"/>
      <c r="U836" s="274"/>
      <c r="V836" s="274"/>
      <c r="AA836" s="153"/>
      <c r="AB836" s="153"/>
    </row>
    <row r="837" spans="3:28" ht="13.2">
      <c r="C837" s="10"/>
      <c r="D837" s="10"/>
      <c r="E837" s="273"/>
      <c r="U837" s="274"/>
      <c r="V837" s="274"/>
      <c r="AA837" s="153"/>
      <c r="AB837" s="153"/>
    </row>
    <row r="838" spans="3:28" ht="13.2">
      <c r="C838" s="10"/>
      <c r="D838" s="10"/>
      <c r="E838" s="273"/>
      <c r="U838" s="274"/>
      <c r="V838" s="274"/>
      <c r="AA838" s="153"/>
      <c r="AB838" s="153"/>
    </row>
    <row r="839" spans="3:28" ht="13.2">
      <c r="C839" s="10"/>
      <c r="D839" s="10"/>
      <c r="E839" s="273"/>
      <c r="U839" s="274"/>
      <c r="V839" s="274"/>
      <c r="AA839" s="153"/>
      <c r="AB839" s="153"/>
    </row>
    <row r="840" spans="3:28" ht="13.2">
      <c r="C840" s="10"/>
      <c r="D840" s="10"/>
      <c r="E840" s="273"/>
      <c r="U840" s="274"/>
      <c r="V840" s="274"/>
      <c r="AA840" s="153"/>
      <c r="AB840" s="153"/>
    </row>
    <row r="841" spans="3:28" ht="13.2">
      <c r="C841" s="10"/>
      <c r="D841" s="10"/>
      <c r="E841" s="273"/>
      <c r="U841" s="274"/>
      <c r="V841" s="274"/>
      <c r="AA841" s="153"/>
      <c r="AB841" s="153"/>
    </row>
    <row r="842" spans="3:28" ht="13.2">
      <c r="C842" s="10"/>
      <c r="D842" s="10"/>
      <c r="E842" s="273"/>
      <c r="U842" s="274"/>
      <c r="V842" s="274"/>
      <c r="AA842" s="153"/>
      <c r="AB842" s="153"/>
    </row>
    <row r="843" spans="3:28" ht="13.2">
      <c r="C843" s="10"/>
      <c r="D843" s="10"/>
      <c r="E843" s="273"/>
      <c r="U843" s="274"/>
      <c r="V843" s="274"/>
      <c r="AA843" s="153"/>
      <c r="AB843" s="153"/>
    </row>
    <row r="844" spans="3:28" ht="13.2">
      <c r="C844" s="10"/>
      <c r="D844" s="10"/>
      <c r="E844" s="273"/>
      <c r="U844" s="274"/>
      <c r="V844" s="274"/>
      <c r="AA844" s="153"/>
      <c r="AB844" s="153"/>
    </row>
    <row r="845" spans="3:28" ht="13.2">
      <c r="C845" s="10"/>
      <c r="D845" s="10"/>
      <c r="E845" s="273"/>
      <c r="U845" s="274"/>
      <c r="V845" s="274"/>
      <c r="AA845" s="153"/>
      <c r="AB845" s="153"/>
    </row>
    <row r="846" spans="3:28" ht="13.2">
      <c r="C846" s="10"/>
      <c r="D846" s="10"/>
      <c r="E846" s="273"/>
      <c r="U846" s="274"/>
      <c r="V846" s="274"/>
      <c r="AA846" s="153"/>
      <c r="AB846" s="153"/>
    </row>
    <row r="847" spans="3:28" ht="13.2">
      <c r="C847" s="10"/>
      <c r="D847" s="10"/>
      <c r="E847" s="273"/>
      <c r="U847" s="274"/>
      <c r="V847" s="274"/>
      <c r="AA847" s="153"/>
      <c r="AB847" s="153"/>
    </row>
    <row r="848" spans="3:28" ht="13.2">
      <c r="C848" s="10"/>
      <c r="D848" s="10"/>
      <c r="E848" s="273"/>
      <c r="U848" s="274"/>
      <c r="V848" s="274"/>
      <c r="AA848" s="153"/>
      <c r="AB848" s="153"/>
    </row>
    <row r="849" spans="3:28" ht="13.2">
      <c r="C849" s="10"/>
      <c r="D849" s="10"/>
      <c r="E849" s="273"/>
      <c r="U849" s="274"/>
      <c r="V849" s="274"/>
      <c r="AA849" s="153"/>
      <c r="AB849" s="153"/>
    </row>
    <row r="850" spans="3:28" ht="13.2">
      <c r="C850" s="10"/>
      <c r="D850" s="10"/>
      <c r="E850" s="273"/>
      <c r="U850" s="274"/>
      <c r="V850" s="274"/>
      <c r="AA850" s="153"/>
      <c r="AB850" s="153"/>
    </row>
    <row r="851" spans="3:28" ht="13.2">
      <c r="C851" s="10"/>
      <c r="D851" s="10"/>
      <c r="E851" s="273"/>
      <c r="U851" s="274"/>
      <c r="V851" s="274"/>
      <c r="AA851" s="153"/>
      <c r="AB851" s="153"/>
    </row>
    <row r="852" spans="3:28" ht="13.2">
      <c r="C852" s="10"/>
      <c r="D852" s="10"/>
      <c r="E852" s="273"/>
      <c r="U852" s="274"/>
      <c r="V852" s="274"/>
      <c r="AA852" s="153"/>
      <c r="AB852" s="153"/>
    </row>
    <row r="853" spans="3:28" ht="13.2">
      <c r="C853" s="10"/>
      <c r="D853" s="10"/>
      <c r="E853" s="273"/>
      <c r="U853" s="274"/>
      <c r="V853" s="274"/>
      <c r="AA853" s="153"/>
      <c r="AB853" s="153"/>
    </row>
    <row r="854" spans="3:28" ht="13.2">
      <c r="C854" s="10"/>
      <c r="D854" s="10"/>
      <c r="E854" s="273"/>
      <c r="U854" s="274"/>
      <c r="V854" s="274"/>
      <c r="AA854" s="153"/>
      <c r="AB854" s="153"/>
    </row>
    <row r="855" spans="3:28" ht="13.2">
      <c r="C855" s="10"/>
      <c r="D855" s="10"/>
      <c r="E855" s="273"/>
      <c r="U855" s="274"/>
      <c r="V855" s="274"/>
      <c r="AA855" s="153"/>
      <c r="AB855" s="153"/>
    </row>
    <row r="856" spans="3:28" ht="13.2">
      <c r="C856" s="10"/>
      <c r="D856" s="10"/>
      <c r="E856" s="273"/>
      <c r="U856" s="274"/>
      <c r="V856" s="274"/>
      <c r="AA856" s="153"/>
      <c r="AB856" s="153"/>
    </row>
    <row r="857" spans="3:28" ht="13.2">
      <c r="C857" s="10"/>
      <c r="D857" s="10"/>
      <c r="E857" s="273"/>
      <c r="U857" s="274"/>
      <c r="V857" s="274"/>
      <c r="AA857" s="153"/>
      <c r="AB857" s="153"/>
    </row>
    <row r="858" spans="3:28" ht="13.2">
      <c r="C858" s="10"/>
      <c r="D858" s="10"/>
      <c r="E858" s="273"/>
      <c r="U858" s="274"/>
      <c r="V858" s="274"/>
      <c r="AA858" s="153"/>
      <c r="AB858" s="153"/>
    </row>
    <row r="859" spans="3:28" ht="13.2">
      <c r="C859" s="10"/>
      <c r="D859" s="10"/>
      <c r="E859" s="273"/>
      <c r="U859" s="274"/>
      <c r="V859" s="274"/>
      <c r="AA859" s="153"/>
      <c r="AB859" s="153"/>
    </row>
    <row r="860" spans="3:28" ht="13.2">
      <c r="C860" s="10"/>
      <c r="D860" s="10"/>
      <c r="E860" s="273"/>
      <c r="U860" s="274"/>
      <c r="V860" s="274"/>
      <c r="AA860" s="153"/>
      <c r="AB860" s="153"/>
    </row>
    <row r="861" spans="3:28" ht="13.2">
      <c r="C861" s="10"/>
      <c r="D861" s="10"/>
      <c r="E861" s="273"/>
      <c r="U861" s="274"/>
      <c r="V861" s="274"/>
      <c r="AA861" s="153"/>
      <c r="AB861" s="153"/>
    </row>
    <row r="862" spans="3:28" ht="13.2">
      <c r="C862" s="10"/>
      <c r="D862" s="10"/>
      <c r="E862" s="273"/>
      <c r="U862" s="274"/>
      <c r="V862" s="274"/>
      <c r="AA862" s="153"/>
      <c r="AB862" s="153"/>
    </row>
    <row r="863" spans="3:28" ht="13.2">
      <c r="C863" s="10"/>
      <c r="D863" s="10"/>
      <c r="E863" s="273"/>
      <c r="U863" s="274"/>
      <c r="V863" s="274"/>
      <c r="AA863" s="153"/>
      <c r="AB863" s="153"/>
    </row>
    <row r="864" spans="3:28" ht="13.2">
      <c r="C864" s="10"/>
      <c r="D864" s="10"/>
      <c r="E864" s="273"/>
      <c r="U864" s="274"/>
      <c r="V864" s="274"/>
      <c r="AA864" s="153"/>
      <c r="AB864" s="153"/>
    </row>
    <row r="865" spans="3:28" ht="13.2">
      <c r="C865" s="10"/>
      <c r="D865" s="10"/>
      <c r="E865" s="273"/>
      <c r="U865" s="274"/>
      <c r="V865" s="274"/>
      <c r="AA865" s="153"/>
      <c r="AB865" s="153"/>
    </row>
    <row r="866" spans="3:28" ht="13.2">
      <c r="C866" s="10"/>
      <c r="D866" s="10"/>
      <c r="E866" s="273"/>
      <c r="U866" s="274"/>
      <c r="V866" s="274"/>
      <c r="AA866" s="153"/>
      <c r="AB866" s="153"/>
    </row>
    <row r="867" spans="3:28" ht="13.2">
      <c r="C867" s="10"/>
      <c r="D867" s="10"/>
      <c r="E867" s="273"/>
      <c r="U867" s="274"/>
      <c r="V867" s="274"/>
      <c r="AA867" s="153"/>
      <c r="AB867" s="153"/>
    </row>
    <row r="868" spans="3:28" ht="13.2">
      <c r="C868" s="10"/>
      <c r="D868" s="10"/>
      <c r="E868" s="273"/>
      <c r="U868" s="274"/>
      <c r="V868" s="274"/>
      <c r="AA868" s="153"/>
      <c r="AB868" s="153"/>
    </row>
    <row r="869" spans="3:28" ht="13.2">
      <c r="C869" s="10"/>
      <c r="D869" s="10"/>
      <c r="E869" s="273"/>
      <c r="U869" s="274"/>
      <c r="V869" s="274"/>
      <c r="AA869" s="153"/>
      <c r="AB869" s="153"/>
    </row>
    <row r="870" spans="3:28" ht="13.2">
      <c r="C870" s="10"/>
      <c r="D870" s="10"/>
      <c r="E870" s="273"/>
      <c r="U870" s="274"/>
      <c r="V870" s="274"/>
      <c r="AA870" s="153"/>
      <c r="AB870" s="153"/>
    </row>
    <row r="871" spans="3:28" ht="13.2">
      <c r="C871" s="10"/>
      <c r="D871" s="10"/>
      <c r="E871" s="273"/>
      <c r="U871" s="274"/>
      <c r="V871" s="274"/>
      <c r="AA871" s="153"/>
      <c r="AB871" s="153"/>
    </row>
    <row r="872" spans="3:28" ht="13.2">
      <c r="C872" s="10"/>
      <c r="D872" s="10"/>
      <c r="E872" s="273"/>
      <c r="U872" s="274"/>
      <c r="V872" s="274"/>
      <c r="AA872" s="153"/>
      <c r="AB872" s="153"/>
    </row>
    <row r="873" spans="3:28" ht="13.2">
      <c r="C873" s="10"/>
      <c r="D873" s="10"/>
      <c r="E873" s="273"/>
      <c r="U873" s="274"/>
      <c r="V873" s="274"/>
      <c r="AA873" s="153"/>
      <c r="AB873" s="153"/>
    </row>
    <row r="874" spans="3:28" ht="13.2">
      <c r="C874" s="10"/>
      <c r="D874" s="10"/>
      <c r="E874" s="273"/>
      <c r="U874" s="274"/>
      <c r="V874" s="274"/>
      <c r="AA874" s="153"/>
      <c r="AB874" s="153"/>
    </row>
    <row r="875" spans="3:28" ht="13.2">
      <c r="C875" s="10"/>
      <c r="D875" s="10"/>
      <c r="E875" s="273"/>
      <c r="U875" s="274"/>
      <c r="V875" s="274"/>
      <c r="AA875" s="153"/>
      <c r="AB875" s="153"/>
    </row>
    <row r="876" spans="3:28" ht="13.2">
      <c r="C876" s="10"/>
      <c r="D876" s="10"/>
      <c r="E876" s="273"/>
      <c r="U876" s="274"/>
      <c r="V876" s="274"/>
      <c r="AA876" s="153"/>
      <c r="AB876" s="153"/>
    </row>
    <row r="877" spans="3:28" ht="13.2">
      <c r="C877" s="10"/>
      <c r="D877" s="10"/>
      <c r="E877" s="273"/>
      <c r="U877" s="274"/>
      <c r="V877" s="274"/>
      <c r="AA877" s="153"/>
      <c r="AB877" s="153"/>
    </row>
    <row r="878" spans="3:28" ht="13.2">
      <c r="C878" s="10"/>
      <c r="D878" s="10"/>
      <c r="E878" s="273"/>
      <c r="U878" s="274"/>
      <c r="V878" s="274"/>
      <c r="AA878" s="153"/>
      <c r="AB878" s="153"/>
    </row>
    <row r="879" spans="3:28" ht="13.2">
      <c r="C879" s="10"/>
      <c r="D879" s="10"/>
      <c r="E879" s="273"/>
      <c r="U879" s="274"/>
      <c r="V879" s="274"/>
      <c r="AA879" s="153"/>
      <c r="AB879" s="153"/>
    </row>
    <row r="880" spans="3:28" ht="13.2">
      <c r="C880" s="10"/>
      <c r="D880" s="10"/>
      <c r="E880" s="273"/>
      <c r="U880" s="274"/>
      <c r="V880" s="274"/>
      <c r="AA880" s="153"/>
      <c r="AB880" s="153"/>
    </row>
    <row r="881" spans="3:28" ht="13.2">
      <c r="C881" s="10"/>
      <c r="D881" s="10"/>
      <c r="E881" s="273"/>
      <c r="U881" s="274"/>
      <c r="V881" s="274"/>
      <c r="AA881" s="153"/>
      <c r="AB881" s="153"/>
    </row>
    <row r="882" spans="3:28" ht="13.2">
      <c r="C882" s="10"/>
      <c r="D882" s="10"/>
      <c r="E882" s="273"/>
      <c r="U882" s="274"/>
      <c r="V882" s="274"/>
      <c r="AA882" s="153"/>
      <c r="AB882" s="153"/>
    </row>
    <row r="883" spans="3:28" ht="13.2">
      <c r="C883" s="10"/>
      <c r="D883" s="10"/>
      <c r="E883" s="273"/>
      <c r="U883" s="274"/>
      <c r="V883" s="274"/>
      <c r="AA883" s="153"/>
      <c r="AB883" s="153"/>
    </row>
    <row r="884" spans="3:28" ht="13.2">
      <c r="C884" s="10"/>
      <c r="D884" s="10"/>
      <c r="E884" s="273"/>
      <c r="U884" s="274"/>
      <c r="V884" s="274"/>
      <c r="AA884" s="153"/>
      <c r="AB884" s="153"/>
    </row>
    <row r="885" spans="3:28" ht="13.2">
      <c r="C885" s="10"/>
      <c r="D885" s="10"/>
      <c r="E885" s="273"/>
      <c r="U885" s="274"/>
      <c r="V885" s="274"/>
      <c r="AA885" s="153"/>
      <c r="AB885" s="153"/>
    </row>
    <row r="886" spans="3:28" ht="13.2">
      <c r="C886" s="10"/>
      <c r="D886" s="10"/>
      <c r="E886" s="273"/>
      <c r="U886" s="274"/>
      <c r="V886" s="274"/>
      <c r="AA886" s="153"/>
      <c r="AB886" s="153"/>
    </row>
    <row r="887" spans="3:28" ht="13.2">
      <c r="C887" s="10"/>
      <c r="D887" s="10"/>
      <c r="E887" s="273"/>
      <c r="U887" s="274"/>
      <c r="V887" s="274"/>
      <c r="AA887" s="153"/>
      <c r="AB887" s="153"/>
    </row>
    <row r="888" spans="3:28" ht="13.2">
      <c r="C888" s="10"/>
      <c r="D888" s="10"/>
      <c r="E888" s="273"/>
      <c r="U888" s="274"/>
      <c r="V888" s="274"/>
      <c r="AA888" s="153"/>
      <c r="AB888" s="153"/>
    </row>
    <row r="889" spans="3:28" ht="13.2">
      <c r="C889" s="10"/>
      <c r="D889" s="10"/>
      <c r="E889" s="273"/>
      <c r="U889" s="274"/>
      <c r="V889" s="274"/>
      <c r="AA889" s="153"/>
      <c r="AB889" s="153"/>
    </row>
    <row r="890" spans="3:28" ht="13.2">
      <c r="C890" s="10"/>
      <c r="D890" s="10"/>
      <c r="E890" s="273"/>
      <c r="U890" s="274"/>
      <c r="V890" s="274"/>
      <c r="AA890" s="153"/>
      <c r="AB890" s="153"/>
    </row>
    <row r="891" spans="3:28" ht="13.2">
      <c r="C891" s="10"/>
      <c r="D891" s="10"/>
      <c r="E891" s="273"/>
      <c r="U891" s="274"/>
      <c r="V891" s="274"/>
      <c r="AA891" s="153"/>
      <c r="AB891" s="153"/>
    </row>
    <row r="892" spans="3:28" ht="13.2">
      <c r="C892" s="10"/>
      <c r="D892" s="10"/>
      <c r="E892" s="273"/>
      <c r="U892" s="274"/>
      <c r="V892" s="274"/>
      <c r="AA892" s="153"/>
      <c r="AB892" s="153"/>
    </row>
    <row r="893" spans="3:28" ht="13.2">
      <c r="C893" s="10"/>
      <c r="D893" s="10"/>
      <c r="E893" s="273"/>
      <c r="U893" s="274"/>
      <c r="V893" s="274"/>
      <c r="AA893" s="153"/>
      <c r="AB893" s="153"/>
    </row>
    <row r="894" spans="3:28" ht="13.2">
      <c r="C894" s="10"/>
      <c r="D894" s="10"/>
      <c r="E894" s="273"/>
      <c r="U894" s="274"/>
      <c r="V894" s="274"/>
      <c r="AA894" s="153"/>
      <c r="AB894" s="153"/>
    </row>
    <row r="895" spans="3:28" ht="13.2">
      <c r="C895" s="10"/>
      <c r="D895" s="10"/>
      <c r="E895" s="273"/>
      <c r="U895" s="274"/>
      <c r="V895" s="274"/>
      <c r="AA895" s="153"/>
      <c r="AB895" s="153"/>
    </row>
    <row r="896" spans="3:28" ht="13.2">
      <c r="C896" s="10"/>
      <c r="D896" s="10"/>
      <c r="E896" s="273"/>
      <c r="U896" s="274"/>
      <c r="V896" s="274"/>
      <c r="AA896" s="153"/>
      <c r="AB896" s="153"/>
    </row>
    <row r="897" spans="3:28" ht="13.2">
      <c r="C897" s="10"/>
      <c r="D897" s="10"/>
      <c r="E897" s="273"/>
      <c r="U897" s="274"/>
      <c r="V897" s="274"/>
      <c r="AA897" s="153"/>
      <c r="AB897" s="153"/>
    </row>
    <row r="898" spans="3:28" ht="13.2">
      <c r="C898" s="10"/>
      <c r="D898" s="10"/>
      <c r="E898" s="273"/>
      <c r="U898" s="274"/>
      <c r="V898" s="274"/>
      <c r="AA898" s="153"/>
      <c r="AB898" s="153"/>
    </row>
    <row r="899" spans="3:28" ht="13.2">
      <c r="C899" s="10"/>
      <c r="D899" s="10"/>
      <c r="E899" s="273"/>
      <c r="U899" s="274"/>
      <c r="V899" s="274"/>
      <c r="AA899" s="153"/>
      <c r="AB899" s="153"/>
    </row>
    <row r="900" spans="3:28" ht="13.2">
      <c r="C900" s="10"/>
      <c r="D900" s="10"/>
      <c r="E900" s="273"/>
      <c r="U900" s="274"/>
      <c r="V900" s="274"/>
      <c r="AA900" s="153"/>
      <c r="AB900" s="153"/>
    </row>
    <row r="901" spans="3:28" ht="13.2">
      <c r="C901" s="10"/>
      <c r="D901" s="10"/>
      <c r="E901" s="273"/>
      <c r="U901" s="274"/>
      <c r="V901" s="274"/>
      <c r="AA901" s="153"/>
      <c r="AB901" s="153"/>
    </row>
    <row r="902" spans="3:28" ht="13.2">
      <c r="C902" s="10"/>
      <c r="D902" s="10"/>
      <c r="E902" s="273"/>
      <c r="U902" s="274"/>
      <c r="V902" s="274"/>
      <c r="AA902" s="153"/>
      <c r="AB902" s="153"/>
    </row>
    <row r="903" spans="3:28" ht="13.2">
      <c r="C903" s="10"/>
      <c r="D903" s="10"/>
      <c r="E903" s="273"/>
      <c r="U903" s="274"/>
      <c r="V903" s="274"/>
      <c r="AA903" s="153"/>
      <c r="AB903" s="153"/>
    </row>
    <row r="904" spans="3:28" ht="13.2">
      <c r="C904" s="10"/>
      <c r="D904" s="10"/>
      <c r="E904" s="273"/>
      <c r="U904" s="274"/>
      <c r="V904" s="274"/>
      <c r="AA904" s="153"/>
      <c r="AB904" s="153"/>
    </row>
    <row r="905" spans="3:28" ht="13.2">
      <c r="C905" s="10"/>
      <c r="D905" s="10"/>
      <c r="E905" s="273"/>
      <c r="U905" s="274"/>
      <c r="V905" s="274"/>
      <c r="AA905" s="153"/>
      <c r="AB905" s="153"/>
    </row>
    <row r="906" spans="3:28" ht="13.2">
      <c r="C906" s="10"/>
      <c r="D906" s="10"/>
      <c r="E906" s="273"/>
      <c r="U906" s="274"/>
      <c r="V906" s="274"/>
      <c r="AA906" s="153"/>
      <c r="AB906" s="153"/>
    </row>
    <row r="907" spans="3:28" ht="13.2">
      <c r="C907" s="10"/>
      <c r="D907" s="10"/>
      <c r="E907" s="273"/>
      <c r="U907" s="274"/>
      <c r="V907" s="274"/>
      <c r="AA907" s="153"/>
      <c r="AB907" s="153"/>
    </row>
    <row r="908" spans="3:28" ht="13.2">
      <c r="C908" s="10"/>
      <c r="D908" s="10"/>
      <c r="E908" s="273"/>
      <c r="U908" s="274"/>
      <c r="V908" s="274"/>
      <c r="AA908" s="153"/>
      <c r="AB908" s="153"/>
    </row>
    <row r="909" spans="3:28" ht="13.2">
      <c r="C909" s="10"/>
      <c r="D909" s="10"/>
      <c r="E909" s="273"/>
      <c r="U909" s="274"/>
      <c r="V909" s="274"/>
      <c r="AA909" s="153"/>
      <c r="AB909" s="153"/>
    </row>
    <row r="910" spans="3:28" ht="13.2">
      <c r="C910" s="10"/>
      <c r="D910" s="10"/>
      <c r="E910" s="273"/>
      <c r="U910" s="274"/>
      <c r="V910" s="274"/>
      <c r="AA910" s="153"/>
      <c r="AB910" s="153"/>
    </row>
    <row r="911" spans="3:28" ht="13.2">
      <c r="C911" s="10"/>
      <c r="D911" s="10"/>
      <c r="E911" s="273"/>
      <c r="U911" s="274"/>
      <c r="V911" s="274"/>
      <c r="AA911" s="153"/>
      <c r="AB911" s="153"/>
    </row>
    <row r="912" spans="3:28" ht="13.2">
      <c r="C912" s="10"/>
      <c r="D912" s="10"/>
      <c r="E912" s="273"/>
      <c r="U912" s="274"/>
      <c r="V912" s="274"/>
      <c r="AA912" s="153"/>
      <c r="AB912" s="153"/>
    </row>
    <row r="913" spans="3:28" ht="13.2">
      <c r="C913" s="10"/>
      <c r="D913" s="10"/>
      <c r="E913" s="273"/>
      <c r="U913" s="274"/>
      <c r="V913" s="274"/>
      <c r="AA913" s="153"/>
      <c r="AB913" s="153"/>
    </row>
    <row r="914" spans="3:28" ht="13.2">
      <c r="C914" s="10"/>
      <c r="D914" s="10"/>
      <c r="E914" s="273"/>
      <c r="U914" s="274"/>
      <c r="V914" s="274"/>
      <c r="AA914" s="153"/>
      <c r="AB914" s="153"/>
    </row>
    <row r="915" spans="3:28" ht="13.2">
      <c r="C915" s="10"/>
      <c r="D915" s="10"/>
      <c r="E915" s="273"/>
      <c r="U915" s="274"/>
      <c r="V915" s="274"/>
      <c r="AA915" s="153"/>
      <c r="AB915" s="153"/>
    </row>
    <row r="916" spans="3:28" ht="13.2">
      <c r="C916" s="10"/>
      <c r="D916" s="10"/>
      <c r="E916" s="273"/>
      <c r="U916" s="274"/>
      <c r="V916" s="274"/>
      <c r="AA916" s="153"/>
      <c r="AB916" s="153"/>
    </row>
    <row r="917" spans="3:28" ht="13.2">
      <c r="C917" s="10"/>
      <c r="D917" s="10"/>
      <c r="E917" s="273"/>
      <c r="U917" s="274"/>
      <c r="V917" s="274"/>
      <c r="AA917" s="153"/>
      <c r="AB917" s="153"/>
    </row>
    <row r="918" spans="3:28" ht="13.2">
      <c r="C918" s="10"/>
      <c r="D918" s="10"/>
      <c r="E918" s="273"/>
      <c r="U918" s="274"/>
      <c r="V918" s="274"/>
      <c r="AA918" s="153"/>
      <c r="AB918" s="153"/>
    </row>
    <row r="919" spans="3:28" ht="13.2">
      <c r="C919" s="10"/>
      <c r="D919" s="10"/>
      <c r="E919" s="273"/>
      <c r="U919" s="274"/>
      <c r="V919" s="274"/>
      <c r="AA919" s="153"/>
      <c r="AB919" s="153"/>
    </row>
    <row r="920" spans="3:28" ht="13.2">
      <c r="C920" s="10"/>
      <c r="D920" s="10"/>
      <c r="E920" s="273"/>
      <c r="U920" s="274"/>
      <c r="V920" s="274"/>
      <c r="AA920" s="153"/>
      <c r="AB920" s="153"/>
    </row>
    <row r="921" spans="3:28" ht="13.2">
      <c r="C921" s="10"/>
      <c r="D921" s="10"/>
      <c r="E921" s="273"/>
      <c r="U921" s="274"/>
      <c r="V921" s="274"/>
      <c r="AA921" s="153"/>
      <c r="AB921" s="153"/>
    </row>
    <row r="922" spans="3:28" ht="13.2">
      <c r="C922" s="10"/>
      <c r="D922" s="10"/>
      <c r="E922" s="273"/>
      <c r="U922" s="274"/>
      <c r="V922" s="274"/>
      <c r="AA922" s="153"/>
      <c r="AB922" s="153"/>
    </row>
    <row r="923" spans="3:28" ht="13.2">
      <c r="C923" s="10"/>
      <c r="D923" s="10"/>
      <c r="E923" s="273"/>
      <c r="U923" s="274"/>
      <c r="V923" s="274"/>
      <c r="AA923" s="153"/>
      <c r="AB923" s="153"/>
    </row>
    <row r="924" spans="3:28" ht="13.2">
      <c r="C924" s="10"/>
      <c r="D924" s="10"/>
      <c r="E924" s="273"/>
      <c r="U924" s="274"/>
      <c r="V924" s="274"/>
      <c r="AA924" s="153"/>
      <c r="AB924" s="153"/>
    </row>
    <row r="925" spans="3:28" ht="13.2">
      <c r="C925" s="10"/>
      <c r="D925" s="10"/>
      <c r="E925" s="273"/>
      <c r="U925" s="274"/>
      <c r="V925" s="274"/>
      <c r="AA925" s="153"/>
      <c r="AB925" s="153"/>
    </row>
    <row r="926" spans="3:28" ht="13.2">
      <c r="C926" s="10"/>
      <c r="D926" s="10"/>
      <c r="E926" s="273"/>
      <c r="U926" s="274"/>
      <c r="V926" s="274"/>
      <c r="AA926" s="153"/>
      <c r="AB926" s="153"/>
    </row>
    <row r="927" spans="3:28" ht="13.2">
      <c r="C927" s="10"/>
      <c r="D927" s="10"/>
      <c r="E927" s="273"/>
      <c r="U927" s="274"/>
      <c r="V927" s="274"/>
      <c r="AA927" s="153"/>
      <c r="AB927" s="153"/>
    </row>
    <row r="928" spans="3:28" ht="13.2">
      <c r="C928" s="10"/>
      <c r="D928" s="10"/>
      <c r="E928" s="273"/>
      <c r="U928" s="274"/>
      <c r="V928" s="274"/>
      <c r="AA928" s="153"/>
      <c r="AB928" s="153"/>
    </row>
    <row r="929" spans="3:28" ht="13.2">
      <c r="C929" s="10"/>
      <c r="D929" s="10"/>
      <c r="E929" s="273"/>
      <c r="U929" s="274"/>
      <c r="V929" s="274"/>
      <c r="AA929" s="153"/>
      <c r="AB929" s="153"/>
    </row>
    <row r="930" spans="3:28" ht="13.2">
      <c r="C930" s="10"/>
      <c r="D930" s="10"/>
      <c r="E930" s="273"/>
      <c r="U930" s="274"/>
      <c r="V930" s="274"/>
      <c r="AA930" s="153"/>
      <c r="AB930" s="153"/>
    </row>
    <row r="931" spans="3:28" ht="13.2">
      <c r="C931" s="10"/>
      <c r="D931" s="10"/>
      <c r="E931" s="273"/>
      <c r="U931" s="274"/>
      <c r="V931" s="274"/>
      <c r="AA931" s="153"/>
      <c r="AB931" s="153"/>
    </row>
    <row r="932" spans="3:28" ht="13.2">
      <c r="C932" s="10"/>
      <c r="D932" s="10"/>
      <c r="E932" s="273"/>
      <c r="U932" s="274"/>
      <c r="V932" s="274"/>
      <c r="AA932" s="153"/>
      <c r="AB932" s="153"/>
    </row>
    <row r="933" spans="3:28" ht="13.2">
      <c r="C933" s="10"/>
      <c r="D933" s="10"/>
      <c r="E933" s="273"/>
      <c r="U933" s="274"/>
      <c r="V933" s="274"/>
      <c r="AA933" s="153"/>
      <c r="AB933" s="153"/>
    </row>
    <row r="934" spans="3:28" ht="13.2">
      <c r="C934" s="10"/>
      <c r="D934" s="10"/>
      <c r="E934" s="273"/>
      <c r="U934" s="274"/>
      <c r="V934" s="274"/>
      <c r="AA934" s="153"/>
      <c r="AB934" s="153"/>
    </row>
    <row r="935" spans="3:28" ht="13.2">
      <c r="C935" s="10"/>
      <c r="D935" s="10"/>
      <c r="E935" s="273"/>
      <c r="U935" s="274"/>
      <c r="V935" s="274"/>
      <c r="AA935" s="153"/>
      <c r="AB935" s="153"/>
    </row>
    <row r="936" spans="3:28" ht="13.2">
      <c r="C936" s="10"/>
      <c r="D936" s="10"/>
      <c r="E936" s="273"/>
      <c r="U936" s="274"/>
      <c r="V936" s="274"/>
      <c r="AA936" s="153"/>
      <c r="AB936" s="153"/>
    </row>
    <row r="937" spans="3:28" ht="13.2">
      <c r="C937" s="10"/>
      <c r="D937" s="10"/>
      <c r="E937" s="273"/>
      <c r="U937" s="274"/>
      <c r="V937" s="274"/>
      <c r="AA937" s="153"/>
      <c r="AB937" s="153"/>
    </row>
    <row r="938" spans="3:28" ht="13.2">
      <c r="C938" s="10"/>
      <c r="D938" s="10"/>
      <c r="E938" s="273"/>
      <c r="U938" s="274"/>
      <c r="V938" s="274"/>
      <c r="AA938" s="153"/>
      <c r="AB938" s="153"/>
    </row>
    <row r="939" spans="3:28" ht="13.2">
      <c r="C939" s="10"/>
      <c r="D939" s="10"/>
      <c r="E939" s="273"/>
      <c r="U939" s="274"/>
      <c r="V939" s="274"/>
      <c r="AA939" s="153"/>
      <c r="AB939" s="153"/>
    </row>
    <row r="940" spans="3:28" ht="13.2">
      <c r="C940" s="10"/>
      <c r="D940" s="10"/>
      <c r="E940" s="273"/>
      <c r="U940" s="274"/>
      <c r="V940" s="274"/>
      <c r="AA940" s="153"/>
      <c r="AB940" s="153"/>
    </row>
    <row r="941" spans="3:28" ht="13.2">
      <c r="C941" s="10"/>
      <c r="D941" s="10"/>
      <c r="E941" s="273"/>
      <c r="U941" s="274"/>
      <c r="V941" s="274"/>
      <c r="AA941" s="153"/>
      <c r="AB941" s="153"/>
    </row>
    <row r="942" spans="3:28" ht="13.2">
      <c r="C942" s="10"/>
      <c r="D942" s="10"/>
      <c r="E942" s="273"/>
      <c r="U942" s="274"/>
      <c r="V942" s="274"/>
      <c r="AA942" s="153"/>
      <c r="AB942" s="153"/>
    </row>
    <row r="943" spans="3:28" ht="13.2">
      <c r="C943" s="10"/>
      <c r="D943" s="10"/>
      <c r="E943" s="273"/>
      <c r="U943" s="274"/>
      <c r="V943" s="274"/>
      <c r="AA943" s="153"/>
      <c r="AB943" s="153"/>
    </row>
    <row r="944" spans="3:28" ht="13.2">
      <c r="C944" s="10"/>
      <c r="D944" s="10"/>
      <c r="E944" s="273"/>
      <c r="U944" s="274"/>
      <c r="V944" s="274"/>
      <c r="AA944" s="153"/>
      <c r="AB944" s="153"/>
    </row>
    <row r="945" spans="3:28" ht="13.2">
      <c r="C945" s="10"/>
      <c r="D945" s="10"/>
      <c r="E945" s="273"/>
      <c r="U945" s="274"/>
      <c r="V945" s="274"/>
      <c r="AA945" s="153"/>
      <c r="AB945" s="153"/>
    </row>
    <row r="946" spans="3:28" ht="13.2">
      <c r="C946" s="10"/>
      <c r="D946" s="10"/>
      <c r="E946" s="273"/>
      <c r="U946" s="274"/>
      <c r="V946" s="274"/>
      <c r="AA946" s="153"/>
      <c r="AB946" s="153"/>
    </row>
    <row r="947" spans="3:28" ht="13.2">
      <c r="C947" s="10"/>
      <c r="D947" s="10"/>
      <c r="E947" s="273"/>
      <c r="U947" s="274"/>
      <c r="V947" s="274"/>
      <c r="AA947" s="153"/>
      <c r="AB947" s="153"/>
    </row>
    <row r="948" spans="3:28" ht="13.2">
      <c r="C948" s="10"/>
      <c r="D948" s="10"/>
      <c r="E948" s="273"/>
      <c r="U948" s="274"/>
      <c r="V948" s="274"/>
      <c r="AA948" s="153"/>
      <c r="AB948" s="153"/>
    </row>
    <row r="949" spans="3:28" ht="13.2">
      <c r="C949" s="10"/>
      <c r="D949" s="10"/>
      <c r="E949" s="273"/>
      <c r="U949" s="274"/>
      <c r="V949" s="274"/>
      <c r="AA949" s="153"/>
      <c r="AB949" s="153"/>
    </row>
    <row r="950" spans="3:28" ht="13.2">
      <c r="C950" s="10"/>
      <c r="D950" s="10"/>
      <c r="E950" s="273"/>
      <c r="U950" s="274"/>
      <c r="V950" s="274"/>
      <c r="AA950" s="153"/>
      <c r="AB950" s="153"/>
    </row>
    <row r="951" spans="3:28" ht="13.2">
      <c r="C951" s="10"/>
      <c r="D951" s="10"/>
      <c r="E951" s="273"/>
      <c r="U951" s="274"/>
      <c r="V951" s="274"/>
      <c r="AA951" s="153"/>
      <c r="AB951" s="153"/>
    </row>
    <row r="952" spans="3:28" ht="13.2">
      <c r="C952" s="10"/>
      <c r="D952" s="10"/>
      <c r="E952" s="273"/>
      <c r="U952" s="274"/>
      <c r="V952" s="274"/>
      <c r="AA952" s="153"/>
      <c r="AB952" s="153"/>
    </row>
    <row r="953" spans="3:28" ht="13.2">
      <c r="C953" s="10"/>
      <c r="D953" s="10"/>
      <c r="E953" s="273"/>
      <c r="U953" s="274"/>
      <c r="V953" s="274"/>
      <c r="AA953" s="153"/>
      <c r="AB953" s="153"/>
    </row>
    <row r="954" spans="3:28" ht="13.2">
      <c r="C954" s="10"/>
      <c r="D954" s="10"/>
      <c r="E954" s="273"/>
      <c r="U954" s="274"/>
      <c r="V954" s="274"/>
      <c r="AA954" s="153"/>
      <c r="AB954" s="153"/>
    </row>
    <row r="955" spans="3:28" ht="13.2">
      <c r="C955" s="10"/>
      <c r="D955" s="10"/>
      <c r="E955" s="273"/>
      <c r="U955" s="274"/>
      <c r="V955" s="274"/>
      <c r="AA955" s="153"/>
      <c r="AB955" s="153"/>
    </row>
    <row r="956" spans="3:28" ht="13.2">
      <c r="C956" s="10"/>
      <c r="D956" s="10"/>
      <c r="E956" s="273"/>
      <c r="U956" s="274"/>
      <c r="V956" s="274"/>
      <c r="AA956" s="153"/>
      <c r="AB956" s="153"/>
    </row>
    <row r="957" spans="3:28" ht="13.2">
      <c r="C957" s="10"/>
      <c r="D957" s="10"/>
      <c r="E957" s="273"/>
      <c r="U957" s="274"/>
      <c r="V957" s="274"/>
      <c r="AA957" s="153"/>
      <c r="AB957" s="153"/>
    </row>
    <row r="958" spans="3:28" ht="13.2">
      <c r="C958" s="10"/>
      <c r="D958" s="10"/>
      <c r="E958" s="273"/>
      <c r="U958" s="274"/>
      <c r="V958" s="274"/>
      <c r="AA958" s="153"/>
      <c r="AB958" s="153"/>
    </row>
    <row r="959" spans="3:28" ht="13.2">
      <c r="C959" s="10"/>
      <c r="D959" s="10"/>
      <c r="E959" s="273"/>
      <c r="U959" s="274"/>
      <c r="V959" s="274"/>
      <c r="AA959" s="153"/>
      <c r="AB959" s="153"/>
    </row>
    <row r="960" spans="3:28" ht="13.2">
      <c r="C960" s="10"/>
      <c r="D960" s="10"/>
      <c r="E960" s="273"/>
      <c r="U960" s="274"/>
      <c r="V960" s="274"/>
      <c r="AA960" s="153"/>
      <c r="AB960" s="153"/>
    </row>
    <row r="961" spans="3:28" ht="13.2">
      <c r="C961" s="10"/>
      <c r="D961" s="10"/>
      <c r="E961" s="273"/>
      <c r="U961" s="274"/>
      <c r="V961" s="274"/>
      <c r="AA961" s="153"/>
      <c r="AB961" s="153"/>
    </row>
    <row r="962" spans="3:28" ht="13.2">
      <c r="C962" s="10"/>
      <c r="D962" s="10"/>
      <c r="E962" s="273"/>
      <c r="U962" s="274"/>
      <c r="V962" s="274"/>
      <c r="AA962" s="153"/>
      <c r="AB962" s="153"/>
    </row>
    <row r="963" spans="3:28" ht="13.2">
      <c r="C963" s="10"/>
      <c r="D963" s="10"/>
      <c r="E963" s="273"/>
      <c r="U963" s="274"/>
      <c r="V963" s="274"/>
      <c r="AA963" s="153"/>
      <c r="AB963" s="153"/>
    </row>
    <row r="964" spans="3:28" ht="13.2">
      <c r="C964" s="10"/>
      <c r="D964" s="10"/>
      <c r="E964" s="273"/>
      <c r="U964" s="274"/>
      <c r="V964" s="274"/>
      <c r="AA964" s="153"/>
      <c r="AB964" s="153"/>
    </row>
    <row r="965" spans="3:28" ht="13.2">
      <c r="C965" s="10"/>
      <c r="D965" s="10"/>
      <c r="E965" s="273"/>
      <c r="U965" s="274"/>
      <c r="V965" s="274"/>
      <c r="AA965" s="153"/>
      <c r="AB965" s="153"/>
    </row>
    <row r="966" spans="3:28" ht="13.2">
      <c r="C966" s="10"/>
      <c r="D966" s="10"/>
      <c r="E966" s="273"/>
      <c r="U966" s="274"/>
      <c r="V966" s="274"/>
      <c r="AA966" s="153"/>
      <c r="AB966" s="153"/>
    </row>
    <row r="967" spans="3:28" ht="13.2">
      <c r="C967" s="10"/>
      <c r="D967" s="10"/>
      <c r="E967" s="273"/>
      <c r="U967" s="274"/>
      <c r="V967" s="274"/>
      <c r="AA967" s="153"/>
      <c r="AB967" s="153"/>
    </row>
    <row r="968" spans="3:28" ht="13.2">
      <c r="C968" s="10"/>
      <c r="D968" s="10"/>
      <c r="E968" s="273"/>
      <c r="U968" s="274"/>
      <c r="V968" s="274"/>
      <c r="AA968" s="153"/>
      <c r="AB968" s="153"/>
    </row>
    <row r="969" spans="3:28" ht="13.2">
      <c r="C969" s="10"/>
      <c r="D969" s="10"/>
      <c r="E969" s="273"/>
      <c r="U969" s="274"/>
      <c r="V969" s="274"/>
      <c r="AA969" s="153"/>
      <c r="AB969" s="153"/>
    </row>
    <row r="970" spans="3:28" ht="13.2">
      <c r="C970" s="10"/>
      <c r="D970" s="10"/>
      <c r="E970" s="273"/>
      <c r="U970" s="274"/>
      <c r="V970" s="274"/>
      <c r="AA970" s="153"/>
      <c r="AB970" s="153"/>
    </row>
    <row r="971" spans="3:28" ht="13.2">
      <c r="C971" s="10"/>
      <c r="D971" s="10"/>
      <c r="E971" s="273"/>
      <c r="U971" s="274"/>
      <c r="V971" s="274"/>
      <c r="AA971" s="153"/>
      <c r="AB971" s="153"/>
    </row>
    <row r="972" spans="3:28" ht="13.2">
      <c r="C972" s="10"/>
      <c r="D972" s="10"/>
      <c r="E972" s="273"/>
      <c r="U972" s="274"/>
      <c r="V972" s="274"/>
      <c r="AA972" s="153"/>
      <c r="AB972" s="153"/>
    </row>
    <row r="973" spans="3:28" ht="13.2">
      <c r="C973" s="10"/>
      <c r="D973" s="10"/>
      <c r="E973" s="273"/>
      <c r="U973" s="274"/>
      <c r="V973" s="274"/>
      <c r="AA973" s="153"/>
      <c r="AB973" s="153"/>
    </row>
    <row r="974" spans="3:28" ht="13.2">
      <c r="C974" s="10"/>
      <c r="D974" s="10"/>
      <c r="E974" s="273"/>
      <c r="U974" s="274"/>
      <c r="V974" s="274"/>
      <c r="AA974" s="153"/>
      <c r="AB974" s="153"/>
    </row>
    <row r="975" spans="3:28" ht="13.2">
      <c r="C975" s="10"/>
      <c r="D975" s="10"/>
      <c r="E975" s="273"/>
      <c r="U975" s="274"/>
      <c r="V975" s="274"/>
      <c r="AA975" s="153"/>
      <c r="AB975" s="153"/>
    </row>
    <row r="976" spans="3:28" ht="13.2">
      <c r="C976" s="10"/>
      <c r="D976" s="10"/>
      <c r="E976" s="273"/>
      <c r="U976" s="274"/>
      <c r="V976" s="274"/>
      <c r="AA976" s="153"/>
      <c r="AB976" s="153"/>
    </row>
    <row r="977" spans="3:28" ht="13.2">
      <c r="C977" s="10"/>
      <c r="D977" s="10"/>
      <c r="E977" s="273"/>
      <c r="U977" s="274"/>
      <c r="V977" s="274"/>
      <c r="AA977" s="153"/>
      <c r="AB977" s="153"/>
    </row>
    <row r="978" spans="3:28" ht="13.2">
      <c r="C978" s="10"/>
      <c r="D978" s="10"/>
      <c r="E978" s="273"/>
      <c r="U978" s="274"/>
      <c r="V978" s="274"/>
      <c r="AA978" s="153"/>
      <c r="AB978" s="153"/>
    </row>
    <row r="979" spans="3:28" ht="13.2">
      <c r="C979" s="10"/>
      <c r="D979" s="10"/>
      <c r="E979" s="273"/>
      <c r="U979" s="274"/>
      <c r="V979" s="274"/>
      <c r="AA979" s="153"/>
      <c r="AB979" s="153"/>
    </row>
    <row r="980" spans="3:28" ht="13.2">
      <c r="C980" s="10"/>
      <c r="D980" s="10"/>
      <c r="E980" s="273"/>
      <c r="U980" s="274"/>
      <c r="V980" s="274"/>
      <c r="AA980" s="153"/>
      <c r="AB980" s="153"/>
    </row>
    <row r="981" spans="3:28" ht="13.2">
      <c r="C981" s="10"/>
      <c r="D981" s="10"/>
      <c r="E981" s="273"/>
      <c r="U981" s="274"/>
      <c r="V981" s="274"/>
      <c r="AA981" s="153"/>
      <c r="AB981" s="153"/>
    </row>
    <row r="982" spans="3:28" ht="13.2">
      <c r="C982" s="10"/>
      <c r="D982" s="10"/>
      <c r="E982" s="273"/>
      <c r="U982" s="274"/>
      <c r="V982" s="274"/>
      <c r="AA982" s="153"/>
      <c r="AB982" s="153"/>
    </row>
    <row r="983" spans="3:28" ht="13.2">
      <c r="C983" s="10"/>
      <c r="D983" s="10"/>
      <c r="E983" s="273"/>
      <c r="U983" s="274"/>
      <c r="V983" s="274"/>
      <c r="AA983" s="153"/>
      <c r="AB983" s="153"/>
    </row>
    <row r="984" spans="3:28" ht="13.2">
      <c r="C984" s="10"/>
      <c r="D984" s="10"/>
      <c r="E984" s="273"/>
      <c r="U984" s="274"/>
      <c r="V984" s="274"/>
      <c r="AA984" s="153"/>
      <c r="AB984" s="153"/>
    </row>
    <row r="985" spans="3:28" ht="13.2">
      <c r="C985" s="10"/>
      <c r="D985" s="10"/>
      <c r="E985" s="273"/>
      <c r="U985" s="274"/>
      <c r="V985" s="274"/>
      <c r="AA985" s="153"/>
      <c r="AB985" s="153"/>
    </row>
    <row r="986" spans="3:28" ht="13.2">
      <c r="C986" s="10"/>
      <c r="D986" s="10"/>
      <c r="E986" s="273"/>
      <c r="U986" s="274"/>
      <c r="V986" s="274"/>
      <c r="AA986" s="153"/>
      <c r="AB986" s="153"/>
    </row>
    <row r="987" spans="3:28" ht="13.2">
      <c r="C987" s="10"/>
      <c r="D987" s="10"/>
      <c r="E987" s="273"/>
      <c r="U987" s="274"/>
      <c r="V987" s="274"/>
      <c r="AA987" s="153"/>
      <c r="AB987" s="153"/>
    </row>
    <row r="988" spans="3:28" ht="13.2">
      <c r="C988" s="10"/>
      <c r="D988" s="10"/>
      <c r="E988" s="273"/>
      <c r="U988" s="274"/>
      <c r="V988" s="274"/>
      <c r="AA988" s="153"/>
      <c r="AB988" s="153"/>
    </row>
    <row r="989" spans="3:28" ht="13.2">
      <c r="C989" s="10"/>
      <c r="D989" s="10"/>
      <c r="E989" s="273"/>
      <c r="U989" s="274"/>
      <c r="V989" s="274"/>
      <c r="AA989" s="153"/>
      <c r="AB989" s="153"/>
    </row>
    <row r="990" spans="3:28" ht="13.2">
      <c r="C990" s="10"/>
      <c r="D990" s="10"/>
      <c r="E990" s="273"/>
      <c r="U990" s="274"/>
      <c r="V990" s="274"/>
      <c r="AA990" s="153"/>
      <c r="AB990" s="153"/>
    </row>
    <row r="991" spans="3:28" ht="13.2">
      <c r="C991" s="10"/>
      <c r="D991" s="10"/>
      <c r="E991" s="273"/>
      <c r="U991" s="274"/>
      <c r="V991" s="274"/>
      <c r="AA991" s="153"/>
      <c r="AB991" s="153"/>
    </row>
    <row r="992" spans="3:28" ht="13.2">
      <c r="C992" s="10"/>
      <c r="D992" s="10"/>
      <c r="E992" s="273"/>
      <c r="U992" s="274"/>
      <c r="V992" s="274"/>
      <c r="AA992" s="153"/>
      <c r="AB992" s="153"/>
    </row>
    <row r="993" spans="3:28" ht="13.2">
      <c r="C993" s="10"/>
      <c r="D993" s="10"/>
      <c r="E993" s="273"/>
      <c r="U993" s="274"/>
      <c r="V993" s="274"/>
      <c r="AA993" s="153"/>
      <c r="AB993" s="153"/>
    </row>
    <row r="994" spans="3:28" ht="13.2">
      <c r="C994" s="10"/>
      <c r="D994" s="10"/>
      <c r="E994" s="273"/>
      <c r="U994" s="274"/>
      <c r="V994" s="274"/>
      <c r="AA994" s="153"/>
      <c r="AB994" s="153"/>
    </row>
    <row r="995" spans="3:28" ht="13.2">
      <c r="C995" s="10"/>
      <c r="D995" s="10"/>
      <c r="E995" s="273"/>
      <c r="U995" s="274"/>
      <c r="V995" s="274"/>
      <c r="AA995" s="153"/>
      <c r="AB995" s="153"/>
    </row>
    <row r="996" spans="3:28" ht="13.2">
      <c r="C996" s="10"/>
      <c r="D996" s="10"/>
      <c r="E996" s="273"/>
      <c r="U996" s="274"/>
      <c r="V996" s="274"/>
      <c r="AA996" s="153"/>
      <c r="AB996" s="153"/>
    </row>
    <row r="997" spans="3:28" ht="13.2">
      <c r="C997" s="10"/>
      <c r="D997" s="10"/>
      <c r="E997" s="273"/>
      <c r="U997" s="274"/>
      <c r="V997" s="274"/>
      <c r="AA997" s="153"/>
      <c r="AB997" s="153"/>
    </row>
    <row r="998" spans="3:28" ht="13.2">
      <c r="C998" s="10"/>
      <c r="D998" s="10"/>
      <c r="E998" s="273"/>
      <c r="U998" s="274"/>
      <c r="V998" s="274"/>
      <c r="AA998" s="153"/>
      <c r="AB998" s="153"/>
    </row>
  </sheetData>
  <mergeCells count="12">
    <mergeCell ref="F1:AE1"/>
    <mergeCell ref="A2:A3"/>
    <mergeCell ref="B2:B3"/>
    <mergeCell ref="G2:K2"/>
    <mergeCell ref="L2:O2"/>
    <mergeCell ref="P2:S2"/>
    <mergeCell ref="T2:W2"/>
    <mergeCell ref="X2:AB2"/>
    <mergeCell ref="AC2:AF2"/>
    <mergeCell ref="AG2:AG3"/>
    <mergeCell ref="AH2:AH3"/>
    <mergeCell ref="AI2:AI3"/>
  </mergeCells>
  <dataValidations count="1">
    <dataValidation type="list" allowBlank="1" showErrorMessage="1" sqref="F4:AF66" xr:uid="{00000000-0002-0000-0800-000000000000}">
      <formula1>"አለ/ች,ቀሪ,ፍቃድ"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FF"/>
    <outlinePr summaryBelow="0" summaryRight="0"/>
  </sheetPr>
  <dimension ref="A1:AF99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6640625" defaultRowHeight="15.75" customHeight="1"/>
  <cols>
    <col min="2" max="2" width="23" customWidth="1"/>
    <col min="3" max="4" width="10.6640625" customWidth="1"/>
    <col min="21" max="21" width="12.88671875" customWidth="1"/>
    <col min="27" max="27" width="13.33203125" customWidth="1"/>
  </cols>
  <sheetData>
    <row r="1" spans="1:32">
      <c r="F1" s="198"/>
    </row>
    <row r="2" spans="1:32" ht="15.75" customHeight="1">
      <c r="A2" s="333" t="s">
        <v>0</v>
      </c>
      <c r="B2" s="333" t="s">
        <v>1</v>
      </c>
      <c r="C2" s="199"/>
      <c r="D2" s="201"/>
      <c r="E2" s="202"/>
      <c r="F2" s="322" t="s">
        <v>2</v>
      </c>
      <c r="G2" s="311"/>
      <c r="H2" s="311"/>
      <c r="I2" s="312"/>
      <c r="J2" s="325" t="s">
        <v>6</v>
      </c>
      <c r="K2" s="311"/>
      <c r="L2" s="311"/>
      <c r="M2" s="311"/>
      <c r="N2" s="312"/>
      <c r="O2" s="325" t="s">
        <v>10</v>
      </c>
      <c r="P2" s="311"/>
      <c r="Q2" s="311"/>
      <c r="R2" s="311"/>
      <c r="S2" s="325" t="s">
        <v>12</v>
      </c>
      <c r="T2" s="311"/>
      <c r="U2" s="311"/>
      <c r="V2" s="311"/>
      <c r="W2" s="325" t="s">
        <v>15</v>
      </c>
      <c r="X2" s="311"/>
      <c r="Y2" s="311"/>
      <c r="Z2" s="311"/>
      <c r="AA2" s="14" t="s">
        <v>17</v>
      </c>
      <c r="AB2" s="22"/>
      <c r="AC2" s="325"/>
      <c r="AD2" s="311"/>
      <c r="AE2" s="311"/>
      <c r="AF2" s="312"/>
    </row>
    <row r="3" spans="1:32" ht="15.75" customHeight="1">
      <c r="A3" s="314"/>
      <c r="B3" s="314"/>
      <c r="C3" s="204" t="s">
        <v>5</v>
      </c>
      <c r="D3" s="204" t="s">
        <v>7</v>
      </c>
      <c r="E3" s="205" t="s">
        <v>8</v>
      </c>
      <c r="F3" s="21">
        <v>4</v>
      </c>
      <c r="G3" s="21">
        <v>11</v>
      </c>
      <c r="H3" s="21">
        <v>18</v>
      </c>
      <c r="I3" s="21">
        <v>25</v>
      </c>
      <c r="J3" s="21">
        <v>2</v>
      </c>
      <c r="K3" s="21">
        <v>9</v>
      </c>
      <c r="L3" s="24">
        <v>16</v>
      </c>
      <c r="M3" s="24">
        <v>23</v>
      </c>
      <c r="N3" s="24">
        <v>30</v>
      </c>
      <c r="O3" s="24">
        <v>7</v>
      </c>
      <c r="P3" s="24">
        <v>14</v>
      </c>
      <c r="Q3" s="24">
        <v>21</v>
      </c>
      <c r="R3" s="24">
        <v>28</v>
      </c>
      <c r="S3" s="24">
        <v>5</v>
      </c>
      <c r="T3" s="24">
        <v>12</v>
      </c>
      <c r="U3" s="27">
        <v>19</v>
      </c>
      <c r="V3" s="27">
        <v>26</v>
      </c>
      <c r="W3" s="24">
        <v>3</v>
      </c>
      <c r="X3" s="24">
        <v>10</v>
      </c>
      <c r="Y3" s="24">
        <v>17</v>
      </c>
      <c r="Z3" s="21">
        <v>24</v>
      </c>
      <c r="AA3" s="21">
        <v>1</v>
      </c>
      <c r="AB3" s="157"/>
      <c r="AC3" s="38"/>
      <c r="AD3" s="38"/>
      <c r="AE3" s="38"/>
      <c r="AF3" s="25"/>
    </row>
    <row r="4" spans="1:32">
      <c r="A4" s="192" t="s">
        <v>755</v>
      </c>
      <c r="B4" s="193" t="s">
        <v>756</v>
      </c>
      <c r="C4" s="194"/>
      <c r="D4" s="195" t="s">
        <v>35</v>
      </c>
      <c r="E4" s="196">
        <v>983032831</v>
      </c>
      <c r="F4" s="169"/>
      <c r="G4" s="42" t="s">
        <v>19</v>
      </c>
      <c r="H4" s="42" t="s">
        <v>27</v>
      </c>
      <c r="I4" s="42" t="s">
        <v>27</v>
      </c>
      <c r="J4" s="42"/>
      <c r="K4" s="42"/>
      <c r="L4" s="42" t="s">
        <v>27</v>
      </c>
      <c r="M4" s="42" t="s">
        <v>27</v>
      </c>
      <c r="N4" s="44"/>
      <c r="O4" s="42" t="s">
        <v>27</v>
      </c>
      <c r="P4" s="44"/>
      <c r="Q4" s="44"/>
      <c r="R4" s="44"/>
      <c r="S4" s="44"/>
      <c r="T4" s="42" t="s">
        <v>27</v>
      </c>
      <c r="U4" s="44"/>
      <c r="V4" s="44"/>
      <c r="W4" s="42"/>
      <c r="X4" s="44"/>
      <c r="Y4" s="42"/>
      <c r="Z4" s="42"/>
      <c r="AA4" s="44"/>
      <c r="AB4" s="44"/>
      <c r="AC4" s="42"/>
      <c r="AD4" s="42"/>
      <c r="AE4" s="44"/>
      <c r="AF4" s="46"/>
    </row>
    <row r="5" spans="1:32">
      <c r="A5" s="192" t="s">
        <v>775</v>
      </c>
      <c r="B5" s="193" t="s">
        <v>776</v>
      </c>
      <c r="C5" s="194"/>
      <c r="D5" s="195" t="s">
        <v>35</v>
      </c>
      <c r="E5" s="196">
        <v>972026177</v>
      </c>
      <c r="F5" s="169"/>
      <c r="G5" s="42" t="s">
        <v>27</v>
      </c>
      <c r="H5" s="42" t="s">
        <v>27</v>
      </c>
      <c r="I5" s="42" t="s">
        <v>27</v>
      </c>
      <c r="J5" s="42" t="s">
        <v>27</v>
      </c>
      <c r="K5" s="42" t="s">
        <v>19</v>
      </c>
      <c r="L5" s="42" t="s">
        <v>27</v>
      </c>
      <c r="M5" s="42" t="s">
        <v>27</v>
      </c>
      <c r="N5" s="42" t="s">
        <v>27</v>
      </c>
      <c r="O5" s="42" t="s">
        <v>27</v>
      </c>
      <c r="P5" s="42" t="s">
        <v>27</v>
      </c>
      <c r="Q5" s="42" t="s">
        <v>27</v>
      </c>
      <c r="R5" s="42" t="s">
        <v>27</v>
      </c>
      <c r="S5" s="42"/>
      <c r="T5" s="42"/>
      <c r="U5" s="44"/>
      <c r="V5" s="44"/>
      <c r="W5" s="42" t="s">
        <v>27</v>
      </c>
      <c r="X5" s="42" t="s">
        <v>27</v>
      </c>
      <c r="Y5" s="42"/>
      <c r="Z5" s="42"/>
      <c r="AA5" s="44"/>
      <c r="AB5" s="44"/>
      <c r="AC5" s="42"/>
      <c r="AD5" s="42"/>
      <c r="AE5" s="44"/>
      <c r="AF5" s="46"/>
    </row>
    <row r="6" spans="1:32">
      <c r="A6" s="192" t="s">
        <v>781</v>
      </c>
      <c r="B6" s="193" t="s">
        <v>782</v>
      </c>
      <c r="C6" s="194"/>
      <c r="D6" s="195" t="s">
        <v>35</v>
      </c>
      <c r="E6" s="196">
        <v>910657605</v>
      </c>
      <c r="F6" s="169"/>
      <c r="G6" s="42"/>
      <c r="H6" s="42"/>
      <c r="I6" s="42" t="s">
        <v>27</v>
      </c>
      <c r="J6" s="42"/>
      <c r="K6" s="42"/>
      <c r="L6" s="42" t="s">
        <v>27</v>
      </c>
      <c r="M6" s="42" t="s">
        <v>27</v>
      </c>
      <c r="N6" s="42" t="s">
        <v>112</v>
      </c>
      <c r="O6" s="42" t="s">
        <v>112</v>
      </c>
      <c r="P6" s="42" t="s">
        <v>112</v>
      </c>
      <c r="Q6" s="42" t="s">
        <v>19</v>
      </c>
      <c r="R6" s="42" t="s">
        <v>27</v>
      </c>
      <c r="S6" s="44"/>
      <c r="T6" s="42"/>
      <c r="U6" s="44"/>
      <c r="V6" s="44"/>
      <c r="W6" s="44"/>
      <c r="X6" s="44"/>
      <c r="Y6" s="44"/>
      <c r="Z6" s="42"/>
      <c r="AA6" s="44"/>
      <c r="AB6" s="44"/>
      <c r="AC6" s="42"/>
      <c r="AD6" s="42"/>
      <c r="AE6" s="44"/>
      <c r="AF6" s="46"/>
    </row>
    <row r="7" spans="1:32">
      <c r="A7" s="192" t="s">
        <v>787</v>
      </c>
      <c r="B7" s="206" t="s">
        <v>803</v>
      </c>
      <c r="C7" s="195">
        <v>23</v>
      </c>
      <c r="D7" s="195" t="s">
        <v>35</v>
      </c>
      <c r="E7" s="196">
        <v>942881838</v>
      </c>
      <c r="F7" s="169"/>
      <c r="G7" s="42"/>
      <c r="H7" s="42"/>
      <c r="I7" s="42"/>
      <c r="J7" s="42"/>
      <c r="K7" s="42"/>
      <c r="L7" s="42"/>
      <c r="M7" s="42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6"/>
    </row>
    <row r="8" spans="1:32">
      <c r="A8" s="192" t="s">
        <v>793</v>
      </c>
      <c r="B8" s="206" t="s">
        <v>794</v>
      </c>
      <c r="C8" s="195">
        <v>20</v>
      </c>
      <c r="D8" s="195" t="s">
        <v>35</v>
      </c>
      <c r="E8" s="196">
        <v>948484077</v>
      </c>
      <c r="F8" s="169"/>
      <c r="G8" s="42"/>
      <c r="H8" s="42"/>
      <c r="I8" s="42"/>
      <c r="J8" s="42"/>
      <c r="K8" s="42"/>
      <c r="L8" s="42"/>
      <c r="M8" s="42"/>
      <c r="N8" s="44"/>
      <c r="O8" s="44"/>
      <c r="P8" s="44"/>
      <c r="Q8" s="44"/>
      <c r="R8" s="42"/>
      <c r="S8" s="44"/>
      <c r="T8" s="44"/>
      <c r="U8" s="44"/>
      <c r="V8" s="44"/>
      <c r="W8" s="44"/>
      <c r="X8" s="44"/>
      <c r="Y8" s="42"/>
      <c r="Z8" s="42"/>
      <c r="AA8" s="44"/>
      <c r="AB8" s="44"/>
      <c r="AC8" s="44"/>
      <c r="AD8" s="44"/>
      <c r="AE8" s="44"/>
      <c r="AF8" s="46"/>
    </row>
    <row r="9" spans="1:32">
      <c r="A9" s="212" t="s">
        <v>799</v>
      </c>
      <c r="B9" s="213" t="s">
        <v>800</v>
      </c>
      <c r="C9" s="214"/>
      <c r="D9" s="215" t="s">
        <v>35</v>
      </c>
      <c r="E9" s="215">
        <v>988412252</v>
      </c>
      <c r="F9" s="45"/>
      <c r="G9" s="45"/>
      <c r="H9" s="45"/>
      <c r="I9" s="45"/>
      <c r="J9" s="45"/>
      <c r="K9" s="45"/>
      <c r="L9" s="45"/>
      <c r="M9" s="45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220"/>
    </row>
    <row r="10" spans="1:32">
      <c r="A10" s="192" t="s">
        <v>806</v>
      </c>
      <c r="B10" s="193" t="s">
        <v>807</v>
      </c>
      <c r="C10" s="195">
        <v>25</v>
      </c>
      <c r="D10" s="195" t="s">
        <v>35</v>
      </c>
      <c r="E10" s="196">
        <v>908860672</v>
      </c>
      <c r="F10" s="169"/>
      <c r="G10" s="42"/>
      <c r="H10" s="42"/>
      <c r="I10" s="42"/>
      <c r="J10" s="42"/>
      <c r="K10" s="42"/>
      <c r="L10" s="42" t="s">
        <v>27</v>
      </c>
      <c r="M10" s="42" t="s">
        <v>27</v>
      </c>
      <c r="N10" s="44"/>
      <c r="O10" s="44"/>
      <c r="P10" s="44"/>
      <c r="Q10" s="44"/>
      <c r="R10" s="44"/>
      <c r="S10" s="44"/>
      <c r="T10" s="42" t="s">
        <v>27</v>
      </c>
      <c r="U10" s="44"/>
      <c r="V10" s="44"/>
      <c r="W10" s="44"/>
      <c r="X10" s="42" t="s">
        <v>27</v>
      </c>
      <c r="Y10" s="42" t="s">
        <v>27</v>
      </c>
      <c r="Z10" s="42"/>
      <c r="AA10" s="44"/>
      <c r="AB10" s="44"/>
      <c r="AC10" s="44"/>
      <c r="AD10" s="42"/>
      <c r="AE10" s="44"/>
      <c r="AF10" s="46"/>
    </row>
    <row r="11" spans="1:32">
      <c r="A11" s="192" t="s">
        <v>813</v>
      </c>
      <c r="B11" s="193" t="s">
        <v>814</v>
      </c>
      <c r="C11" s="194"/>
      <c r="D11" s="195" t="s">
        <v>26</v>
      </c>
      <c r="E11" s="211" t="s">
        <v>816</v>
      </c>
      <c r="F11" s="169"/>
      <c r="G11" s="42" t="s">
        <v>27</v>
      </c>
      <c r="H11" s="42" t="s">
        <v>27</v>
      </c>
      <c r="I11" s="42" t="s">
        <v>27</v>
      </c>
      <c r="J11" s="42" t="s">
        <v>27</v>
      </c>
      <c r="K11" s="42" t="s">
        <v>27</v>
      </c>
      <c r="L11" s="42" t="s">
        <v>27</v>
      </c>
      <c r="M11" s="42" t="s">
        <v>27</v>
      </c>
      <c r="N11" s="42"/>
      <c r="O11" s="42" t="s">
        <v>27</v>
      </c>
      <c r="P11" s="42" t="s">
        <v>27</v>
      </c>
      <c r="Q11" s="42"/>
      <c r="R11" s="42" t="s">
        <v>27</v>
      </c>
      <c r="S11" s="44"/>
      <c r="T11" s="44"/>
      <c r="U11" s="44"/>
      <c r="V11" s="44"/>
      <c r="W11" s="44"/>
      <c r="X11" s="42" t="s">
        <v>27</v>
      </c>
      <c r="Y11" s="44"/>
      <c r="Z11" s="42"/>
      <c r="AA11" s="44"/>
      <c r="AB11" s="44"/>
      <c r="AC11" s="42"/>
      <c r="AD11" s="42"/>
      <c r="AE11" s="44"/>
      <c r="AF11" s="46"/>
    </row>
    <row r="12" spans="1:32">
      <c r="A12" s="192" t="s">
        <v>819</v>
      </c>
      <c r="B12" s="193" t="s">
        <v>822</v>
      </c>
      <c r="C12" s="194"/>
      <c r="D12" s="195" t="s">
        <v>26</v>
      </c>
      <c r="E12" s="196">
        <v>995365226</v>
      </c>
      <c r="F12" s="169"/>
      <c r="G12" s="42"/>
      <c r="H12" s="42"/>
      <c r="I12" s="42"/>
      <c r="J12" s="42"/>
      <c r="K12" s="42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2"/>
      <c r="Y12" s="42"/>
      <c r="Z12" s="44"/>
      <c r="AA12" s="44"/>
      <c r="AB12" s="44"/>
      <c r="AC12" s="44"/>
      <c r="AD12" s="44"/>
      <c r="AE12" s="44"/>
      <c r="AF12" s="46"/>
    </row>
    <row r="13" spans="1:32">
      <c r="A13" s="192" t="s">
        <v>827</v>
      </c>
      <c r="B13" s="193" t="s">
        <v>828</v>
      </c>
      <c r="C13" s="195">
        <v>22</v>
      </c>
      <c r="D13" s="195" t="s">
        <v>35</v>
      </c>
      <c r="E13" s="196">
        <v>968190429</v>
      </c>
      <c r="F13" s="169"/>
      <c r="G13" s="42"/>
      <c r="H13" s="42"/>
      <c r="I13" s="42"/>
      <c r="J13" s="42"/>
      <c r="K13" s="42"/>
      <c r="L13" s="44"/>
      <c r="M13" s="42" t="s">
        <v>27</v>
      </c>
      <c r="N13" s="44"/>
      <c r="O13" s="44"/>
      <c r="P13" s="42" t="s">
        <v>27</v>
      </c>
      <c r="Q13" s="44"/>
      <c r="R13" s="44"/>
      <c r="S13" s="44"/>
      <c r="T13" s="44"/>
      <c r="U13" s="44"/>
      <c r="V13" s="44"/>
      <c r="W13" s="44"/>
      <c r="X13" s="44"/>
      <c r="Y13" s="42"/>
      <c r="Z13" s="42"/>
      <c r="AA13" s="44"/>
      <c r="AB13" s="44"/>
      <c r="AC13" s="44"/>
      <c r="AD13" s="42"/>
      <c r="AE13" s="44"/>
      <c r="AF13" s="46"/>
    </row>
    <row r="14" spans="1:32">
      <c r="A14" s="192" t="s">
        <v>833</v>
      </c>
      <c r="B14" s="193" t="s">
        <v>834</v>
      </c>
      <c r="C14" s="195">
        <v>28</v>
      </c>
      <c r="D14" s="195" t="s">
        <v>26</v>
      </c>
      <c r="E14" s="211" t="s">
        <v>835</v>
      </c>
      <c r="F14" s="169"/>
      <c r="G14" s="42"/>
      <c r="H14" s="42"/>
      <c r="I14" s="42"/>
      <c r="J14" s="42"/>
      <c r="K14" s="42" t="s">
        <v>19</v>
      </c>
      <c r="L14" s="42" t="s">
        <v>27</v>
      </c>
      <c r="M14" s="42"/>
      <c r="N14" s="42"/>
      <c r="O14" s="42"/>
      <c r="P14" s="42"/>
      <c r="Q14" s="42"/>
      <c r="R14" s="44"/>
      <c r="S14" s="42"/>
      <c r="T14" s="42"/>
      <c r="U14" s="44"/>
      <c r="V14" s="44"/>
      <c r="W14" s="42"/>
      <c r="X14" s="42"/>
      <c r="Y14" s="42"/>
      <c r="Z14" s="42"/>
      <c r="AA14" s="44"/>
      <c r="AB14" s="44"/>
      <c r="AC14" s="44"/>
      <c r="AD14" s="44"/>
      <c r="AE14" s="42"/>
      <c r="AF14" s="46"/>
    </row>
    <row r="15" spans="1:32">
      <c r="A15" s="192" t="s">
        <v>842</v>
      </c>
      <c r="B15" s="193" t="s">
        <v>843</v>
      </c>
      <c r="C15" s="194"/>
      <c r="D15" s="195" t="s">
        <v>35</v>
      </c>
      <c r="E15" s="196">
        <v>964506518</v>
      </c>
      <c r="F15" s="169"/>
      <c r="G15" s="42"/>
      <c r="H15" s="42"/>
      <c r="I15" s="42"/>
      <c r="J15" s="42"/>
      <c r="K15" s="42" t="s">
        <v>27</v>
      </c>
      <c r="L15" s="42" t="s">
        <v>27</v>
      </c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2"/>
      <c r="AA15" s="44"/>
      <c r="AB15" s="44"/>
      <c r="AC15" s="42"/>
      <c r="AD15" s="42"/>
      <c r="AE15" s="44"/>
      <c r="AF15" s="46"/>
    </row>
    <row r="16" spans="1:32">
      <c r="A16" s="192" t="s">
        <v>848</v>
      </c>
      <c r="B16" s="193" t="s">
        <v>849</v>
      </c>
      <c r="C16" s="194"/>
      <c r="D16" s="195" t="s">
        <v>26</v>
      </c>
      <c r="E16" s="223"/>
      <c r="F16" s="169"/>
      <c r="G16" s="42"/>
      <c r="H16" s="42"/>
      <c r="I16" s="42"/>
      <c r="J16" s="42"/>
      <c r="K16" s="42"/>
      <c r="L16" s="44"/>
      <c r="M16" s="44"/>
      <c r="N16" s="44"/>
      <c r="O16" s="44"/>
      <c r="P16" s="44"/>
      <c r="Q16" s="44"/>
      <c r="R16" s="42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6"/>
    </row>
    <row r="17" spans="1:32">
      <c r="A17" s="192" t="s">
        <v>854</v>
      </c>
      <c r="B17" s="193" t="s">
        <v>856</v>
      </c>
      <c r="C17" s="195">
        <v>31</v>
      </c>
      <c r="D17" s="195" t="s">
        <v>35</v>
      </c>
      <c r="E17" s="196">
        <v>910611081</v>
      </c>
      <c r="F17" s="169"/>
      <c r="G17" s="42"/>
      <c r="H17" s="42"/>
      <c r="I17" s="42"/>
      <c r="J17" s="42"/>
      <c r="K17" s="42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6"/>
    </row>
    <row r="18" spans="1:32">
      <c r="A18" s="192" t="s">
        <v>859</v>
      </c>
      <c r="B18" s="193" t="s">
        <v>860</v>
      </c>
      <c r="C18" s="194"/>
      <c r="D18" s="195" t="s">
        <v>35</v>
      </c>
      <c r="E18" s="196">
        <v>994439728</v>
      </c>
      <c r="F18" s="169"/>
      <c r="G18" s="42"/>
      <c r="H18" s="42"/>
      <c r="I18" s="42"/>
      <c r="J18" s="42"/>
      <c r="K18" s="42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6"/>
    </row>
    <row r="19" spans="1:32">
      <c r="A19" s="192" t="s">
        <v>862</v>
      </c>
      <c r="B19" s="206" t="s">
        <v>863</v>
      </c>
      <c r="C19" s="194"/>
      <c r="D19" s="195" t="s">
        <v>35</v>
      </c>
      <c r="E19" s="196">
        <v>921899792</v>
      </c>
      <c r="F19" s="169"/>
      <c r="G19" s="42"/>
      <c r="H19" s="42"/>
      <c r="I19" s="42"/>
      <c r="J19" s="42"/>
      <c r="K19" s="42"/>
      <c r="L19" s="42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6"/>
    </row>
    <row r="20" spans="1:32">
      <c r="A20" s="192" t="s">
        <v>866</v>
      </c>
      <c r="B20" s="193" t="s">
        <v>867</v>
      </c>
      <c r="C20" s="195">
        <v>24</v>
      </c>
      <c r="D20" s="195" t="s">
        <v>35</v>
      </c>
      <c r="E20" s="211" t="s">
        <v>868</v>
      </c>
      <c r="F20" s="169"/>
      <c r="G20" s="42"/>
      <c r="H20" s="42" t="s">
        <v>27</v>
      </c>
      <c r="I20" s="42" t="s">
        <v>27</v>
      </c>
      <c r="J20" s="42"/>
      <c r="K20" s="42"/>
      <c r="L20" s="42" t="s">
        <v>27</v>
      </c>
      <c r="M20" s="42" t="s">
        <v>27</v>
      </c>
      <c r="N20" s="44"/>
      <c r="O20" s="42" t="s">
        <v>27</v>
      </c>
      <c r="P20" s="44"/>
      <c r="Q20" s="44"/>
      <c r="R20" s="44"/>
      <c r="S20" s="44"/>
      <c r="T20" s="44"/>
      <c r="U20" s="44"/>
      <c r="V20" s="44"/>
      <c r="W20" s="42"/>
      <c r="X20" s="42"/>
      <c r="Y20" s="42"/>
      <c r="Z20" s="42"/>
      <c r="AA20" s="44"/>
      <c r="AB20" s="44"/>
      <c r="AC20" s="44"/>
      <c r="AD20" s="44"/>
      <c r="AE20" s="44"/>
      <c r="AF20" s="46"/>
    </row>
    <row r="21" spans="1:32">
      <c r="A21" s="192" t="s">
        <v>870</v>
      </c>
      <c r="B21" s="206" t="s">
        <v>871</v>
      </c>
      <c r="C21" s="194"/>
      <c r="D21" s="195" t="s">
        <v>26</v>
      </c>
      <c r="E21" s="196">
        <v>911300897</v>
      </c>
      <c r="F21" s="169"/>
      <c r="G21" s="42"/>
      <c r="H21" s="42"/>
      <c r="I21" s="42" t="s">
        <v>27</v>
      </c>
      <c r="J21" s="42"/>
      <c r="K21" s="42"/>
      <c r="L21" s="42" t="s">
        <v>27</v>
      </c>
      <c r="M21" s="42" t="s">
        <v>27</v>
      </c>
      <c r="N21" s="44"/>
      <c r="O21" s="42" t="s">
        <v>27</v>
      </c>
      <c r="P21" s="42" t="s">
        <v>27</v>
      </c>
      <c r="Q21" s="44"/>
      <c r="R21" s="42" t="s">
        <v>27</v>
      </c>
      <c r="S21" s="44"/>
      <c r="T21" s="42" t="s">
        <v>27</v>
      </c>
      <c r="U21" s="44"/>
      <c r="V21" s="44"/>
      <c r="W21" s="44"/>
      <c r="X21" s="44"/>
      <c r="Y21" s="42" t="s">
        <v>27</v>
      </c>
      <c r="Z21" s="42"/>
      <c r="AA21" s="44"/>
      <c r="AB21" s="44"/>
      <c r="AC21" s="42"/>
      <c r="AD21" s="42"/>
      <c r="AE21" s="44"/>
      <c r="AF21" s="46"/>
    </row>
    <row r="22" spans="1:32">
      <c r="A22" s="192" t="s">
        <v>872</v>
      </c>
      <c r="B22" s="193" t="s">
        <v>873</v>
      </c>
      <c r="C22" s="195">
        <v>23</v>
      </c>
      <c r="D22" s="195" t="s">
        <v>26</v>
      </c>
      <c r="E22" s="196">
        <v>941961321</v>
      </c>
      <c r="F22" s="169"/>
      <c r="G22" s="42"/>
      <c r="H22" s="42"/>
      <c r="I22" s="42" t="s">
        <v>27</v>
      </c>
      <c r="J22" s="42"/>
      <c r="K22" s="42"/>
      <c r="L22" s="44"/>
      <c r="M22" s="42" t="s">
        <v>27</v>
      </c>
      <c r="N22" s="42" t="s">
        <v>27</v>
      </c>
      <c r="O22" s="42" t="s">
        <v>112</v>
      </c>
      <c r="P22" s="42" t="s">
        <v>27</v>
      </c>
      <c r="Q22" s="42"/>
      <c r="R22" s="42"/>
      <c r="S22" s="42"/>
      <c r="T22" s="44"/>
      <c r="U22" s="44"/>
      <c r="V22" s="44"/>
      <c r="W22" s="44"/>
      <c r="X22" s="42"/>
      <c r="Y22" s="42"/>
      <c r="Z22" s="42"/>
      <c r="AA22" s="44"/>
      <c r="AB22" s="44"/>
      <c r="AC22" s="44"/>
      <c r="AD22" s="44"/>
      <c r="AE22" s="44"/>
      <c r="AF22" s="46"/>
    </row>
    <row r="23" spans="1:32">
      <c r="A23" s="192" t="s">
        <v>874</v>
      </c>
      <c r="B23" s="193" t="s">
        <v>875</v>
      </c>
      <c r="C23" s="194"/>
      <c r="D23" s="195" t="s">
        <v>35</v>
      </c>
      <c r="E23" s="196">
        <v>974403606</v>
      </c>
      <c r="F23" s="169"/>
      <c r="G23" s="42"/>
      <c r="H23" s="42"/>
      <c r="I23" s="42"/>
      <c r="J23" s="42"/>
      <c r="K23" s="42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6"/>
    </row>
    <row r="24" spans="1:32">
      <c r="A24" s="192" t="s">
        <v>876</v>
      </c>
      <c r="B24" s="193" t="s">
        <v>877</v>
      </c>
      <c r="C24" s="194"/>
      <c r="D24" s="195" t="s">
        <v>35</v>
      </c>
      <c r="E24" s="211" t="s">
        <v>878</v>
      </c>
      <c r="F24" s="169"/>
      <c r="G24" s="42"/>
      <c r="H24" s="42"/>
      <c r="I24" s="42"/>
      <c r="J24" s="42"/>
      <c r="K24" s="42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6"/>
    </row>
    <row r="25" spans="1:32">
      <c r="A25" s="192" t="s">
        <v>879</v>
      </c>
      <c r="B25" s="206" t="s">
        <v>880</v>
      </c>
      <c r="C25" s="195">
        <v>22</v>
      </c>
      <c r="D25" s="195" t="s">
        <v>35</v>
      </c>
      <c r="E25" s="196">
        <v>975798726</v>
      </c>
      <c r="F25" s="169"/>
      <c r="G25" s="42" t="s">
        <v>27</v>
      </c>
      <c r="H25" s="42" t="s">
        <v>27</v>
      </c>
      <c r="I25" s="42" t="s">
        <v>27</v>
      </c>
      <c r="J25" s="42" t="s">
        <v>27</v>
      </c>
      <c r="K25" s="42" t="s">
        <v>19</v>
      </c>
      <c r="L25" s="42" t="s">
        <v>27</v>
      </c>
      <c r="M25" s="42" t="s">
        <v>27</v>
      </c>
      <c r="N25" s="44"/>
      <c r="O25" s="42" t="s">
        <v>27</v>
      </c>
      <c r="P25" s="42" t="s">
        <v>27</v>
      </c>
      <c r="Q25" s="42" t="s">
        <v>27</v>
      </c>
      <c r="R25" s="42" t="s">
        <v>27</v>
      </c>
      <c r="S25" s="44"/>
      <c r="T25" s="42" t="s">
        <v>27</v>
      </c>
      <c r="U25" s="44"/>
      <c r="V25" s="44"/>
      <c r="W25" s="44"/>
      <c r="X25" s="42"/>
      <c r="Y25" s="42"/>
      <c r="Z25" s="42"/>
      <c r="AA25" s="44"/>
      <c r="AB25" s="44"/>
      <c r="AC25" s="44"/>
      <c r="AD25" s="44"/>
      <c r="AE25" s="44"/>
      <c r="AF25" s="46"/>
    </row>
    <row r="26" spans="1:32">
      <c r="A26" s="192" t="s">
        <v>881</v>
      </c>
      <c r="B26" s="193" t="s">
        <v>882</v>
      </c>
      <c r="C26" s="195">
        <v>21</v>
      </c>
      <c r="D26" s="195" t="s">
        <v>35</v>
      </c>
      <c r="E26" s="211" t="s">
        <v>883</v>
      </c>
      <c r="F26" s="169"/>
      <c r="G26" s="42"/>
      <c r="H26" s="42"/>
      <c r="I26" s="42"/>
      <c r="J26" s="42"/>
      <c r="K26" s="42"/>
      <c r="L26" s="42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6"/>
    </row>
    <row r="27" spans="1:32">
      <c r="A27" s="192" t="s">
        <v>884</v>
      </c>
      <c r="B27" s="193" t="s">
        <v>885</v>
      </c>
      <c r="C27" s="194"/>
      <c r="D27" s="195" t="s">
        <v>35</v>
      </c>
      <c r="E27" s="196">
        <v>900856880</v>
      </c>
      <c r="F27" s="224"/>
      <c r="G27" s="225"/>
      <c r="H27" s="225"/>
      <c r="I27" s="42"/>
      <c r="J27" s="42"/>
      <c r="K27" s="42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  <c r="AA27" s="226"/>
      <c r="AB27" s="226"/>
      <c r="AC27" s="226"/>
      <c r="AD27" s="226"/>
      <c r="AE27" s="226"/>
      <c r="AF27" s="228"/>
    </row>
    <row r="28" spans="1:32">
      <c r="A28" s="192" t="s">
        <v>886</v>
      </c>
      <c r="B28" s="193" t="s">
        <v>887</v>
      </c>
      <c r="C28" s="194"/>
      <c r="D28" s="195" t="s">
        <v>26</v>
      </c>
      <c r="E28" s="223"/>
      <c r="F28" s="169"/>
      <c r="G28" s="42"/>
      <c r="H28" s="42"/>
      <c r="I28" s="42"/>
      <c r="J28" s="42"/>
      <c r="K28" s="42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6"/>
    </row>
    <row r="29" spans="1:32">
      <c r="A29" s="192" t="s">
        <v>888</v>
      </c>
      <c r="B29" s="193" t="s">
        <v>889</v>
      </c>
      <c r="C29" s="194"/>
      <c r="D29" s="195" t="s">
        <v>26</v>
      </c>
      <c r="E29" s="196">
        <v>983042788</v>
      </c>
      <c r="F29" s="169"/>
      <c r="G29" s="42"/>
      <c r="H29" s="42"/>
      <c r="I29" s="42"/>
      <c r="J29" s="42"/>
      <c r="K29" s="42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2"/>
      <c r="Y29" s="42"/>
      <c r="Z29" s="44"/>
      <c r="AA29" s="44"/>
      <c r="AB29" s="44"/>
      <c r="AC29" s="44"/>
      <c r="AD29" s="44"/>
      <c r="AE29" s="44"/>
      <c r="AF29" s="46"/>
    </row>
    <row r="30" spans="1:32">
      <c r="A30" s="192" t="s">
        <v>890</v>
      </c>
      <c r="B30" s="193" t="s">
        <v>891</v>
      </c>
      <c r="C30" s="194"/>
      <c r="D30" s="195"/>
      <c r="E30" s="211" t="s">
        <v>892</v>
      </c>
      <c r="F30" s="169"/>
      <c r="G30" s="42"/>
      <c r="H30" s="42"/>
      <c r="I30" s="42" t="s">
        <v>27</v>
      </c>
      <c r="J30" s="42"/>
      <c r="K30" s="42" t="s">
        <v>27</v>
      </c>
      <c r="L30" s="42" t="s">
        <v>112</v>
      </c>
      <c r="M30" s="42" t="s">
        <v>27</v>
      </c>
      <c r="N30" s="44"/>
      <c r="O30" s="42" t="s">
        <v>112</v>
      </c>
      <c r="P30" s="42" t="s">
        <v>27</v>
      </c>
      <c r="Q30" s="44"/>
      <c r="R30" s="42" t="s">
        <v>27</v>
      </c>
      <c r="S30" s="44"/>
      <c r="T30" s="42"/>
      <c r="U30" s="44"/>
      <c r="V30" s="44"/>
      <c r="W30" s="42"/>
      <c r="X30" s="42"/>
      <c r="Y30" s="42"/>
      <c r="Z30" s="42"/>
      <c r="AA30" s="44"/>
      <c r="AB30" s="44"/>
      <c r="AC30" s="42"/>
      <c r="AD30" s="42"/>
      <c r="AE30" s="42"/>
      <c r="AF30" s="46"/>
    </row>
    <row r="31" spans="1:32">
      <c r="A31" s="192" t="s">
        <v>893</v>
      </c>
      <c r="B31" s="206" t="s">
        <v>894</v>
      </c>
      <c r="C31" s="195">
        <v>29</v>
      </c>
      <c r="D31" s="195" t="s">
        <v>26</v>
      </c>
      <c r="E31" s="195">
        <v>901315121</v>
      </c>
      <c r="F31" s="169"/>
      <c r="G31" s="42"/>
      <c r="H31" s="42"/>
      <c r="I31" s="42"/>
      <c r="J31" s="42"/>
      <c r="K31" s="42"/>
      <c r="L31" s="42"/>
      <c r="M31" s="42"/>
      <c r="N31" s="44"/>
      <c r="O31" s="44"/>
      <c r="P31" s="42"/>
      <c r="Q31" s="42"/>
      <c r="R31" s="42"/>
      <c r="S31" s="42"/>
      <c r="T31" s="42"/>
      <c r="U31" s="44"/>
      <c r="V31" s="44"/>
      <c r="W31" s="44"/>
      <c r="X31" s="44"/>
      <c r="Y31" s="42"/>
      <c r="Z31" s="42"/>
      <c r="AA31" s="44"/>
      <c r="AB31" s="44"/>
      <c r="AC31" s="42"/>
      <c r="AD31" s="44"/>
      <c r="AE31" s="44"/>
      <c r="AF31" s="46"/>
    </row>
    <row r="32" spans="1:32">
      <c r="A32" s="192" t="s">
        <v>895</v>
      </c>
      <c r="B32" s="193" t="s">
        <v>896</v>
      </c>
      <c r="C32" s="194"/>
      <c r="D32" s="195" t="s">
        <v>26</v>
      </c>
      <c r="E32" s="211" t="s">
        <v>897</v>
      </c>
      <c r="F32" s="169"/>
      <c r="G32" s="42"/>
      <c r="H32" s="42"/>
      <c r="I32" s="42" t="s">
        <v>27</v>
      </c>
      <c r="J32" s="42" t="s">
        <v>27</v>
      </c>
      <c r="K32" s="42" t="s">
        <v>27</v>
      </c>
      <c r="L32" s="42" t="s">
        <v>27</v>
      </c>
      <c r="M32" s="42" t="s">
        <v>27</v>
      </c>
      <c r="N32" s="44"/>
      <c r="O32" s="44"/>
      <c r="P32" s="42" t="s">
        <v>27</v>
      </c>
      <c r="Q32" s="44"/>
      <c r="R32" s="44"/>
      <c r="S32" s="44"/>
      <c r="T32" s="42" t="s">
        <v>27</v>
      </c>
      <c r="U32" s="44"/>
      <c r="V32" s="44"/>
      <c r="W32" s="44"/>
      <c r="X32" s="42" t="s">
        <v>27</v>
      </c>
      <c r="Y32" s="44"/>
      <c r="Z32" s="42"/>
      <c r="AA32" s="44"/>
      <c r="AB32" s="44"/>
      <c r="AC32" s="42"/>
      <c r="AD32" s="44"/>
      <c r="AE32" s="44"/>
      <c r="AF32" s="46"/>
    </row>
    <row r="33" spans="1:32">
      <c r="A33" s="192" t="s">
        <v>898</v>
      </c>
      <c r="B33" s="193" t="s">
        <v>899</v>
      </c>
      <c r="C33" s="194"/>
      <c r="D33" s="195" t="s">
        <v>35</v>
      </c>
      <c r="E33" s="196">
        <v>915559580</v>
      </c>
      <c r="F33" s="169"/>
      <c r="G33" s="42"/>
      <c r="H33" s="42" t="s">
        <v>27</v>
      </c>
      <c r="I33" s="42"/>
      <c r="J33" s="42"/>
      <c r="K33" s="42"/>
      <c r="L33" s="42"/>
      <c r="M33" s="42" t="s">
        <v>27</v>
      </c>
      <c r="N33" s="44"/>
      <c r="O33" s="44"/>
      <c r="P33" s="44"/>
      <c r="Q33" s="44"/>
      <c r="R33" s="42"/>
      <c r="S33" s="44"/>
      <c r="T33" s="44"/>
      <c r="U33" s="44"/>
      <c r="V33" s="44"/>
      <c r="W33" s="42"/>
      <c r="X33" s="42"/>
      <c r="Y33" s="42"/>
      <c r="Z33" s="42"/>
      <c r="AA33" s="44"/>
      <c r="AB33" s="44"/>
      <c r="AC33" s="42"/>
      <c r="AD33" s="42"/>
      <c r="AE33" s="44"/>
      <c r="AF33" s="46"/>
    </row>
    <row r="34" spans="1:32" ht="13.8">
      <c r="A34" s="192" t="s">
        <v>900</v>
      </c>
      <c r="B34" s="206" t="s">
        <v>901</v>
      </c>
      <c r="C34" s="194"/>
      <c r="D34" s="195" t="s">
        <v>35</v>
      </c>
      <c r="E34" s="196"/>
      <c r="F34" s="169"/>
      <c r="G34" s="42"/>
      <c r="H34" s="42"/>
      <c r="I34" s="42"/>
      <c r="J34" s="42"/>
      <c r="K34" s="42"/>
      <c r="L34" s="44"/>
      <c r="M34" s="44"/>
      <c r="N34" s="44"/>
      <c r="O34" s="44"/>
      <c r="P34" s="44"/>
      <c r="Q34" s="44"/>
      <c r="R34" s="44"/>
      <c r="S34" s="44"/>
      <c r="T34" s="44"/>
      <c r="U34" s="42" t="s">
        <v>19</v>
      </c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6"/>
    </row>
    <row r="35" spans="1:32" ht="13.8">
      <c r="A35" s="192" t="s">
        <v>902</v>
      </c>
      <c r="B35" s="193" t="s">
        <v>903</v>
      </c>
      <c r="C35" s="194"/>
      <c r="D35" s="195" t="s">
        <v>26</v>
      </c>
      <c r="E35" s="196">
        <v>911919762</v>
      </c>
      <c r="F35" s="169"/>
      <c r="G35" s="42"/>
      <c r="H35" s="42"/>
      <c r="I35" s="42"/>
      <c r="J35" s="42"/>
      <c r="K35" s="42"/>
      <c r="L35" s="42"/>
      <c r="M35" s="42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6"/>
    </row>
    <row r="36" spans="1:32" ht="13.8">
      <c r="A36" s="192" t="s">
        <v>904</v>
      </c>
      <c r="B36" s="210" t="s">
        <v>905</v>
      </c>
      <c r="C36" s="31">
        <v>29</v>
      </c>
      <c r="D36" s="31" t="s">
        <v>26</v>
      </c>
      <c r="E36" s="196">
        <v>929403501</v>
      </c>
      <c r="F36" s="169"/>
      <c r="G36" s="42"/>
      <c r="H36" s="42"/>
      <c r="I36" s="42"/>
      <c r="J36" s="42"/>
      <c r="K36" s="42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6"/>
    </row>
    <row r="37" spans="1:32" ht="13.8">
      <c r="A37" s="192" t="s">
        <v>906</v>
      </c>
      <c r="B37" s="210" t="s">
        <v>907</v>
      </c>
      <c r="C37" s="31">
        <v>18</v>
      </c>
      <c r="D37" s="31" t="s">
        <v>26</v>
      </c>
      <c r="E37" s="196">
        <v>911698104</v>
      </c>
      <c r="F37" s="169"/>
      <c r="G37" s="42"/>
      <c r="H37" s="42"/>
      <c r="I37" s="42"/>
      <c r="J37" s="42"/>
      <c r="K37" s="42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6"/>
    </row>
    <row r="38" spans="1:32" ht="13.8">
      <c r="A38" s="192" t="s">
        <v>908</v>
      </c>
      <c r="B38" s="210" t="s">
        <v>909</v>
      </c>
      <c r="C38" s="31">
        <v>24</v>
      </c>
      <c r="D38" s="231"/>
      <c r="E38" s="232">
        <v>960136811</v>
      </c>
      <c r="F38" s="169"/>
      <c r="G38" s="42"/>
      <c r="H38" s="42"/>
      <c r="I38" s="42"/>
      <c r="J38" s="42"/>
      <c r="K38" s="42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6"/>
    </row>
    <row r="39" spans="1:32" ht="13.8">
      <c r="A39" s="192" t="s">
        <v>910</v>
      </c>
      <c r="B39" s="210" t="s">
        <v>911</v>
      </c>
      <c r="C39" s="231"/>
      <c r="D39" s="31" t="s">
        <v>35</v>
      </c>
      <c r="E39" s="232">
        <v>927701952</v>
      </c>
      <c r="F39" s="169"/>
      <c r="G39" s="42"/>
      <c r="H39" s="42"/>
      <c r="I39" s="42"/>
      <c r="J39" s="42"/>
      <c r="K39" s="42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6"/>
    </row>
    <row r="40" spans="1:32" ht="13.8">
      <c r="A40" s="192" t="s">
        <v>912</v>
      </c>
      <c r="B40" s="210" t="s">
        <v>913</v>
      </c>
      <c r="C40" s="231"/>
      <c r="D40" s="31" t="s">
        <v>35</v>
      </c>
      <c r="E40" s="232">
        <v>938650547</v>
      </c>
      <c r="F40" s="169"/>
      <c r="G40" s="42"/>
      <c r="H40" s="42"/>
      <c r="I40" s="42"/>
      <c r="J40" s="42"/>
      <c r="K40" s="42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6"/>
    </row>
    <row r="41" spans="1:32" ht="13.8">
      <c r="A41" s="192" t="s">
        <v>914</v>
      </c>
      <c r="B41" s="233" t="s">
        <v>915</v>
      </c>
      <c r="C41" s="31">
        <v>32</v>
      </c>
      <c r="D41" s="31" t="s">
        <v>916</v>
      </c>
      <c r="E41" s="196">
        <v>936813892</v>
      </c>
      <c r="F41" s="169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4"/>
      <c r="V41" s="44"/>
      <c r="W41" s="42"/>
      <c r="X41" s="42"/>
      <c r="Y41" s="44"/>
      <c r="Z41" s="44"/>
      <c r="AA41" s="44"/>
      <c r="AB41" s="44"/>
      <c r="AC41" s="44"/>
      <c r="AD41" s="44"/>
      <c r="AE41" s="44"/>
      <c r="AF41" s="46"/>
    </row>
    <row r="42" spans="1:32" ht="13.8">
      <c r="A42" s="192" t="s">
        <v>917</v>
      </c>
      <c r="B42" s="210" t="s">
        <v>918</v>
      </c>
      <c r="C42" s="231"/>
      <c r="D42" s="58" t="s">
        <v>26</v>
      </c>
      <c r="E42" s="232"/>
      <c r="F42" s="169"/>
      <c r="G42" s="42"/>
      <c r="H42" s="42"/>
      <c r="I42" s="42"/>
      <c r="J42" s="42"/>
      <c r="K42" s="42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6"/>
    </row>
    <row r="43" spans="1:32" ht="13.8">
      <c r="A43" s="192" t="s">
        <v>919</v>
      </c>
      <c r="B43" s="241" t="s">
        <v>920</v>
      </c>
      <c r="C43" s="31">
        <v>32</v>
      </c>
      <c r="D43" s="58" t="s">
        <v>26</v>
      </c>
      <c r="E43" s="232">
        <v>913087493</v>
      </c>
      <c r="F43" s="169"/>
      <c r="G43" s="42" t="s">
        <v>27</v>
      </c>
      <c r="H43" s="42" t="s">
        <v>27</v>
      </c>
      <c r="I43" s="42" t="s">
        <v>27</v>
      </c>
      <c r="J43" s="42" t="s">
        <v>27</v>
      </c>
      <c r="K43" s="42" t="s">
        <v>27</v>
      </c>
      <c r="L43" s="42" t="s">
        <v>27</v>
      </c>
      <c r="M43" s="42" t="s">
        <v>27</v>
      </c>
      <c r="N43" s="42" t="s">
        <v>112</v>
      </c>
      <c r="O43" s="42" t="s">
        <v>27</v>
      </c>
      <c r="P43" s="42" t="s">
        <v>112</v>
      </c>
      <c r="Q43" s="42" t="s">
        <v>112</v>
      </c>
      <c r="R43" s="42" t="s">
        <v>27</v>
      </c>
      <c r="S43" s="42" t="s">
        <v>112</v>
      </c>
      <c r="T43" s="42" t="s">
        <v>27</v>
      </c>
      <c r="U43" s="42" t="s">
        <v>27</v>
      </c>
      <c r="V43" s="42" t="s">
        <v>112</v>
      </c>
      <c r="W43" s="42" t="s">
        <v>112</v>
      </c>
      <c r="X43" s="42" t="s">
        <v>27</v>
      </c>
      <c r="Y43" s="42" t="s">
        <v>27</v>
      </c>
      <c r="Z43" s="42"/>
      <c r="AA43" s="44"/>
      <c r="AB43" s="44"/>
      <c r="AC43" s="42"/>
      <c r="AD43" s="42"/>
      <c r="AE43" s="44"/>
      <c r="AF43" s="46"/>
    </row>
    <row r="44" spans="1:32" ht="13.8">
      <c r="A44" s="192" t="s">
        <v>923</v>
      </c>
      <c r="B44" s="210" t="s">
        <v>924</v>
      </c>
      <c r="C44" s="231"/>
      <c r="D44" s="128"/>
      <c r="E44" s="232">
        <v>900046378</v>
      </c>
      <c r="F44" s="169"/>
      <c r="G44" s="42" t="s">
        <v>27</v>
      </c>
      <c r="H44" s="42"/>
      <c r="I44" s="42"/>
      <c r="J44" s="42"/>
      <c r="K44" s="42"/>
      <c r="L44" s="42" t="s">
        <v>27</v>
      </c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2"/>
      <c r="AD44" s="44"/>
      <c r="AE44" s="44"/>
      <c r="AF44" s="46"/>
    </row>
    <row r="45" spans="1:32" ht="13.8">
      <c r="A45" s="192" t="s">
        <v>927</v>
      </c>
      <c r="B45" s="210" t="s">
        <v>928</v>
      </c>
      <c r="C45" s="31">
        <v>20</v>
      </c>
      <c r="D45" s="128"/>
      <c r="E45" s="232">
        <v>988803961</v>
      </c>
      <c r="F45" s="169"/>
      <c r="G45" s="42"/>
      <c r="H45" s="42"/>
      <c r="I45" s="42"/>
      <c r="J45" s="42"/>
      <c r="K45" s="42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6"/>
    </row>
    <row r="46" spans="1:32" ht="13.8">
      <c r="A46" s="192" t="s">
        <v>929</v>
      </c>
      <c r="B46" s="210" t="s">
        <v>930</v>
      </c>
      <c r="C46" s="31">
        <v>24</v>
      </c>
      <c r="D46" s="128"/>
      <c r="E46" s="232" t="s">
        <v>26</v>
      </c>
      <c r="F46" s="169"/>
      <c r="G46" s="42"/>
      <c r="H46" s="42"/>
      <c r="I46" s="42"/>
      <c r="J46" s="42"/>
      <c r="K46" s="42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6"/>
    </row>
    <row r="47" spans="1:32" ht="13.8">
      <c r="A47" s="192" t="s">
        <v>931</v>
      </c>
      <c r="B47" s="210" t="s">
        <v>932</v>
      </c>
      <c r="C47" s="231"/>
      <c r="D47" s="128"/>
      <c r="E47" s="232" t="s">
        <v>35</v>
      </c>
      <c r="F47" s="169"/>
      <c r="G47" s="42"/>
      <c r="H47" s="42"/>
      <c r="I47" s="42"/>
      <c r="J47" s="42"/>
      <c r="K47" s="42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6"/>
    </row>
    <row r="48" spans="1:32" ht="13.8">
      <c r="A48" s="192" t="s">
        <v>933</v>
      </c>
      <c r="B48" s="148" t="s">
        <v>934</v>
      </c>
      <c r="C48" s="31">
        <v>24</v>
      </c>
      <c r="D48" s="252"/>
      <c r="E48" s="253">
        <v>945161075</v>
      </c>
      <c r="F48" s="169"/>
      <c r="G48" s="42"/>
      <c r="H48" s="42"/>
      <c r="I48" s="42"/>
      <c r="J48" s="42"/>
      <c r="K48" s="42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6"/>
    </row>
    <row r="49" spans="1:32" ht="13.8">
      <c r="A49" s="192" t="s">
        <v>937</v>
      </c>
      <c r="B49" s="255" t="s">
        <v>938</v>
      </c>
      <c r="C49" s="82"/>
      <c r="D49" s="142"/>
      <c r="E49" s="256">
        <v>929403501</v>
      </c>
      <c r="F49" s="169"/>
      <c r="G49" s="42"/>
      <c r="H49" s="42"/>
      <c r="I49" s="42"/>
      <c r="J49" s="42"/>
      <c r="K49" s="42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6"/>
    </row>
    <row r="50" spans="1:32" ht="15.6">
      <c r="A50" s="192" t="s">
        <v>941</v>
      </c>
      <c r="B50" s="258" t="s">
        <v>942</v>
      </c>
      <c r="C50" s="164">
        <v>28</v>
      </c>
      <c r="D50" s="142"/>
      <c r="E50" s="259">
        <v>900479788</v>
      </c>
      <c r="F50" s="169"/>
      <c r="G50" s="42"/>
      <c r="H50" s="42"/>
      <c r="I50" s="42"/>
      <c r="J50" s="42"/>
      <c r="K50" s="42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6"/>
    </row>
    <row r="51" spans="1:32" ht="15.6">
      <c r="A51" s="192" t="s">
        <v>945</v>
      </c>
      <c r="B51" s="258" t="s">
        <v>946</v>
      </c>
      <c r="C51" s="82"/>
      <c r="D51" s="142"/>
      <c r="E51" s="259">
        <v>918437238</v>
      </c>
      <c r="F51" s="169"/>
      <c r="G51" s="42"/>
      <c r="H51" s="42"/>
      <c r="I51" s="42"/>
      <c r="J51" s="42"/>
      <c r="K51" s="42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6"/>
    </row>
    <row r="52" spans="1:32" ht="13.8">
      <c r="A52" s="192" t="s">
        <v>950</v>
      </c>
      <c r="B52" s="255" t="s">
        <v>951</v>
      </c>
      <c r="C52" s="82"/>
      <c r="D52" s="142"/>
      <c r="E52" s="256">
        <v>923479921</v>
      </c>
      <c r="F52" s="169"/>
      <c r="G52" s="42"/>
      <c r="H52" s="42"/>
      <c r="I52" s="42"/>
      <c r="J52" s="42"/>
      <c r="K52" s="42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6"/>
    </row>
    <row r="53" spans="1:32" ht="13.8">
      <c r="A53" s="192" t="s">
        <v>954</v>
      </c>
      <c r="B53" s="255" t="s">
        <v>955</v>
      </c>
      <c r="C53" s="82"/>
      <c r="D53" s="142"/>
      <c r="E53" s="256">
        <v>979979654</v>
      </c>
      <c r="F53" s="169"/>
      <c r="G53" s="42"/>
      <c r="H53" s="42"/>
      <c r="I53" s="42"/>
      <c r="J53" s="42"/>
      <c r="K53" s="42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6"/>
    </row>
    <row r="54" spans="1:32" ht="14.4">
      <c r="A54" s="192" t="s">
        <v>958</v>
      </c>
      <c r="B54" s="258" t="s">
        <v>959</v>
      </c>
      <c r="C54" s="164">
        <v>18</v>
      </c>
      <c r="D54" s="142"/>
      <c r="E54" s="261">
        <f>MAX(E48:E53)</f>
        <v>979979654</v>
      </c>
      <c r="F54" s="169"/>
      <c r="G54" s="42"/>
      <c r="H54" s="42"/>
      <c r="I54" s="42"/>
      <c r="J54" s="42"/>
      <c r="K54" s="42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2"/>
      <c r="Y54" s="42"/>
      <c r="Z54" s="42"/>
      <c r="AA54" s="44"/>
      <c r="AB54" s="44"/>
      <c r="AC54" s="44"/>
      <c r="AD54" s="44"/>
      <c r="AE54" s="44"/>
      <c r="AF54" s="46"/>
    </row>
    <row r="55" spans="1:32" ht="13.8">
      <c r="A55" s="192" t="s">
        <v>962</v>
      </c>
      <c r="B55" s="210" t="s">
        <v>963</v>
      </c>
      <c r="C55" s="82"/>
      <c r="D55" s="142"/>
      <c r="E55" s="262"/>
      <c r="F55" s="169"/>
      <c r="G55" s="42"/>
      <c r="H55" s="42"/>
      <c r="I55" s="42"/>
      <c r="J55" s="42"/>
      <c r="K55" s="42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6"/>
    </row>
    <row r="56" spans="1:32" ht="13.8">
      <c r="A56" s="192" t="s">
        <v>966</v>
      </c>
      <c r="B56" s="210" t="s">
        <v>967</v>
      </c>
      <c r="C56" s="82"/>
      <c r="D56" s="142"/>
      <c r="E56" s="262"/>
      <c r="F56" s="169"/>
      <c r="G56" s="42"/>
      <c r="H56" s="42"/>
      <c r="I56" s="42"/>
      <c r="J56" s="42"/>
      <c r="K56" s="42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6"/>
    </row>
    <row r="57" spans="1:32" ht="13.8">
      <c r="A57" s="192" t="s">
        <v>968</v>
      </c>
      <c r="B57" s="263" t="s">
        <v>969</v>
      </c>
      <c r="C57" s="82"/>
      <c r="D57" s="142"/>
      <c r="E57" s="262"/>
      <c r="F57" s="169"/>
      <c r="G57" s="42"/>
      <c r="H57" s="42"/>
      <c r="I57" s="42"/>
      <c r="J57" s="42"/>
      <c r="K57" s="42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6"/>
    </row>
    <row r="58" spans="1:32" ht="13.8">
      <c r="A58" s="192" t="s">
        <v>972</v>
      </c>
      <c r="B58" s="263" t="s">
        <v>973</v>
      </c>
      <c r="C58" s="164">
        <v>21</v>
      </c>
      <c r="D58" s="82"/>
      <c r="E58" s="264">
        <v>973713422</v>
      </c>
      <c r="F58" s="169"/>
      <c r="G58" s="42"/>
      <c r="H58" s="42"/>
      <c r="I58" s="42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6"/>
    </row>
    <row r="59" spans="1:32" ht="13.8">
      <c r="A59" s="192" t="s">
        <v>976</v>
      </c>
      <c r="B59" s="210" t="s">
        <v>977</v>
      </c>
      <c r="C59" s="164">
        <v>30</v>
      </c>
      <c r="D59" s="82"/>
      <c r="E59" s="265">
        <v>911725512</v>
      </c>
      <c r="F59" s="169"/>
      <c r="G59" s="42"/>
      <c r="H59" s="42"/>
      <c r="I59" s="42"/>
      <c r="J59" s="42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6"/>
    </row>
    <row r="60" spans="1:32" ht="13.8">
      <c r="A60" s="192" t="s">
        <v>980</v>
      </c>
      <c r="B60" s="210" t="s">
        <v>981</v>
      </c>
      <c r="C60" s="82"/>
      <c r="D60" s="82"/>
      <c r="E60" s="265">
        <v>908248195</v>
      </c>
      <c r="F60" s="170"/>
      <c r="G60" s="44"/>
      <c r="H60" s="42" t="s">
        <v>27</v>
      </c>
      <c r="I60" s="42" t="s">
        <v>19</v>
      </c>
      <c r="J60" s="42" t="s">
        <v>27</v>
      </c>
      <c r="K60" s="44"/>
      <c r="L60" s="42" t="s">
        <v>27</v>
      </c>
      <c r="M60" s="44"/>
      <c r="N60" s="44"/>
      <c r="O60" s="44"/>
      <c r="P60" s="44"/>
      <c r="Q60" s="44"/>
      <c r="R60" s="42"/>
      <c r="S60" s="44"/>
      <c r="T60" s="44"/>
      <c r="U60" s="44"/>
      <c r="V60" s="44"/>
      <c r="W60" s="44"/>
      <c r="X60" s="42" t="s">
        <v>27</v>
      </c>
      <c r="Y60" s="42" t="s">
        <v>27</v>
      </c>
      <c r="Z60" s="42"/>
      <c r="AA60" s="44"/>
      <c r="AB60" s="44"/>
      <c r="AC60" s="42"/>
      <c r="AD60" s="42"/>
      <c r="AE60" s="44"/>
      <c r="AF60" s="44"/>
    </row>
    <row r="61" spans="1:32" ht="13.8">
      <c r="A61" s="192" t="s">
        <v>986</v>
      </c>
      <c r="B61" s="210" t="s">
        <v>987</v>
      </c>
      <c r="C61" s="164">
        <v>19</v>
      </c>
      <c r="D61" s="82"/>
      <c r="E61" s="265">
        <v>940453513</v>
      </c>
      <c r="F61" s="170"/>
      <c r="G61" s="42" t="s">
        <v>27</v>
      </c>
      <c r="H61" s="42" t="s">
        <v>27</v>
      </c>
      <c r="I61" s="42" t="s">
        <v>27</v>
      </c>
      <c r="J61" s="42" t="s">
        <v>27</v>
      </c>
      <c r="K61" s="42"/>
      <c r="L61" s="42" t="s">
        <v>27</v>
      </c>
      <c r="M61" s="42" t="s">
        <v>112</v>
      </c>
      <c r="N61" s="44"/>
      <c r="O61" s="44"/>
      <c r="P61" s="44"/>
      <c r="Q61" s="44"/>
      <c r="R61" s="42" t="s">
        <v>27</v>
      </c>
      <c r="S61" s="44"/>
      <c r="T61" s="42" t="s">
        <v>27</v>
      </c>
      <c r="U61" s="44"/>
      <c r="V61" s="44"/>
      <c r="W61" s="42"/>
      <c r="X61" s="44"/>
      <c r="Y61" s="42"/>
      <c r="Z61" s="42"/>
      <c r="AA61" s="44"/>
      <c r="AB61" s="44"/>
      <c r="AC61" s="42"/>
      <c r="AD61" s="42"/>
      <c r="AE61" s="44"/>
      <c r="AF61" s="44"/>
    </row>
    <row r="62" spans="1:32" ht="13.8">
      <c r="A62" s="192" t="s">
        <v>992</v>
      </c>
      <c r="B62" s="210" t="s">
        <v>993</v>
      </c>
      <c r="C62" s="164">
        <v>19</v>
      </c>
      <c r="D62" s="82"/>
      <c r="E62" s="265">
        <v>900481207</v>
      </c>
      <c r="F62" s="170"/>
      <c r="G62" s="42" t="s">
        <v>27</v>
      </c>
      <c r="H62" s="42" t="s">
        <v>27</v>
      </c>
      <c r="I62" s="44"/>
      <c r="J62" s="42" t="s">
        <v>27</v>
      </c>
      <c r="K62" s="42"/>
      <c r="L62" s="42" t="s">
        <v>27</v>
      </c>
      <c r="M62" s="42" t="s">
        <v>27</v>
      </c>
      <c r="N62" s="44"/>
      <c r="O62" s="44"/>
      <c r="P62" s="44"/>
      <c r="Q62" s="44"/>
      <c r="R62" s="42" t="s">
        <v>27</v>
      </c>
      <c r="S62" s="44"/>
      <c r="T62" s="42" t="s">
        <v>27</v>
      </c>
      <c r="U62" s="44"/>
      <c r="V62" s="44"/>
      <c r="W62" s="42"/>
      <c r="X62" s="42"/>
      <c r="Y62" s="42"/>
      <c r="Z62" s="42"/>
      <c r="AA62" s="44"/>
      <c r="AB62" s="44"/>
      <c r="AC62" s="42"/>
      <c r="AD62" s="42"/>
      <c r="AE62" s="44"/>
      <c r="AF62" s="44"/>
    </row>
    <row r="63" spans="1:32" ht="13.8">
      <c r="A63" s="192" t="s">
        <v>996</v>
      </c>
      <c r="B63" s="139" t="s">
        <v>997</v>
      </c>
      <c r="C63" s="141"/>
      <c r="D63" s="141"/>
      <c r="E63" s="266">
        <v>956458498</v>
      </c>
      <c r="F63" s="170"/>
      <c r="G63" s="44"/>
      <c r="H63" s="42" t="s">
        <v>27</v>
      </c>
      <c r="I63" s="42" t="s">
        <v>27</v>
      </c>
      <c r="J63" s="42" t="s">
        <v>27</v>
      </c>
      <c r="K63" s="44"/>
      <c r="L63" s="44"/>
      <c r="M63" s="44"/>
      <c r="N63" s="44"/>
      <c r="O63" s="42" t="s">
        <v>27</v>
      </c>
      <c r="P63" s="42" t="s">
        <v>27</v>
      </c>
      <c r="Q63" s="44"/>
      <c r="R63" s="42" t="s">
        <v>27</v>
      </c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2"/>
      <c r="AD63" s="44"/>
      <c r="AE63" s="44"/>
      <c r="AF63" s="44"/>
    </row>
    <row r="64" spans="1:32" ht="13.8">
      <c r="A64" s="192" t="s">
        <v>1000</v>
      </c>
      <c r="B64" s="139" t="s">
        <v>1001</v>
      </c>
      <c r="C64" s="141"/>
      <c r="D64" s="141"/>
      <c r="E64" s="266">
        <v>945429472</v>
      </c>
      <c r="F64" s="170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32" ht="13.8">
      <c r="A65" s="192" t="s">
        <v>1004</v>
      </c>
      <c r="B65" s="139" t="s">
        <v>1005</v>
      </c>
      <c r="C65" s="141"/>
      <c r="D65" s="141"/>
      <c r="E65" s="267">
        <v>912689638</v>
      </c>
      <c r="F65" s="170"/>
      <c r="G65" s="42" t="s">
        <v>27</v>
      </c>
      <c r="H65" s="42" t="s">
        <v>27</v>
      </c>
      <c r="I65" s="42" t="s">
        <v>27</v>
      </c>
      <c r="J65" s="42" t="s">
        <v>27</v>
      </c>
      <c r="K65" s="42" t="s">
        <v>27</v>
      </c>
      <c r="L65" s="42" t="s">
        <v>27</v>
      </c>
      <c r="M65" s="44"/>
      <c r="N65" s="44"/>
      <c r="O65" s="44"/>
      <c r="P65" s="42" t="s">
        <v>27</v>
      </c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</row>
    <row r="66" spans="1:32" ht="13.8">
      <c r="A66" s="192" t="s">
        <v>1008</v>
      </c>
      <c r="B66" s="139" t="s">
        <v>1009</v>
      </c>
      <c r="C66" s="140">
        <v>27</v>
      </c>
      <c r="D66" s="140" t="s">
        <v>35</v>
      </c>
      <c r="E66" s="267">
        <v>920777842</v>
      </c>
      <c r="F66" s="170"/>
      <c r="G66" s="42" t="s">
        <v>27</v>
      </c>
      <c r="H66" s="42" t="s">
        <v>27</v>
      </c>
      <c r="I66" s="44"/>
      <c r="J66" s="42" t="s">
        <v>27</v>
      </c>
      <c r="K66" s="42" t="s">
        <v>27</v>
      </c>
      <c r="L66" s="42" t="s">
        <v>27</v>
      </c>
      <c r="M66" s="42" t="s">
        <v>27</v>
      </c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</row>
    <row r="67" spans="1:32" ht="13.2">
      <c r="F67" s="198"/>
    </row>
    <row r="68" spans="1:32" ht="13.2">
      <c r="F68" s="198"/>
    </row>
    <row r="69" spans="1:32" ht="13.2">
      <c r="F69" s="198"/>
    </row>
    <row r="70" spans="1:32" ht="13.2">
      <c r="F70" s="198"/>
    </row>
    <row r="71" spans="1:32" ht="13.2">
      <c r="F71" s="198"/>
    </row>
    <row r="72" spans="1:32" ht="13.2">
      <c r="F72" s="198"/>
    </row>
    <row r="73" spans="1:32" ht="13.2">
      <c r="F73" s="198"/>
    </row>
    <row r="74" spans="1:32" ht="13.2">
      <c r="F74" s="198"/>
    </row>
    <row r="75" spans="1:32" ht="13.2">
      <c r="F75" s="198"/>
    </row>
    <row r="76" spans="1:32" ht="13.2">
      <c r="F76" s="198"/>
    </row>
    <row r="77" spans="1:32" ht="13.2">
      <c r="F77" s="198"/>
    </row>
    <row r="78" spans="1:32" ht="13.2">
      <c r="F78" s="198"/>
    </row>
    <row r="79" spans="1:32" ht="13.2">
      <c r="F79" s="198"/>
    </row>
    <row r="80" spans="1:32" ht="13.2">
      <c r="F80" s="198"/>
    </row>
    <row r="81" spans="6:6" ht="13.2">
      <c r="F81" s="198"/>
    </row>
    <row r="82" spans="6:6" ht="13.2">
      <c r="F82" s="198"/>
    </row>
    <row r="83" spans="6:6" ht="13.2">
      <c r="F83" s="198"/>
    </row>
    <row r="84" spans="6:6" ht="13.2">
      <c r="F84" s="198"/>
    </row>
    <row r="85" spans="6:6" ht="13.2">
      <c r="F85" s="198"/>
    </row>
    <row r="86" spans="6:6" ht="13.2">
      <c r="F86" s="198"/>
    </row>
    <row r="87" spans="6:6" ht="13.2">
      <c r="F87" s="198"/>
    </row>
    <row r="88" spans="6:6" ht="13.2">
      <c r="F88" s="198"/>
    </row>
    <row r="89" spans="6:6" ht="13.2">
      <c r="F89" s="198"/>
    </row>
    <row r="90" spans="6:6" ht="13.2">
      <c r="F90" s="198"/>
    </row>
    <row r="91" spans="6:6" ht="13.2">
      <c r="F91" s="198"/>
    </row>
    <row r="92" spans="6:6" ht="13.2">
      <c r="F92" s="198"/>
    </row>
    <row r="93" spans="6:6" ht="13.2">
      <c r="F93" s="198"/>
    </row>
    <row r="94" spans="6:6" ht="13.2">
      <c r="F94" s="198"/>
    </row>
    <row r="95" spans="6:6" ht="13.2">
      <c r="F95" s="198"/>
    </row>
    <row r="96" spans="6:6" ht="13.2">
      <c r="F96" s="198"/>
    </row>
    <row r="97" spans="6:6" ht="13.2">
      <c r="F97" s="198"/>
    </row>
    <row r="98" spans="6:6" ht="13.2">
      <c r="F98" s="198"/>
    </row>
    <row r="99" spans="6:6" ht="13.2">
      <c r="F99" s="198"/>
    </row>
    <row r="100" spans="6:6" ht="13.2">
      <c r="F100" s="198"/>
    </row>
    <row r="101" spans="6:6" ht="13.2">
      <c r="F101" s="198"/>
    </row>
    <row r="102" spans="6:6" ht="13.2">
      <c r="F102" s="198"/>
    </row>
    <row r="103" spans="6:6" ht="13.2">
      <c r="F103" s="198"/>
    </row>
    <row r="104" spans="6:6" ht="13.2">
      <c r="F104" s="198"/>
    </row>
    <row r="105" spans="6:6" ht="13.2">
      <c r="F105" s="198"/>
    </row>
    <row r="106" spans="6:6" ht="13.2">
      <c r="F106" s="198"/>
    </row>
    <row r="107" spans="6:6" ht="13.2">
      <c r="F107" s="198"/>
    </row>
    <row r="108" spans="6:6" ht="13.2">
      <c r="F108" s="198"/>
    </row>
    <row r="109" spans="6:6" ht="13.2">
      <c r="F109" s="198"/>
    </row>
    <row r="110" spans="6:6" ht="13.2">
      <c r="F110" s="198"/>
    </row>
    <row r="111" spans="6:6" ht="13.2">
      <c r="F111" s="198"/>
    </row>
    <row r="112" spans="6:6" ht="13.2">
      <c r="F112" s="198"/>
    </row>
    <row r="113" spans="6:6" ht="13.2">
      <c r="F113" s="198"/>
    </row>
    <row r="114" spans="6:6" ht="13.2">
      <c r="F114" s="198"/>
    </row>
    <row r="115" spans="6:6" ht="13.2">
      <c r="F115" s="198"/>
    </row>
    <row r="116" spans="6:6" ht="13.2">
      <c r="F116" s="198"/>
    </row>
    <row r="117" spans="6:6" ht="13.2">
      <c r="F117" s="198"/>
    </row>
    <row r="118" spans="6:6" ht="13.2">
      <c r="F118" s="198"/>
    </row>
    <row r="119" spans="6:6" ht="13.2">
      <c r="F119" s="198"/>
    </row>
    <row r="120" spans="6:6" ht="13.2">
      <c r="F120" s="198"/>
    </row>
    <row r="121" spans="6:6" ht="13.2">
      <c r="F121" s="198"/>
    </row>
    <row r="122" spans="6:6" ht="13.2">
      <c r="F122" s="198"/>
    </row>
    <row r="123" spans="6:6" ht="13.2">
      <c r="F123" s="198"/>
    </row>
    <row r="124" spans="6:6" ht="13.2">
      <c r="F124" s="198"/>
    </row>
    <row r="125" spans="6:6" ht="13.2">
      <c r="F125" s="198"/>
    </row>
    <row r="126" spans="6:6" ht="13.2">
      <c r="F126" s="198"/>
    </row>
    <row r="127" spans="6:6" ht="13.2">
      <c r="F127" s="198"/>
    </row>
    <row r="128" spans="6:6" ht="13.2">
      <c r="F128" s="198"/>
    </row>
    <row r="129" spans="6:6" ht="13.2">
      <c r="F129" s="198"/>
    </row>
    <row r="130" spans="6:6" ht="13.2">
      <c r="F130" s="198"/>
    </row>
    <row r="131" spans="6:6" ht="13.2">
      <c r="F131" s="198"/>
    </row>
    <row r="132" spans="6:6" ht="13.2">
      <c r="F132" s="198"/>
    </row>
    <row r="133" spans="6:6" ht="13.2">
      <c r="F133" s="198"/>
    </row>
    <row r="134" spans="6:6" ht="13.2">
      <c r="F134" s="198"/>
    </row>
    <row r="135" spans="6:6" ht="13.2">
      <c r="F135" s="198"/>
    </row>
    <row r="136" spans="6:6" ht="13.2">
      <c r="F136" s="198"/>
    </row>
    <row r="137" spans="6:6" ht="13.2">
      <c r="F137" s="198"/>
    </row>
    <row r="138" spans="6:6" ht="13.2">
      <c r="F138" s="198"/>
    </row>
    <row r="139" spans="6:6" ht="13.2">
      <c r="F139" s="198"/>
    </row>
    <row r="140" spans="6:6" ht="13.2">
      <c r="F140" s="198"/>
    </row>
    <row r="141" spans="6:6" ht="13.2">
      <c r="F141" s="198"/>
    </row>
    <row r="142" spans="6:6" ht="13.2">
      <c r="F142" s="198"/>
    </row>
    <row r="143" spans="6:6" ht="13.2">
      <c r="F143" s="198"/>
    </row>
    <row r="144" spans="6:6" ht="13.2">
      <c r="F144" s="198"/>
    </row>
    <row r="145" spans="6:6" ht="13.2">
      <c r="F145" s="198"/>
    </row>
    <row r="146" spans="6:6" ht="13.2">
      <c r="F146" s="198"/>
    </row>
    <row r="147" spans="6:6" ht="13.2">
      <c r="F147" s="198"/>
    </row>
    <row r="148" spans="6:6" ht="13.2">
      <c r="F148" s="198"/>
    </row>
    <row r="149" spans="6:6" ht="13.2">
      <c r="F149" s="198"/>
    </row>
    <row r="150" spans="6:6" ht="13.2">
      <c r="F150" s="198"/>
    </row>
    <row r="151" spans="6:6" ht="13.2">
      <c r="F151" s="198"/>
    </row>
    <row r="152" spans="6:6" ht="13.2">
      <c r="F152" s="198"/>
    </row>
    <row r="153" spans="6:6" ht="13.2">
      <c r="F153" s="198"/>
    </row>
    <row r="154" spans="6:6" ht="13.2">
      <c r="F154" s="198"/>
    </row>
    <row r="155" spans="6:6" ht="13.2">
      <c r="F155" s="198"/>
    </row>
    <row r="156" spans="6:6" ht="13.2">
      <c r="F156" s="198"/>
    </row>
    <row r="157" spans="6:6" ht="13.2">
      <c r="F157" s="198"/>
    </row>
    <row r="158" spans="6:6" ht="13.2">
      <c r="F158" s="198"/>
    </row>
    <row r="159" spans="6:6" ht="13.2">
      <c r="F159" s="198"/>
    </row>
    <row r="160" spans="6:6" ht="13.2">
      <c r="F160" s="198"/>
    </row>
    <row r="161" spans="6:6" ht="13.2">
      <c r="F161" s="198"/>
    </row>
    <row r="162" spans="6:6" ht="13.2">
      <c r="F162" s="198"/>
    </row>
    <row r="163" spans="6:6" ht="13.2">
      <c r="F163" s="198"/>
    </row>
    <row r="164" spans="6:6" ht="13.2">
      <c r="F164" s="198"/>
    </row>
    <row r="165" spans="6:6" ht="13.2">
      <c r="F165" s="198"/>
    </row>
    <row r="166" spans="6:6" ht="13.2">
      <c r="F166" s="198"/>
    </row>
    <row r="167" spans="6:6" ht="13.2">
      <c r="F167" s="198"/>
    </row>
    <row r="168" spans="6:6" ht="13.2">
      <c r="F168" s="198"/>
    </row>
    <row r="169" spans="6:6" ht="13.2">
      <c r="F169" s="198"/>
    </row>
    <row r="170" spans="6:6" ht="13.2">
      <c r="F170" s="198"/>
    </row>
    <row r="171" spans="6:6" ht="13.2">
      <c r="F171" s="198"/>
    </row>
    <row r="172" spans="6:6" ht="13.2">
      <c r="F172" s="198"/>
    </row>
    <row r="173" spans="6:6" ht="13.2">
      <c r="F173" s="198"/>
    </row>
    <row r="174" spans="6:6" ht="13.2">
      <c r="F174" s="198"/>
    </row>
    <row r="175" spans="6:6" ht="13.2">
      <c r="F175" s="198"/>
    </row>
    <row r="176" spans="6:6" ht="13.2">
      <c r="F176" s="198"/>
    </row>
    <row r="177" spans="6:6" ht="13.2">
      <c r="F177" s="198"/>
    </row>
    <row r="178" spans="6:6" ht="13.2">
      <c r="F178" s="198"/>
    </row>
    <row r="179" spans="6:6" ht="13.2">
      <c r="F179" s="198"/>
    </row>
    <row r="180" spans="6:6" ht="13.2">
      <c r="F180" s="198"/>
    </row>
    <row r="181" spans="6:6" ht="13.2">
      <c r="F181" s="198"/>
    </row>
    <row r="182" spans="6:6" ht="13.2">
      <c r="F182" s="198"/>
    </row>
    <row r="183" spans="6:6" ht="13.2">
      <c r="F183" s="198"/>
    </row>
    <row r="184" spans="6:6" ht="13.2">
      <c r="F184" s="198"/>
    </row>
    <row r="185" spans="6:6" ht="13.2">
      <c r="F185" s="198"/>
    </row>
    <row r="186" spans="6:6" ht="13.2">
      <c r="F186" s="198"/>
    </row>
    <row r="187" spans="6:6" ht="13.2">
      <c r="F187" s="198"/>
    </row>
    <row r="188" spans="6:6" ht="13.2">
      <c r="F188" s="198"/>
    </row>
    <row r="189" spans="6:6" ht="13.2">
      <c r="F189" s="198"/>
    </row>
    <row r="190" spans="6:6" ht="13.2">
      <c r="F190" s="198"/>
    </row>
    <row r="191" spans="6:6" ht="13.2">
      <c r="F191" s="198"/>
    </row>
    <row r="192" spans="6:6" ht="13.2">
      <c r="F192" s="198"/>
    </row>
    <row r="193" spans="6:6" ht="13.2">
      <c r="F193" s="198"/>
    </row>
    <row r="194" spans="6:6" ht="13.2">
      <c r="F194" s="198"/>
    </row>
    <row r="195" spans="6:6" ht="13.2">
      <c r="F195" s="198"/>
    </row>
    <row r="196" spans="6:6" ht="13.2">
      <c r="F196" s="198"/>
    </row>
    <row r="197" spans="6:6" ht="13.2">
      <c r="F197" s="198"/>
    </row>
    <row r="198" spans="6:6" ht="13.2">
      <c r="F198" s="198"/>
    </row>
    <row r="199" spans="6:6" ht="13.2">
      <c r="F199" s="198"/>
    </row>
    <row r="200" spans="6:6" ht="13.2">
      <c r="F200" s="198"/>
    </row>
    <row r="201" spans="6:6" ht="13.2">
      <c r="F201" s="198"/>
    </row>
    <row r="202" spans="6:6" ht="13.2">
      <c r="F202" s="198"/>
    </row>
    <row r="203" spans="6:6" ht="13.2">
      <c r="F203" s="198"/>
    </row>
    <row r="204" spans="6:6" ht="13.2">
      <c r="F204" s="198"/>
    </row>
    <row r="205" spans="6:6" ht="13.2">
      <c r="F205" s="198"/>
    </row>
    <row r="206" spans="6:6" ht="13.2">
      <c r="F206" s="198"/>
    </row>
    <row r="207" spans="6:6" ht="13.2">
      <c r="F207" s="198"/>
    </row>
    <row r="208" spans="6:6" ht="13.2">
      <c r="F208" s="198"/>
    </row>
    <row r="209" spans="6:6" ht="13.2">
      <c r="F209" s="198"/>
    </row>
    <row r="210" spans="6:6" ht="13.2">
      <c r="F210" s="198"/>
    </row>
    <row r="211" spans="6:6" ht="13.2">
      <c r="F211" s="198"/>
    </row>
    <row r="212" spans="6:6" ht="13.2">
      <c r="F212" s="198"/>
    </row>
    <row r="213" spans="6:6" ht="13.2">
      <c r="F213" s="198"/>
    </row>
    <row r="214" spans="6:6" ht="13.2">
      <c r="F214" s="198"/>
    </row>
    <row r="215" spans="6:6" ht="13.2">
      <c r="F215" s="198"/>
    </row>
    <row r="216" spans="6:6" ht="13.2">
      <c r="F216" s="198"/>
    </row>
    <row r="217" spans="6:6" ht="13.2">
      <c r="F217" s="198"/>
    </row>
    <row r="218" spans="6:6" ht="13.2">
      <c r="F218" s="198"/>
    </row>
    <row r="219" spans="6:6" ht="13.2">
      <c r="F219" s="198"/>
    </row>
    <row r="220" spans="6:6" ht="13.2">
      <c r="F220" s="198"/>
    </row>
    <row r="221" spans="6:6" ht="13.2">
      <c r="F221" s="198"/>
    </row>
    <row r="222" spans="6:6" ht="13.2">
      <c r="F222" s="198"/>
    </row>
    <row r="223" spans="6:6" ht="13.2">
      <c r="F223" s="198"/>
    </row>
    <row r="224" spans="6:6" ht="13.2">
      <c r="F224" s="198"/>
    </row>
    <row r="225" spans="6:6" ht="13.2">
      <c r="F225" s="198"/>
    </row>
    <row r="226" spans="6:6" ht="13.2">
      <c r="F226" s="198"/>
    </row>
    <row r="227" spans="6:6" ht="13.2">
      <c r="F227" s="198"/>
    </row>
    <row r="228" spans="6:6" ht="13.2">
      <c r="F228" s="198"/>
    </row>
    <row r="229" spans="6:6" ht="13.2">
      <c r="F229" s="198"/>
    </row>
    <row r="230" spans="6:6" ht="13.2">
      <c r="F230" s="198"/>
    </row>
    <row r="231" spans="6:6" ht="13.2">
      <c r="F231" s="198"/>
    </row>
    <row r="232" spans="6:6" ht="13.2">
      <c r="F232" s="198"/>
    </row>
    <row r="233" spans="6:6" ht="13.2">
      <c r="F233" s="198"/>
    </row>
    <row r="234" spans="6:6" ht="13.2">
      <c r="F234" s="198"/>
    </row>
    <row r="235" spans="6:6" ht="13.2">
      <c r="F235" s="198"/>
    </row>
    <row r="236" spans="6:6" ht="13.2">
      <c r="F236" s="198"/>
    </row>
    <row r="237" spans="6:6" ht="13.2">
      <c r="F237" s="198"/>
    </row>
    <row r="238" spans="6:6" ht="13.2">
      <c r="F238" s="198"/>
    </row>
    <row r="239" spans="6:6" ht="13.2">
      <c r="F239" s="198"/>
    </row>
    <row r="240" spans="6:6" ht="13.2">
      <c r="F240" s="198"/>
    </row>
    <row r="241" spans="6:6" ht="13.2">
      <c r="F241" s="198"/>
    </row>
    <row r="242" spans="6:6" ht="13.2">
      <c r="F242" s="198"/>
    </row>
    <row r="243" spans="6:6" ht="13.2">
      <c r="F243" s="198"/>
    </row>
    <row r="244" spans="6:6" ht="13.2">
      <c r="F244" s="198"/>
    </row>
    <row r="245" spans="6:6" ht="13.2">
      <c r="F245" s="198"/>
    </row>
    <row r="246" spans="6:6" ht="13.2">
      <c r="F246" s="198"/>
    </row>
    <row r="247" spans="6:6" ht="13.2">
      <c r="F247" s="198"/>
    </row>
    <row r="248" spans="6:6" ht="13.2">
      <c r="F248" s="198"/>
    </row>
    <row r="249" spans="6:6" ht="13.2">
      <c r="F249" s="198"/>
    </row>
    <row r="250" spans="6:6" ht="13.2">
      <c r="F250" s="198"/>
    </row>
    <row r="251" spans="6:6" ht="13.2">
      <c r="F251" s="198"/>
    </row>
    <row r="252" spans="6:6" ht="13.2">
      <c r="F252" s="198"/>
    </row>
    <row r="253" spans="6:6" ht="13.2">
      <c r="F253" s="198"/>
    </row>
    <row r="254" spans="6:6" ht="13.2">
      <c r="F254" s="198"/>
    </row>
    <row r="255" spans="6:6" ht="13.2">
      <c r="F255" s="198"/>
    </row>
    <row r="256" spans="6:6" ht="13.2">
      <c r="F256" s="198"/>
    </row>
    <row r="257" spans="6:6" ht="13.2">
      <c r="F257" s="198"/>
    </row>
    <row r="258" spans="6:6" ht="13.2">
      <c r="F258" s="198"/>
    </row>
    <row r="259" spans="6:6" ht="13.2">
      <c r="F259" s="198"/>
    </row>
    <row r="260" spans="6:6" ht="13.2">
      <c r="F260" s="198"/>
    </row>
    <row r="261" spans="6:6" ht="13.2">
      <c r="F261" s="198"/>
    </row>
    <row r="262" spans="6:6" ht="13.2">
      <c r="F262" s="198"/>
    </row>
    <row r="263" spans="6:6" ht="13.2">
      <c r="F263" s="198"/>
    </row>
    <row r="264" spans="6:6" ht="13.2">
      <c r="F264" s="198"/>
    </row>
    <row r="265" spans="6:6" ht="13.2">
      <c r="F265" s="198"/>
    </row>
    <row r="266" spans="6:6" ht="13.2">
      <c r="F266" s="198"/>
    </row>
    <row r="267" spans="6:6" ht="13.2">
      <c r="F267" s="198"/>
    </row>
    <row r="268" spans="6:6" ht="13.2">
      <c r="F268" s="198"/>
    </row>
    <row r="269" spans="6:6" ht="13.2">
      <c r="F269" s="198"/>
    </row>
    <row r="270" spans="6:6" ht="13.2">
      <c r="F270" s="198"/>
    </row>
    <row r="271" spans="6:6" ht="13.2">
      <c r="F271" s="198"/>
    </row>
    <row r="272" spans="6:6" ht="13.2">
      <c r="F272" s="198"/>
    </row>
    <row r="273" spans="6:6" ht="13.2">
      <c r="F273" s="198"/>
    </row>
    <row r="274" spans="6:6" ht="13.2">
      <c r="F274" s="198"/>
    </row>
    <row r="275" spans="6:6" ht="13.2">
      <c r="F275" s="198"/>
    </row>
    <row r="276" spans="6:6" ht="13.2">
      <c r="F276" s="198"/>
    </row>
    <row r="277" spans="6:6" ht="13.2">
      <c r="F277" s="198"/>
    </row>
    <row r="278" spans="6:6" ht="13.2">
      <c r="F278" s="198"/>
    </row>
    <row r="279" spans="6:6" ht="13.2">
      <c r="F279" s="198"/>
    </row>
    <row r="280" spans="6:6" ht="13.2">
      <c r="F280" s="198"/>
    </row>
    <row r="281" spans="6:6" ht="13.2">
      <c r="F281" s="198"/>
    </row>
    <row r="282" spans="6:6" ht="13.2">
      <c r="F282" s="198"/>
    </row>
    <row r="283" spans="6:6" ht="13.2">
      <c r="F283" s="198"/>
    </row>
    <row r="284" spans="6:6" ht="13.2">
      <c r="F284" s="198"/>
    </row>
    <row r="285" spans="6:6" ht="13.2">
      <c r="F285" s="198"/>
    </row>
    <row r="286" spans="6:6" ht="13.2">
      <c r="F286" s="198"/>
    </row>
    <row r="287" spans="6:6" ht="13.2">
      <c r="F287" s="198"/>
    </row>
    <row r="288" spans="6:6" ht="13.2">
      <c r="F288" s="198"/>
    </row>
    <row r="289" spans="6:6" ht="13.2">
      <c r="F289" s="198"/>
    </row>
    <row r="290" spans="6:6" ht="13.2">
      <c r="F290" s="198"/>
    </row>
    <row r="291" spans="6:6" ht="13.2">
      <c r="F291" s="198"/>
    </row>
    <row r="292" spans="6:6" ht="13.2">
      <c r="F292" s="198"/>
    </row>
    <row r="293" spans="6:6" ht="13.2">
      <c r="F293" s="198"/>
    </row>
    <row r="294" spans="6:6" ht="13.2">
      <c r="F294" s="198"/>
    </row>
    <row r="295" spans="6:6" ht="13.2">
      <c r="F295" s="198"/>
    </row>
    <row r="296" spans="6:6" ht="13.2">
      <c r="F296" s="198"/>
    </row>
    <row r="297" spans="6:6" ht="13.2">
      <c r="F297" s="198"/>
    </row>
    <row r="298" spans="6:6" ht="13.2">
      <c r="F298" s="198"/>
    </row>
    <row r="299" spans="6:6" ht="13.2">
      <c r="F299" s="198"/>
    </row>
    <row r="300" spans="6:6" ht="13.2">
      <c r="F300" s="198"/>
    </row>
    <row r="301" spans="6:6" ht="13.2">
      <c r="F301" s="198"/>
    </row>
    <row r="302" spans="6:6" ht="13.2">
      <c r="F302" s="198"/>
    </row>
    <row r="303" spans="6:6" ht="13.2">
      <c r="F303" s="198"/>
    </row>
    <row r="304" spans="6:6" ht="13.2">
      <c r="F304" s="198"/>
    </row>
    <row r="305" spans="6:6" ht="13.2">
      <c r="F305" s="198"/>
    </row>
    <row r="306" spans="6:6" ht="13.2">
      <c r="F306" s="198"/>
    </row>
    <row r="307" spans="6:6" ht="13.2">
      <c r="F307" s="198"/>
    </row>
    <row r="308" spans="6:6" ht="13.2">
      <c r="F308" s="198"/>
    </row>
    <row r="309" spans="6:6" ht="13.2">
      <c r="F309" s="198"/>
    </row>
    <row r="310" spans="6:6" ht="13.2">
      <c r="F310" s="198"/>
    </row>
    <row r="311" spans="6:6" ht="13.2">
      <c r="F311" s="198"/>
    </row>
    <row r="312" spans="6:6" ht="13.2">
      <c r="F312" s="198"/>
    </row>
    <row r="313" spans="6:6" ht="13.2">
      <c r="F313" s="198"/>
    </row>
    <row r="314" spans="6:6" ht="13.2">
      <c r="F314" s="198"/>
    </row>
    <row r="315" spans="6:6" ht="13.2">
      <c r="F315" s="198"/>
    </row>
    <row r="316" spans="6:6" ht="13.2">
      <c r="F316" s="198"/>
    </row>
    <row r="317" spans="6:6" ht="13.2">
      <c r="F317" s="198"/>
    </row>
    <row r="318" spans="6:6" ht="13.2">
      <c r="F318" s="198"/>
    </row>
    <row r="319" spans="6:6" ht="13.2">
      <c r="F319" s="198"/>
    </row>
    <row r="320" spans="6:6" ht="13.2">
      <c r="F320" s="198"/>
    </row>
    <row r="321" spans="6:6" ht="13.2">
      <c r="F321" s="198"/>
    </row>
    <row r="322" spans="6:6" ht="13.2">
      <c r="F322" s="198"/>
    </row>
    <row r="323" spans="6:6" ht="13.2">
      <c r="F323" s="198"/>
    </row>
    <row r="324" spans="6:6" ht="13.2">
      <c r="F324" s="198"/>
    </row>
    <row r="325" spans="6:6" ht="13.2">
      <c r="F325" s="198"/>
    </row>
    <row r="326" spans="6:6" ht="13.2">
      <c r="F326" s="198"/>
    </row>
    <row r="327" spans="6:6" ht="13.2">
      <c r="F327" s="198"/>
    </row>
    <row r="328" spans="6:6" ht="13.2">
      <c r="F328" s="198"/>
    </row>
    <row r="329" spans="6:6" ht="13.2">
      <c r="F329" s="198"/>
    </row>
    <row r="330" spans="6:6" ht="13.2">
      <c r="F330" s="198"/>
    </row>
    <row r="331" spans="6:6" ht="13.2">
      <c r="F331" s="198"/>
    </row>
    <row r="332" spans="6:6" ht="13.2">
      <c r="F332" s="198"/>
    </row>
    <row r="333" spans="6:6" ht="13.2">
      <c r="F333" s="198"/>
    </row>
    <row r="334" spans="6:6" ht="13.2">
      <c r="F334" s="198"/>
    </row>
    <row r="335" spans="6:6" ht="13.2">
      <c r="F335" s="198"/>
    </row>
    <row r="336" spans="6:6" ht="13.2">
      <c r="F336" s="198"/>
    </row>
    <row r="337" spans="6:6" ht="13.2">
      <c r="F337" s="198"/>
    </row>
    <row r="338" spans="6:6" ht="13.2">
      <c r="F338" s="198"/>
    </row>
    <row r="339" spans="6:6" ht="13.2">
      <c r="F339" s="198"/>
    </row>
    <row r="340" spans="6:6" ht="13.2">
      <c r="F340" s="198"/>
    </row>
    <row r="341" spans="6:6" ht="13.2">
      <c r="F341" s="198"/>
    </row>
    <row r="342" spans="6:6" ht="13.2">
      <c r="F342" s="198"/>
    </row>
    <row r="343" spans="6:6" ht="13.2">
      <c r="F343" s="198"/>
    </row>
    <row r="344" spans="6:6" ht="13.2">
      <c r="F344" s="198"/>
    </row>
    <row r="345" spans="6:6" ht="13.2">
      <c r="F345" s="198"/>
    </row>
    <row r="346" spans="6:6" ht="13.2">
      <c r="F346" s="198"/>
    </row>
    <row r="347" spans="6:6" ht="13.2">
      <c r="F347" s="198"/>
    </row>
    <row r="348" spans="6:6" ht="13.2">
      <c r="F348" s="198"/>
    </row>
    <row r="349" spans="6:6" ht="13.2">
      <c r="F349" s="198"/>
    </row>
    <row r="350" spans="6:6" ht="13.2">
      <c r="F350" s="198"/>
    </row>
    <row r="351" spans="6:6" ht="13.2">
      <c r="F351" s="198"/>
    </row>
    <row r="352" spans="6:6" ht="13.2">
      <c r="F352" s="198"/>
    </row>
    <row r="353" spans="6:6" ht="13.2">
      <c r="F353" s="198"/>
    </row>
    <row r="354" spans="6:6" ht="13.2">
      <c r="F354" s="198"/>
    </row>
    <row r="355" spans="6:6" ht="13.2">
      <c r="F355" s="198"/>
    </row>
    <row r="356" spans="6:6" ht="13.2">
      <c r="F356" s="198"/>
    </row>
    <row r="357" spans="6:6" ht="13.2">
      <c r="F357" s="198"/>
    </row>
    <row r="358" spans="6:6" ht="13.2">
      <c r="F358" s="198"/>
    </row>
    <row r="359" spans="6:6" ht="13.2">
      <c r="F359" s="198"/>
    </row>
    <row r="360" spans="6:6" ht="13.2">
      <c r="F360" s="198"/>
    </row>
    <row r="361" spans="6:6" ht="13.2">
      <c r="F361" s="198"/>
    </row>
    <row r="362" spans="6:6" ht="13.2">
      <c r="F362" s="198"/>
    </row>
    <row r="363" spans="6:6" ht="13.2">
      <c r="F363" s="198"/>
    </row>
    <row r="364" spans="6:6" ht="13.2">
      <c r="F364" s="198"/>
    </row>
    <row r="365" spans="6:6" ht="13.2">
      <c r="F365" s="198"/>
    </row>
    <row r="366" spans="6:6" ht="13.2">
      <c r="F366" s="198"/>
    </row>
    <row r="367" spans="6:6" ht="13.2">
      <c r="F367" s="198"/>
    </row>
    <row r="368" spans="6:6" ht="13.2">
      <c r="F368" s="198"/>
    </row>
    <row r="369" spans="6:6" ht="13.2">
      <c r="F369" s="198"/>
    </row>
    <row r="370" spans="6:6" ht="13.2">
      <c r="F370" s="198"/>
    </row>
    <row r="371" spans="6:6" ht="13.2">
      <c r="F371" s="198"/>
    </row>
    <row r="372" spans="6:6" ht="13.2">
      <c r="F372" s="198"/>
    </row>
    <row r="373" spans="6:6" ht="13.2">
      <c r="F373" s="198"/>
    </row>
    <row r="374" spans="6:6" ht="13.2">
      <c r="F374" s="198"/>
    </row>
    <row r="375" spans="6:6" ht="13.2">
      <c r="F375" s="198"/>
    </row>
    <row r="376" spans="6:6" ht="13.2">
      <c r="F376" s="198"/>
    </row>
    <row r="377" spans="6:6" ht="13.2">
      <c r="F377" s="198"/>
    </row>
    <row r="378" spans="6:6" ht="13.2">
      <c r="F378" s="198"/>
    </row>
    <row r="379" spans="6:6" ht="13.2">
      <c r="F379" s="198"/>
    </row>
    <row r="380" spans="6:6" ht="13.2">
      <c r="F380" s="198"/>
    </row>
    <row r="381" spans="6:6" ht="13.2">
      <c r="F381" s="198"/>
    </row>
    <row r="382" spans="6:6" ht="13.2">
      <c r="F382" s="198"/>
    </row>
    <row r="383" spans="6:6" ht="13.2">
      <c r="F383" s="198"/>
    </row>
    <row r="384" spans="6:6" ht="13.2">
      <c r="F384" s="198"/>
    </row>
    <row r="385" spans="6:6" ht="13.2">
      <c r="F385" s="198"/>
    </row>
    <row r="386" spans="6:6" ht="13.2">
      <c r="F386" s="198"/>
    </row>
    <row r="387" spans="6:6" ht="13.2">
      <c r="F387" s="198"/>
    </row>
    <row r="388" spans="6:6" ht="13.2">
      <c r="F388" s="198"/>
    </row>
    <row r="389" spans="6:6" ht="13.2">
      <c r="F389" s="198"/>
    </row>
    <row r="390" spans="6:6" ht="13.2">
      <c r="F390" s="198"/>
    </row>
    <row r="391" spans="6:6" ht="13.2">
      <c r="F391" s="198"/>
    </row>
    <row r="392" spans="6:6" ht="13.2">
      <c r="F392" s="198"/>
    </row>
    <row r="393" spans="6:6" ht="13.2">
      <c r="F393" s="198"/>
    </row>
    <row r="394" spans="6:6" ht="13.2">
      <c r="F394" s="198"/>
    </row>
    <row r="395" spans="6:6" ht="13.2">
      <c r="F395" s="198"/>
    </row>
    <row r="396" spans="6:6" ht="13.2">
      <c r="F396" s="198"/>
    </row>
    <row r="397" spans="6:6" ht="13.2">
      <c r="F397" s="198"/>
    </row>
    <row r="398" spans="6:6" ht="13.2">
      <c r="F398" s="198"/>
    </row>
    <row r="399" spans="6:6" ht="13.2">
      <c r="F399" s="198"/>
    </row>
    <row r="400" spans="6:6" ht="13.2">
      <c r="F400" s="198"/>
    </row>
    <row r="401" spans="6:6" ht="13.2">
      <c r="F401" s="198"/>
    </row>
    <row r="402" spans="6:6" ht="13.2">
      <c r="F402" s="198"/>
    </row>
    <row r="403" spans="6:6" ht="13.2">
      <c r="F403" s="198"/>
    </row>
    <row r="404" spans="6:6" ht="13.2">
      <c r="F404" s="198"/>
    </row>
    <row r="405" spans="6:6" ht="13.2">
      <c r="F405" s="198"/>
    </row>
    <row r="406" spans="6:6" ht="13.2">
      <c r="F406" s="198"/>
    </row>
    <row r="407" spans="6:6" ht="13.2">
      <c r="F407" s="198"/>
    </row>
    <row r="408" spans="6:6" ht="13.2">
      <c r="F408" s="198"/>
    </row>
    <row r="409" spans="6:6" ht="13.2">
      <c r="F409" s="198"/>
    </row>
    <row r="410" spans="6:6" ht="13.2">
      <c r="F410" s="198"/>
    </row>
    <row r="411" spans="6:6" ht="13.2">
      <c r="F411" s="198"/>
    </row>
    <row r="412" spans="6:6" ht="13.2">
      <c r="F412" s="198"/>
    </row>
    <row r="413" spans="6:6" ht="13.2">
      <c r="F413" s="198"/>
    </row>
    <row r="414" spans="6:6" ht="13.2">
      <c r="F414" s="198"/>
    </row>
    <row r="415" spans="6:6" ht="13.2">
      <c r="F415" s="198"/>
    </row>
    <row r="416" spans="6:6" ht="13.2">
      <c r="F416" s="198"/>
    </row>
    <row r="417" spans="6:6" ht="13.2">
      <c r="F417" s="198"/>
    </row>
    <row r="418" spans="6:6" ht="13.2">
      <c r="F418" s="198"/>
    </row>
    <row r="419" spans="6:6" ht="13.2">
      <c r="F419" s="198"/>
    </row>
    <row r="420" spans="6:6" ht="13.2">
      <c r="F420" s="198"/>
    </row>
    <row r="421" spans="6:6" ht="13.2">
      <c r="F421" s="198"/>
    </row>
    <row r="422" spans="6:6" ht="13.2">
      <c r="F422" s="198"/>
    </row>
    <row r="423" spans="6:6" ht="13.2">
      <c r="F423" s="198"/>
    </row>
    <row r="424" spans="6:6" ht="13.2">
      <c r="F424" s="198"/>
    </row>
    <row r="425" spans="6:6" ht="13.2">
      <c r="F425" s="198"/>
    </row>
    <row r="426" spans="6:6" ht="13.2">
      <c r="F426" s="198"/>
    </row>
    <row r="427" spans="6:6" ht="13.2">
      <c r="F427" s="198"/>
    </row>
    <row r="428" spans="6:6" ht="13.2">
      <c r="F428" s="198"/>
    </row>
    <row r="429" spans="6:6" ht="13.2">
      <c r="F429" s="198"/>
    </row>
    <row r="430" spans="6:6" ht="13.2">
      <c r="F430" s="198"/>
    </row>
    <row r="431" spans="6:6" ht="13.2">
      <c r="F431" s="198"/>
    </row>
    <row r="432" spans="6:6" ht="13.2">
      <c r="F432" s="198"/>
    </row>
    <row r="433" spans="6:6" ht="13.2">
      <c r="F433" s="198"/>
    </row>
    <row r="434" spans="6:6" ht="13.2">
      <c r="F434" s="198"/>
    </row>
    <row r="435" spans="6:6" ht="13.2">
      <c r="F435" s="198"/>
    </row>
    <row r="436" spans="6:6" ht="13.2">
      <c r="F436" s="198"/>
    </row>
    <row r="437" spans="6:6" ht="13.2">
      <c r="F437" s="198"/>
    </row>
    <row r="438" spans="6:6" ht="13.2">
      <c r="F438" s="198"/>
    </row>
    <row r="439" spans="6:6" ht="13.2">
      <c r="F439" s="198"/>
    </row>
    <row r="440" spans="6:6" ht="13.2">
      <c r="F440" s="198"/>
    </row>
    <row r="441" spans="6:6" ht="13.2">
      <c r="F441" s="198"/>
    </row>
    <row r="442" spans="6:6" ht="13.2">
      <c r="F442" s="198"/>
    </row>
    <row r="443" spans="6:6" ht="13.2">
      <c r="F443" s="198"/>
    </row>
    <row r="444" spans="6:6" ht="13.2">
      <c r="F444" s="198"/>
    </row>
    <row r="445" spans="6:6" ht="13.2">
      <c r="F445" s="198"/>
    </row>
    <row r="446" spans="6:6" ht="13.2">
      <c r="F446" s="198"/>
    </row>
    <row r="447" spans="6:6" ht="13.2">
      <c r="F447" s="198"/>
    </row>
    <row r="448" spans="6:6" ht="13.2">
      <c r="F448" s="198"/>
    </row>
    <row r="449" spans="6:6" ht="13.2">
      <c r="F449" s="198"/>
    </row>
    <row r="450" spans="6:6" ht="13.2">
      <c r="F450" s="198"/>
    </row>
    <row r="451" spans="6:6" ht="13.2">
      <c r="F451" s="198"/>
    </row>
    <row r="452" spans="6:6" ht="13.2">
      <c r="F452" s="198"/>
    </row>
    <row r="453" spans="6:6" ht="13.2">
      <c r="F453" s="198"/>
    </row>
    <row r="454" spans="6:6" ht="13.2">
      <c r="F454" s="198"/>
    </row>
    <row r="455" spans="6:6" ht="13.2">
      <c r="F455" s="198"/>
    </row>
    <row r="456" spans="6:6" ht="13.2">
      <c r="F456" s="198"/>
    </row>
    <row r="457" spans="6:6" ht="13.2">
      <c r="F457" s="198"/>
    </row>
    <row r="458" spans="6:6" ht="13.2">
      <c r="F458" s="198"/>
    </row>
    <row r="459" spans="6:6" ht="13.2">
      <c r="F459" s="198"/>
    </row>
    <row r="460" spans="6:6" ht="13.2">
      <c r="F460" s="198"/>
    </row>
    <row r="461" spans="6:6" ht="13.2">
      <c r="F461" s="198"/>
    </row>
    <row r="462" spans="6:6" ht="13.2">
      <c r="F462" s="198"/>
    </row>
    <row r="463" spans="6:6" ht="13.2">
      <c r="F463" s="198"/>
    </row>
    <row r="464" spans="6:6" ht="13.2">
      <c r="F464" s="198"/>
    </row>
    <row r="465" spans="6:6" ht="13.2">
      <c r="F465" s="198"/>
    </row>
    <row r="466" spans="6:6" ht="13.2">
      <c r="F466" s="198"/>
    </row>
    <row r="467" spans="6:6" ht="13.2">
      <c r="F467" s="198"/>
    </row>
    <row r="468" spans="6:6" ht="13.2">
      <c r="F468" s="198"/>
    </row>
    <row r="469" spans="6:6" ht="13.2">
      <c r="F469" s="198"/>
    </row>
    <row r="470" spans="6:6" ht="13.2">
      <c r="F470" s="198"/>
    </row>
    <row r="471" spans="6:6" ht="13.2">
      <c r="F471" s="198"/>
    </row>
    <row r="472" spans="6:6" ht="13.2">
      <c r="F472" s="198"/>
    </row>
    <row r="473" spans="6:6" ht="13.2">
      <c r="F473" s="198"/>
    </row>
    <row r="474" spans="6:6" ht="13.2">
      <c r="F474" s="198"/>
    </row>
    <row r="475" spans="6:6" ht="13.2">
      <c r="F475" s="198"/>
    </row>
    <row r="476" spans="6:6" ht="13.2">
      <c r="F476" s="198"/>
    </row>
    <row r="477" spans="6:6" ht="13.2">
      <c r="F477" s="198"/>
    </row>
    <row r="478" spans="6:6" ht="13.2">
      <c r="F478" s="198"/>
    </row>
    <row r="479" spans="6:6" ht="13.2">
      <c r="F479" s="198"/>
    </row>
    <row r="480" spans="6:6" ht="13.2">
      <c r="F480" s="198"/>
    </row>
    <row r="481" spans="6:6" ht="13.2">
      <c r="F481" s="198"/>
    </row>
    <row r="482" spans="6:6" ht="13.2">
      <c r="F482" s="198"/>
    </row>
    <row r="483" spans="6:6" ht="13.2">
      <c r="F483" s="198"/>
    </row>
    <row r="484" spans="6:6" ht="13.2">
      <c r="F484" s="198"/>
    </row>
    <row r="485" spans="6:6" ht="13.2">
      <c r="F485" s="198"/>
    </row>
    <row r="486" spans="6:6" ht="13.2">
      <c r="F486" s="198"/>
    </row>
    <row r="487" spans="6:6" ht="13.2">
      <c r="F487" s="198"/>
    </row>
    <row r="488" spans="6:6" ht="13.2">
      <c r="F488" s="198"/>
    </row>
    <row r="489" spans="6:6" ht="13.2">
      <c r="F489" s="198"/>
    </row>
    <row r="490" spans="6:6" ht="13.2">
      <c r="F490" s="198"/>
    </row>
    <row r="491" spans="6:6" ht="13.2">
      <c r="F491" s="198"/>
    </row>
    <row r="492" spans="6:6" ht="13.2">
      <c r="F492" s="198"/>
    </row>
    <row r="493" spans="6:6" ht="13.2">
      <c r="F493" s="198"/>
    </row>
    <row r="494" spans="6:6" ht="13.2">
      <c r="F494" s="198"/>
    </row>
    <row r="495" spans="6:6" ht="13.2">
      <c r="F495" s="198"/>
    </row>
    <row r="496" spans="6:6" ht="13.2">
      <c r="F496" s="198"/>
    </row>
    <row r="497" spans="6:6" ht="13.2">
      <c r="F497" s="198"/>
    </row>
    <row r="498" spans="6:6" ht="13.2">
      <c r="F498" s="198"/>
    </row>
    <row r="499" spans="6:6" ht="13.2">
      <c r="F499" s="198"/>
    </row>
    <row r="500" spans="6:6" ht="13.2">
      <c r="F500" s="198"/>
    </row>
    <row r="501" spans="6:6" ht="13.2">
      <c r="F501" s="198"/>
    </row>
    <row r="502" spans="6:6" ht="13.2">
      <c r="F502" s="198"/>
    </row>
    <row r="503" spans="6:6" ht="13.2">
      <c r="F503" s="198"/>
    </row>
    <row r="504" spans="6:6" ht="13.2">
      <c r="F504" s="198"/>
    </row>
    <row r="505" spans="6:6" ht="13.2">
      <c r="F505" s="198"/>
    </row>
    <row r="506" spans="6:6" ht="13.2">
      <c r="F506" s="198"/>
    </row>
    <row r="507" spans="6:6" ht="13.2">
      <c r="F507" s="198"/>
    </row>
    <row r="508" spans="6:6" ht="13.2">
      <c r="F508" s="198"/>
    </row>
    <row r="509" spans="6:6" ht="13.2">
      <c r="F509" s="198"/>
    </row>
    <row r="510" spans="6:6" ht="13.2">
      <c r="F510" s="198"/>
    </row>
    <row r="511" spans="6:6" ht="13.2">
      <c r="F511" s="198"/>
    </row>
    <row r="512" spans="6:6" ht="13.2">
      <c r="F512" s="198"/>
    </row>
    <row r="513" spans="6:6" ht="13.2">
      <c r="F513" s="198"/>
    </row>
    <row r="514" spans="6:6" ht="13.2">
      <c r="F514" s="198"/>
    </row>
    <row r="515" spans="6:6" ht="13.2">
      <c r="F515" s="198"/>
    </row>
    <row r="516" spans="6:6" ht="13.2">
      <c r="F516" s="198"/>
    </row>
    <row r="517" spans="6:6" ht="13.2">
      <c r="F517" s="198"/>
    </row>
    <row r="518" spans="6:6" ht="13.2">
      <c r="F518" s="198"/>
    </row>
    <row r="519" spans="6:6" ht="13.2">
      <c r="F519" s="198"/>
    </row>
    <row r="520" spans="6:6" ht="13.2">
      <c r="F520" s="198"/>
    </row>
    <row r="521" spans="6:6" ht="13.2">
      <c r="F521" s="198"/>
    </row>
    <row r="522" spans="6:6" ht="13.2">
      <c r="F522" s="198"/>
    </row>
    <row r="523" spans="6:6" ht="13.2">
      <c r="F523" s="198"/>
    </row>
    <row r="524" spans="6:6" ht="13.2">
      <c r="F524" s="198"/>
    </row>
    <row r="525" spans="6:6" ht="13.2">
      <c r="F525" s="198"/>
    </row>
    <row r="526" spans="6:6" ht="13.2">
      <c r="F526" s="198"/>
    </row>
    <row r="527" spans="6:6" ht="13.2">
      <c r="F527" s="198"/>
    </row>
    <row r="528" spans="6:6" ht="13.2">
      <c r="F528" s="198"/>
    </row>
    <row r="529" spans="6:6" ht="13.2">
      <c r="F529" s="198"/>
    </row>
    <row r="530" spans="6:6" ht="13.2">
      <c r="F530" s="198"/>
    </row>
    <row r="531" spans="6:6" ht="13.2">
      <c r="F531" s="198"/>
    </row>
    <row r="532" spans="6:6" ht="13.2">
      <c r="F532" s="198"/>
    </row>
    <row r="533" spans="6:6" ht="13.2">
      <c r="F533" s="198"/>
    </row>
    <row r="534" spans="6:6" ht="13.2">
      <c r="F534" s="198"/>
    </row>
    <row r="535" spans="6:6" ht="13.2">
      <c r="F535" s="198"/>
    </row>
    <row r="536" spans="6:6" ht="13.2">
      <c r="F536" s="198"/>
    </row>
    <row r="537" spans="6:6" ht="13.2">
      <c r="F537" s="198"/>
    </row>
    <row r="538" spans="6:6" ht="13.2">
      <c r="F538" s="198"/>
    </row>
    <row r="539" spans="6:6" ht="13.2">
      <c r="F539" s="198"/>
    </row>
    <row r="540" spans="6:6" ht="13.2">
      <c r="F540" s="198"/>
    </row>
    <row r="541" spans="6:6" ht="13.2">
      <c r="F541" s="198"/>
    </row>
    <row r="542" spans="6:6" ht="13.2">
      <c r="F542" s="198"/>
    </row>
    <row r="543" spans="6:6" ht="13.2">
      <c r="F543" s="198"/>
    </row>
    <row r="544" spans="6:6" ht="13.2">
      <c r="F544" s="198"/>
    </row>
    <row r="545" spans="6:6" ht="13.2">
      <c r="F545" s="198"/>
    </row>
    <row r="546" spans="6:6" ht="13.2">
      <c r="F546" s="198"/>
    </row>
    <row r="547" spans="6:6" ht="13.2">
      <c r="F547" s="198"/>
    </row>
    <row r="548" spans="6:6" ht="13.2">
      <c r="F548" s="198"/>
    </row>
    <row r="549" spans="6:6" ht="13.2">
      <c r="F549" s="198"/>
    </row>
    <row r="550" spans="6:6" ht="13.2">
      <c r="F550" s="198"/>
    </row>
    <row r="551" spans="6:6" ht="13.2">
      <c r="F551" s="198"/>
    </row>
    <row r="552" spans="6:6" ht="13.2">
      <c r="F552" s="198"/>
    </row>
    <row r="553" spans="6:6" ht="13.2">
      <c r="F553" s="198"/>
    </row>
    <row r="554" spans="6:6" ht="13.2">
      <c r="F554" s="198"/>
    </row>
    <row r="555" spans="6:6" ht="13.2">
      <c r="F555" s="198"/>
    </row>
    <row r="556" spans="6:6" ht="13.2">
      <c r="F556" s="198"/>
    </row>
    <row r="557" spans="6:6" ht="13.2">
      <c r="F557" s="198"/>
    </row>
    <row r="558" spans="6:6" ht="13.2">
      <c r="F558" s="198"/>
    </row>
    <row r="559" spans="6:6" ht="13.2">
      <c r="F559" s="198"/>
    </row>
    <row r="560" spans="6:6" ht="13.2">
      <c r="F560" s="198"/>
    </row>
    <row r="561" spans="6:6" ht="13.2">
      <c r="F561" s="198"/>
    </row>
    <row r="562" spans="6:6" ht="13.2">
      <c r="F562" s="198"/>
    </row>
    <row r="563" spans="6:6" ht="13.2">
      <c r="F563" s="198"/>
    </row>
    <row r="564" spans="6:6" ht="13.2">
      <c r="F564" s="198"/>
    </row>
    <row r="565" spans="6:6" ht="13.2">
      <c r="F565" s="198"/>
    </row>
    <row r="566" spans="6:6" ht="13.2">
      <c r="F566" s="198"/>
    </row>
    <row r="567" spans="6:6" ht="13.2">
      <c r="F567" s="198"/>
    </row>
    <row r="568" spans="6:6" ht="13.2">
      <c r="F568" s="198"/>
    </row>
    <row r="569" spans="6:6" ht="13.2">
      <c r="F569" s="198"/>
    </row>
    <row r="570" spans="6:6" ht="13.2">
      <c r="F570" s="198"/>
    </row>
    <row r="571" spans="6:6" ht="13.2">
      <c r="F571" s="198"/>
    </row>
    <row r="572" spans="6:6" ht="13.2">
      <c r="F572" s="198"/>
    </row>
    <row r="573" spans="6:6" ht="13.2">
      <c r="F573" s="198"/>
    </row>
    <row r="574" spans="6:6" ht="13.2">
      <c r="F574" s="198"/>
    </row>
    <row r="575" spans="6:6" ht="13.2">
      <c r="F575" s="198"/>
    </row>
    <row r="576" spans="6:6" ht="13.2">
      <c r="F576" s="198"/>
    </row>
    <row r="577" spans="6:6" ht="13.2">
      <c r="F577" s="198"/>
    </row>
    <row r="578" spans="6:6" ht="13.2">
      <c r="F578" s="198"/>
    </row>
    <row r="579" spans="6:6" ht="13.2">
      <c r="F579" s="198"/>
    </row>
    <row r="580" spans="6:6" ht="13.2">
      <c r="F580" s="198"/>
    </row>
    <row r="581" spans="6:6" ht="13.2">
      <c r="F581" s="198"/>
    </row>
    <row r="582" spans="6:6" ht="13.2">
      <c r="F582" s="198"/>
    </row>
    <row r="583" spans="6:6" ht="13.2">
      <c r="F583" s="198"/>
    </row>
    <row r="584" spans="6:6" ht="13.2">
      <c r="F584" s="198"/>
    </row>
    <row r="585" spans="6:6" ht="13.2">
      <c r="F585" s="198"/>
    </row>
    <row r="586" spans="6:6" ht="13.2">
      <c r="F586" s="198"/>
    </row>
    <row r="587" spans="6:6" ht="13.2">
      <c r="F587" s="198"/>
    </row>
    <row r="588" spans="6:6" ht="13.2">
      <c r="F588" s="198"/>
    </row>
    <row r="589" spans="6:6" ht="13.2">
      <c r="F589" s="198"/>
    </row>
    <row r="590" spans="6:6" ht="13.2">
      <c r="F590" s="198"/>
    </row>
    <row r="591" spans="6:6" ht="13.2">
      <c r="F591" s="198"/>
    </row>
    <row r="592" spans="6:6" ht="13.2">
      <c r="F592" s="198"/>
    </row>
    <row r="593" spans="6:6" ht="13.2">
      <c r="F593" s="198"/>
    </row>
    <row r="594" spans="6:6" ht="13.2">
      <c r="F594" s="198"/>
    </row>
    <row r="595" spans="6:6" ht="13.2">
      <c r="F595" s="198"/>
    </row>
    <row r="596" spans="6:6" ht="13.2">
      <c r="F596" s="198"/>
    </row>
    <row r="597" spans="6:6" ht="13.2">
      <c r="F597" s="198"/>
    </row>
    <row r="598" spans="6:6" ht="13.2">
      <c r="F598" s="198"/>
    </row>
    <row r="599" spans="6:6" ht="13.2">
      <c r="F599" s="198"/>
    </row>
    <row r="600" spans="6:6" ht="13.2">
      <c r="F600" s="198"/>
    </row>
    <row r="601" spans="6:6" ht="13.2">
      <c r="F601" s="198"/>
    </row>
    <row r="602" spans="6:6" ht="13.2">
      <c r="F602" s="198"/>
    </row>
    <row r="603" spans="6:6" ht="13.2">
      <c r="F603" s="198"/>
    </row>
    <row r="604" spans="6:6" ht="13.2">
      <c r="F604" s="198"/>
    </row>
    <row r="605" spans="6:6" ht="13.2">
      <c r="F605" s="198"/>
    </row>
    <row r="606" spans="6:6" ht="13.2">
      <c r="F606" s="198"/>
    </row>
    <row r="607" spans="6:6" ht="13.2">
      <c r="F607" s="198"/>
    </row>
    <row r="608" spans="6:6" ht="13.2">
      <c r="F608" s="198"/>
    </row>
    <row r="609" spans="6:6" ht="13.2">
      <c r="F609" s="198"/>
    </row>
    <row r="610" spans="6:6" ht="13.2">
      <c r="F610" s="198"/>
    </row>
    <row r="611" spans="6:6" ht="13.2">
      <c r="F611" s="198"/>
    </row>
    <row r="612" spans="6:6" ht="13.2">
      <c r="F612" s="198"/>
    </row>
    <row r="613" spans="6:6" ht="13.2">
      <c r="F613" s="198"/>
    </row>
    <row r="614" spans="6:6" ht="13.2">
      <c r="F614" s="198"/>
    </row>
    <row r="615" spans="6:6" ht="13.2">
      <c r="F615" s="198"/>
    </row>
    <row r="616" spans="6:6" ht="13.2">
      <c r="F616" s="198"/>
    </row>
    <row r="617" spans="6:6" ht="13.2">
      <c r="F617" s="198"/>
    </row>
    <row r="618" spans="6:6" ht="13.2">
      <c r="F618" s="198"/>
    </row>
    <row r="619" spans="6:6" ht="13.2">
      <c r="F619" s="198"/>
    </row>
    <row r="620" spans="6:6" ht="13.2">
      <c r="F620" s="198"/>
    </row>
    <row r="621" spans="6:6" ht="13.2">
      <c r="F621" s="198"/>
    </row>
    <row r="622" spans="6:6" ht="13.2">
      <c r="F622" s="198"/>
    </row>
    <row r="623" spans="6:6" ht="13.2">
      <c r="F623" s="198"/>
    </row>
    <row r="624" spans="6:6" ht="13.2">
      <c r="F624" s="198"/>
    </row>
    <row r="625" spans="6:6" ht="13.2">
      <c r="F625" s="198"/>
    </row>
    <row r="626" spans="6:6" ht="13.2">
      <c r="F626" s="198"/>
    </row>
    <row r="627" spans="6:6" ht="13.2">
      <c r="F627" s="198"/>
    </row>
    <row r="628" spans="6:6" ht="13.2">
      <c r="F628" s="198"/>
    </row>
    <row r="629" spans="6:6" ht="13.2">
      <c r="F629" s="198"/>
    </row>
    <row r="630" spans="6:6" ht="13.2">
      <c r="F630" s="198"/>
    </row>
    <row r="631" spans="6:6" ht="13.2">
      <c r="F631" s="198"/>
    </row>
    <row r="632" spans="6:6" ht="13.2">
      <c r="F632" s="198"/>
    </row>
    <row r="633" spans="6:6" ht="13.2">
      <c r="F633" s="198"/>
    </row>
    <row r="634" spans="6:6" ht="13.2">
      <c r="F634" s="198"/>
    </row>
    <row r="635" spans="6:6" ht="13.2">
      <c r="F635" s="198"/>
    </row>
    <row r="636" spans="6:6" ht="13.2">
      <c r="F636" s="198"/>
    </row>
    <row r="637" spans="6:6" ht="13.2">
      <c r="F637" s="198"/>
    </row>
    <row r="638" spans="6:6" ht="13.2">
      <c r="F638" s="198"/>
    </row>
    <row r="639" spans="6:6" ht="13.2">
      <c r="F639" s="198"/>
    </row>
    <row r="640" spans="6:6" ht="13.2">
      <c r="F640" s="198"/>
    </row>
    <row r="641" spans="6:6" ht="13.2">
      <c r="F641" s="198"/>
    </row>
    <row r="642" spans="6:6" ht="13.2">
      <c r="F642" s="198"/>
    </row>
    <row r="643" spans="6:6" ht="13.2">
      <c r="F643" s="198"/>
    </row>
    <row r="644" spans="6:6" ht="13.2">
      <c r="F644" s="198"/>
    </row>
    <row r="645" spans="6:6" ht="13.2">
      <c r="F645" s="198"/>
    </row>
    <row r="646" spans="6:6" ht="13.2">
      <c r="F646" s="198"/>
    </row>
    <row r="647" spans="6:6" ht="13.2">
      <c r="F647" s="198"/>
    </row>
    <row r="648" spans="6:6" ht="13.2">
      <c r="F648" s="198"/>
    </row>
    <row r="649" spans="6:6" ht="13.2">
      <c r="F649" s="198"/>
    </row>
    <row r="650" spans="6:6" ht="13.2">
      <c r="F650" s="198"/>
    </row>
    <row r="651" spans="6:6" ht="13.2">
      <c r="F651" s="198"/>
    </row>
    <row r="652" spans="6:6" ht="13.2">
      <c r="F652" s="198"/>
    </row>
    <row r="653" spans="6:6" ht="13.2">
      <c r="F653" s="198"/>
    </row>
    <row r="654" spans="6:6" ht="13.2">
      <c r="F654" s="198"/>
    </row>
    <row r="655" spans="6:6" ht="13.2">
      <c r="F655" s="198"/>
    </row>
    <row r="656" spans="6:6" ht="13.2">
      <c r="F656" s="198"/>
    </row>
    <row r="657" spans="6:6" ht="13.2">
      <c r="F657" s="198"/>
    </row>
    <row r="658" spans="6:6" ht="13.2">
      <c r="F658" s="198"/>
    </row>
    <row r="659" spans="6:6" ht="13.2">
      <c r="F659" s="198"/>
    </row>
    <row r="660" spans="6:6" ht="13.2">
      <c r="F660" s="198"/>
    </row>
    <row r="661" spans="6:6" ht="13.2">
      <c r="F661" s="198"/>
    </row>
    <row r="662" spans="6:6" ht="13.2">
      <c r="F662" s="198"/>
    </row>
    <row r="663" spans="6:6" ht="13.2">
      <c r="F663" s="198"/>
    </row>
    <row r="664" spans="6:6" ht="13.2">
      <c r="F664" s="198"/>
    </row>
    <row r="665" spans="6:6" ht="13.2">
      <c r="F665" s="198"/>
    </row>
    <row r="666" spans="6:6" ht="13.2">
      <c r="F666" s="198"/>
    </row>
    <row r="667" spans="6:6" ht="13.2">
      <c r="F667" s="198"/>
    </row>
    <row r="668" spans="6:6" ht="13.2">
      <c r="F668" s="198"/>
    </row>
    <row r="669" spans="6:6" ht="13.2">
      <c r="F669" s="198"/>
    </row>
    <row r="670" spans="6:6" ht="13.2">
      <c r="F670" s="198"/>
    </row>
    <row r="671" spans="6:6" ht="13.2">
      <c r="F671" s="198"/>
    </row>
    <row r="672" spans="6:6" ht="13.2">
      <c r="F672" s="198"/>
    </row>
    <row r="673" spans="6:6" ht="13.2">
      <c r="F673" s="198"/>
    </row>
    <row r="674" spans="6:6" ht="13.2">
      <c r="F674" s="198"/>
    </row>
    <row r="675" spans="6:6" ht="13.2">
      <c r="F675" s="198"/>
    </row>
    <row r="676" spans="6:6" ht="13.2">
      <c r="F676" s="198"/>
    </row>
    <row r="677" spans="6:6" ht="13.2">
      <c r="F677" s="198"/>
    </row>
    <row r="678" spans="6:6" ht="13.2">
      <c r="F678" s="198"/>
    </row>
    <row r="679" spans="6:6" ht="13.2">
      <c r="F679" s="198"/>
    </row>
    <row r="680" spans="6:6" ht="13.2">
      <c r="F680" s="198"/>
    </row>
    <row r="681" spans="6:6" ht="13.2">
      <c r="F681" s="198"/>
    </row>
    <row r="682" spans="6:6" ht="13.2">
      <c r="F682" s="198"/>
    </row>
    <row r="683" spans="6:6" ht="13.2">
      <c r="F683" s="198"/>
    </row>
    <row r="684" spans="6:6" ht="13.2">
      <c r="F684" s="198"/>
    </row>
    <row r="685" spans="6:6" ht="13.2">
      <c r="F685" s="198"/>
    </row>
    <row r="686" spans="6:6" ht="13.2">
      <c r="F686" s="198"/>
    </row>
    <row r="687" spans="6:6" ht="13.2">
      <c r="F687" s="198"/>
    </row>
    <row r="688" spans="6:6" ht="13.2">
      <c r="F688" s="198"/>
    </row>
    <row r="689" spans="6:6" ht="13.2">
      <c r="F689" s="198"/>
    </row>
    <row r="690" spans="6:6" ht="13.2">
      <c r="F690" s="198"/>
    </row>
    <row r="691" spans="6:6" ht="13.2">
      <c r="F691" s="198"/>
    </row>
    <row r="692" spans="6:6" ht="13.2">
      <c r="F692" s="198"/>
    </row>
    <row r="693" spans="6:6" ht="13.2">
      <c r="F693" s="198"/>
    </row>
    <row r="694" spans="6:6" ht="13.2">
      <c r="F694" s="198"/>
    </row>
    <row r="695" spans="6:6" ht="13.2">
      <c r="F695" s="198"/>
    </row>
    <row r="696" spans="6:6" ht="13.2">
      <c r="F696" s="198"/>
    </row>
    <row r="697" spans="6:6" ht="13.2">
      <c r="F697" s="198"/>
    </row>
    <row r="698" spans="6:6" ht="13.2">
      <c r="F698" s="198"/>
    </row>
    <row r="699" spans="6:6" ht="13.2">
      <c r="F699" s="198"/>
    </row>
    <row r="700" spans="6:6" ht="13.2">
      <c r="F700" s="198"/>
    </row>
    <row r="701" spans="6:6" ht="13.2">
      <c r="F701" s="198"/>
    </row>
    <row r="702" spans="6:6" ht="13.2">
      <c r="F702" s="198"/>
    </row>
    <row r="703" spans="6:6" ht="13.2">
      <c r="F703" s="198"/>
    </row>
    <row r="704" spans="6:6" ht="13.2">
      <c r="F704" s="198"/>
    </row>
    <row r="705" spans="6:6" ht="13.2">
      <c r="F705" s="198"/>
    </row>
    <row r="706" spans="6:6" ht="13.2">
      <c r="F706" s="198"/>
    </row>
    <row r="707" spans="6:6" ht="13.2">
      <c r="F707" s="198"/>
    </row>
    <row r="708" spans="6:6" ht="13.2">
      <c r="F708" s="198"/>
    </row>
    <row r="709" spans="6:6" ht="13.2">
      <c r="F709" s="198"/>
    </row>
    <row r="710" spans="6:6" ht="13.2">
      <c r="F710" s="198"/>
    </row>
    <row r="711" spans="6:6" ht="13.2">
      <c r="F711" s="198"/>
    </row>
    <row r="712" spans="6:6" ht="13.2">
      <c r="F712" s="198"/>
    </row>
    <row r="713" spans="6:6" ht="13.2">
      <c r="F713" s="198"/>
    </row>
    <row r="714" spans="6:6" ht="13.2">
      <c r="F714" s="198"/>
    </row>
    <row r="715" spans="6:6" ht="13.2">
      <c r="F715" s="198"/>
    </row>
    <row r="716" spans="6:6" ht="13.2">
      <c r="F716" s="198"/>
    </row>
    <row r="717" spans="6:6" ht="13.2">
      <c r="F717" s="198"/>
    </row>
    <row r="718" spans="6:6" ht="13.2">
      <c r="F718" s="198"/>
    </row>
    <row r="719" spans="6:6" ht="13.2">
      <c r="F719" s="198"/>
    </row>
    <row r="720" spans="6:6" ht="13.2">
      <c r="F720" s="198"/>
    </row>
    <row r="721" spans="6:6" ht="13.2">
      <c r="F721" s="198"/>
    </row>
    <row r="722" spans="6:6" ht="13.2">
      <c r="F722" s="198"/>
    </row>
    <row r="723" spans="6:6" ht="13.2">
      <c r="F723" s="198"/>
    </row>
    <row r="724" spans="6:6" ht="13.2">
      <c r="F724" s="198"/>
    </row>
    <row r="725" spans="6:6" ht="13.2">
      <c r="F725" s="198"/>
    </row>
    <row r="726" spans="6:6" ht="13.2">
      <c r="F726" s="198"/>
    </row>
    <row r="727" spans="6:6" ht="13.2">
      <c r="F727" s="198"/>
    </row>
    <row r="728" spans="6:6" ht="13.2">
      <c r="F728" s="198"/>
    </row>
    <row r="729" spans="6:6" ht="13.2">
      <c r="F729" s="198"/>
    </row>
    <row r="730" spans="6:6" ht="13.2">
      <c r="F730" s="198"/>
    </row>
    <row r="731" spans="6:6" ht="13.2">
      <c r="F731" s="198"/>
    </row>
    <row r="732" spans="6:6" ht="13.2">
      <c r="F732" s="198"/>
    </row>
    <row r="733" spans="6:6" ht="13.2">
      <c r="F733" s="198"/>
    </row>
    <row r="734" spans="6:6" ht="13.2">
      <c r="F734" s="198"/>
    </row>
    <row r="735" spans="6:6" ht="13.2">
      <c r="F735" s="198"/>
    </row>
    <row r="736" spans="6:6" ht="13.2">
      <c r="F736" s="198"/>
    </row>
    <row r="737" spans="6:6" ht="13.2">
      <c r="F737" s="198"/>
    </row>
    <row r="738" spans="6:6" ht="13.2">
      <c r="F738" s="198"/>
    </row>
    <row r="739" spans="6:6" ht="13.2">
      <c r="F739" s="198"/>
    </row>
    <row r="740" spans="6:6" ht="13.2">
      <c r="F740" s="198"/>
    </row>
    <row r="741" spans="6:6" ht="13.2">
      <c r="F741" s="198"/>
    </row>
    <row r="742" spans="6:6" ht="13.2">
      <c r="F742" s="198"/>
    </row>
    <row r="743" spans="6:6" ht="13.2">
      <c r="F743" s="198"/>
    </row>
    <row r="744" spans="6:6" ht="13.2">
      <c r="F744" s="198"/>
    </row>
    <row r="745" spans="6:6" ht="13.2">
      <c r="F745" s="198"/>
    </row>
    <row r="746" spans="6:6" ht="13.2">
      <c r="F746" s="198"/>
    </row>
    <row r="747" spans="6:6" ht="13.2">
      <c r="F747" s="198"/>
    </row>
    <row r="748" spans="6:6" ht="13.2">
      <c r="F748" s="198"/>
    </row>
    <row r="749" spans="6:6" ht="13.2">
      <c r="F749" s="198"/>
    </row>
    <row r="750" spans="6:6" ht="13.2">
      <c r="F750" s="198"/>
    </row>
    <row r="751" spans="6:6" ht="13.2">
      <c r="F751" s="198"/>
    </row>
    <row r="752" spans="6:6" ht="13.2">
      <c r="F752" s="198"/>
    </row>
    <row r="753" spans="6:6" ht="13.2">
      <c r="F753" s="198"/>
    </row>
    <row r="754" spans="6:6" ht="13.2">
      <c r="F754" s="198"/>
    </row>
    <row r="755" spans="6:6" ht="13.2">
      <c r="F755" s="198"/>
    </row>
    <row r="756" spans="6:6" ht="13.2">
      <c r="F756" s="198"/>
    </row>
    <row r="757" spans="6:6" ht="13.2">
      <c r="F757" s="198"/>
    </row>
    <row r="758" spans="6:6" ht="13.2">
      <c r="F758" s="198"/>
    </row>
    <row r="759" spans="6:6" ht="13.2">
      <c r="F759" s="198"/>
    </row>
    <row r="760" spans="6:6" ht="13.2">
      <c r="F760" s="198"/>
    </row>
    <row r="761" spans="6:6" ht="13.2">
      <c r="F761" s="198"/>
    </row>
    <row r="762" spans="6:6" ht="13.2">
      <c r="F762" s="198"/>
    </row>
    <row r="763" spans="6:6" ht="13.2">
      <c r="F763" s="198"/>
    </row>
    <row r="764" spans="6:6" ht="13.2">
      <c r="F764" s="198"/>
    </row>
    <row r="765" spans="6:6" ht="13.2">
      <c r="F765" s="198"/>
    </row>
    <row r="766" spans="6:6" ht="13.2">
      <c r="F766" s="198"/>
    </row>
    <row r="767" spans="6:6" ht="13.2">
      <c r="F767" s="198"/>
    </row>
    <row r="768" spans="6:6" ht="13.2">
      <c r="F768" s="198"/>
    </row>
    <row r="769" spans="6:6" ht="13.2">
      <c r="F769" s="198"/>
    </row>
    <row r="770" spans="6:6" ht="13.2">
      <c r="F770" s="198"/>
    </row>
    <row r="771" spans="6:6" ht="13.2">
      <c r="F771" s="198"/>
    </row>
    <row r="772" spans="6:6" ht="13.2">
      <c r="F772" s="198"/>
    </row>
    <row r="773" spans="6:6" ht="13.2">
      <c r="F773" s="198"/>
    </row>
    <row r="774" spans="6:6" ht="13.2">
      <c r="F774" s="198"/>
    </row>
    <row r="775" spans="6:6" ht="13.2">
      <c r="F775" s="198"/>
    </row>
    <row r="776" spans="6:6" ht="13.2">
      <c r="F776" s="198"/>
    </row>
    <row r="777" spans="6:6" ht="13.2">
      <c r="F777" s="198"/>
    </row>
    <row r="778" spans="6:6" ht="13.2">
      <c r="F778" s="198"/>
    </row>
    <row r="779" spans="6:6" ht="13.2">
      <c r="F779" s="198"/>
    </row>
    <row r="780" spans="6:6" ht="13.2">
      <c r="F780" s="198"/>
    </row>
    <row r="781" spans="6:6" ht="13.2">
      <c r="F781" s="198"/>
    </row>
    <row r="782" spans="6:6" ht="13.2">
      <c r="F782" s="198"/>
    </row>
    <row r="783" spans="6:6" ht="13.2">
      <c r="F783" s="198"/>
    </row>
    <row r="784" spans="6:6" ht="13.2">
      <c r="F784" s="198"/>
    </row>
    <row r="785" spans="6:6" ht="13.2">
      <c r="F785" s="198"/>
    </row>
    <row r="786" spans="6:6" ht="13.2">
      <c r="F786" s="198"/>
    </row>
    <row r="787" spans="6:6" ht="13.2">
      <c r="F787" s="198"/>
    </row>
    <row r="788" spans="6:6" ht="13.2">
      <c r="F788" s="198"/>
    </row>
    <row r="789" spans="6:6" ht="13.2">
      <c r="F789" s="198"/>
    </row>
    <row r="790" spans="6:6" ht="13.2">
      <c r="F790" s="198"/>
    </row>
    <row r="791" spans="6:6" ht="13.2">
      <c r="F791" s="198"/>
    </row>
    <row r="792" spans="6:6" ht="13.2">
      <c r="F792" s="198"/>
    </row>
    <row r="793" spans="6:6" ht="13.2">
      <c r="F793" s="198"/>
    </row>
    <row r="794" spans="6:6" ht="13.2">
      <c r="F794" s="198"/>
    </row>
    <row r="795" spans="6:6" ht="13.2">
      <c r="F795" s="198"/>
    </row>
    <row r="796" spans="6:6" ht="13.2">
      <c r="F796" s="198"/>
    </row>
    <row r="797" spans="6:6" ht="13.2">
      <c r="F797" s="198"/>
    </row>
    <row r="798" spans="6:6" ht="13.2">
      <c r="F798" s="198"/>
    </row>
    <row r="799" spans="6:6" ht="13.2">
      <c r="F799" s="198"/>
    </row>
    <row r="800" spans="6:6" ht="13.2">
      <c r="F800" s="198"/>
    </row>
    <row r="801" spans="6:6" ht="13.2">
      <c r="F801" s="198"/>
    </row>
    <row r="802" spans="6:6" ht="13.2">
      <c r="F802" s="198"/>
    </row>
    <row r="803" spans="6:6" ht="13.2">
      <c r="F803" s="198"/>
    </row>
    <row r="804" spans="6:6" ht="13.2">
      <c r="F804" s="198"/>
    </row>
    <row r="805" spans="6:6" ht="13.2">
      <c r="F805" s="198"/>
    </row>
    <row r="806" spans="6:6" ht="13.2">
      <c r="F806" s="198"/>
    </row>
    <row r="807" spans="6:6" ht="13.2">
      <c r="F807" s="198"/>
    </row>
    <row r="808" spans="6:6" ht="13.2">
      <c r="F808" s="198"/>
    </row>
    <row r="809" spans="6:6" ht="13.2">
      <c r="F809" s="198"/>
    </row>
    <row r="810" spans="6:6" ht="13.2">
      <c r="F810" s="198"/>
    </row>
    <row r="811" spans="6:6" ht="13.2">
      <c r="F811" s="198"/>
    </row>
    <row r="812" spans="6:6" ht="13.2">
      <c r="F812" s="198"/>
    </row>
    <row r="813" spans="6:6" ht="13.2">
      <c r="F813" s="198"/>
    </row>
    <row r="814" spans="6:6" ht="13.2">
      <c r="F814" s="198"/>
    </row>
    <row r="815" spans="6:6" ht="13.2">
      <c r="F815" s="198"/>
    </row>
    <row r="816" spans="6:6" ht="13.2">
      <c r="F816" s="198"/>
    </row>
    <row r="817" spans="6:6" ht="13.2">
      <c r="F817" s="198"/>
    </row>
    <row r="818" spans="6:6" ht="13.2">
      <c r="F818" s="198"/>
    </row>
    <row r="819" spans="6:6" ht="13.2">
      <c r="F819" s="198"/>
    </row>
    <row r="820" spans="6:6" ht="13.2">
      <c r="F820" s="198"/>
    </row>
    <row r="821" spans="6:6" ht="13.2">
      <c r="F821" s="198"/>
    </row>
    <row r="822" spans="6:6" ht="13.2">
      <c r="F822" s="198"/>
    </row>
    <row r="823" spans="6:6" ht="13.2">
      <c r="F823" s="198"/>
    </row>
    <row r="824" spans="6:6" ht="13.2">
      <c r="F824" s="198"/>
    </row>
    <row r="825" spans="6:6" ht="13.2">
      <c r="F825" s="198"/>
    </row>
    <row r="826" spans="6:6" ht="13.2">
      <c r="F826" s="198"/>
    </row>
    <row r="827" spans="6:6" ht="13.2">
      <c r="F827" s="198"/>
    </row>
    <row r="828" spans="6:6" ht="13.2">
      <c r="F828" s="198"/>
    </row>
    <row r="829" spans="6:6" ht="13.2">
      <c r="F829" s="198"/>
    </row>
    <row r="830" spans="6:6" ht="13.2">
      <c r="F830" s="198"/>
    </row>
    <row r="831" spans="6:6" ht="13.2">
      <c r="F831" s="198"/>
    </row>
    <row r="832" spans="6:6" ht="13.2">
      <c r="F832" s="198"/>
    </row>
    <row r="833" spans="6:6" ht="13.2">
      <c r="F833" s="198"/>
    </row>
    <row r="834" spans="6:6" ht="13.2">
      <c r="F834" s="198"/>
    </row>
    <row r="835" spans="6:6" ht="13.2">
      <c r="F835" s="198"/>
    </row>
    <row r="836" spans="6:6" ht="13.2">
      <c r="F836" s="198"/>
    </row>
    <row r="837" spans="6:6" ht="13.2">
      <c r="F837" s="198"/>
    </row>
    <row r="838" spans="6:6" ht="13.2">
      <c r="F838" s="198"/>
    </row>
    <row r="839" spans="6:6" ht="13.2">
      <c r="F839" s="198"/>
    </row>
    <row r="840" spans="6:6" ht="13.2">
      <c r="F840" s="198"/>
    </row>
    <row r="841" spans="6:6" ht="13.2">
      <c r="F841" s="198"/>
    </row>
    <row r="842" spans="6:6" ht="13.2">
      <c r="F842" s="198"/>
    </row>
    <row r="843" spans="6:6" ht="13.2">
      <c r="F843" s="198"/>
    </row>
    <row r="844" spans="6:6" ht="13.2">
      <c r="F844" s="198"/>
    </row>
    <row r="845" spans="6:6" ht="13.2">
      <c r="F845" s="198"/>
    </row>
    <row r="846" spans="6:6" ht="13.2">
      <c r="F846" s="198"/>
    </row>
    <row r="847" spans="6:6" ht="13.2">
      <c r="F847" s="198"/>
    </row>
    <row r="848" spans="6:6" ht="13.2">
      <c r="F848" s="198"/>
    </row>
    <row r="849" spans="6:6" ht="13.2">
      <c r="F849" s="198"/>
    </row>
    <row r="850" spans="6:6" ht="13.2">
      <c r="F850" s="198"/>
    </row>
    <row r="851" spans="6:6" ht="13.2">
      <c r="F851" s="198"/>
    </row>
    <row r="852" spans="6:6" ht="13.2">
      <c r="F852" s="198"/>
    </row>
    <row r="853" spans="6:6" ht="13.2">
      <c r="F853" s="198"/>
    </row>
    <row r="854" spans="6:6" ht="13.2">
      <c r="F854" s="198"/>
    </row>
    <row r="855" spans="6:6" ht="13.2">
      <c r="F855" s="198"/>
    </row>
    <row r="856" spans="6:6" ht="13.2">
      <c r="F856" s="198"/>
    </row>
    <row r="857" spans="6:6" ht="13.2">
      <c r="F857" s="198"/>
    </row>
    <row r="858" spans="6:6" ht="13.2">
      <c r="F858" s="198"/>
    </row>
    <row r="859" spans="6:6" ht="13.2">
      <c r="F859" s="198"/>
    </row>
    <row r="860" spans="6:6" ht="13.2">
      <c r="F860" s="198"/>
    </row>
    <row r="861" spans="6:6" ht="13.2">
      <c r="F861" s="198"/>
    </row>
    <row r="862" spans="6:6" ht="13.2">
      <c r="F862" s="198"/>
    </row>
    <row r="863" spans="6:6" ht="13.2">
      <c r="F863" s="198"/>
    </row>
    <row r="864" spans="6:6" ht="13.2">
      <c r="F864" s="198"/>
    </row>
    <row r="865" spans="6:6" ht="13.2">
      <c r="F865" s="198"/>
    </row>
    <row r="866" spans="6:6" ht="13.2">
      <c r="F866" s="198"/>
    </row>
    <row r="867" spans="6:6" ht="13.2">
      <c r="F867" s="198"/>
    </row>
    <row r="868" spans="6:6" ht="13.2">
      <c r="F868" s="198"/>
    </row>
    <row r="869" spans="6:6" ht="13.2">
      <c r="F869" s="198"/>
    </row>
    <row r="870" spans="6:6" ht="13.2">
      <c r="F870" s="198"/>
    </row>
    <row r="871" spans="6:6" ht="13.2">
      <c r="F871" s="198"/>
    </row>
    <row r="872" spans="6:6" ht="13.2">
      <c r="F872" s="198"/>
    </row>
    <row r="873" spans="6:6" ht="13.2">
      <c r="F873" s="198"/>
    </row>
    <row r="874" spans="6:6" ht="13.2">
      <c r="F874" s="198"/>
    </row>
    <row r="875" spans="6:6" ht="13.2">
      <c r="F875" s="198"/>
    </row>
    <row r="876" spans="6:6" ht="13.2">
      <c r="F876" s="198"/>
    </row>
    <row r="877" spans="6:6" ht="13.2">
      <c r="F877" s="198"/>
    </row>
    <row r="878" spans="6:6" ht="13.2">
      <c r="F878" s="198"/>
    </row>
    <row r="879" spans="6:6" ht="13.2">
      <c r="F879" s="198"/>
    </row>
    <row r="880" spans="6:6" ht="13.2">
      <c r="F880" s="198"/>
    </row>
    <row r="881" spans="6:6" ht="13.2">
      <c r="F881" s="198"/>
    </row>
    <row r="882" spans="6:6" ht="13.2">
      <c r="F882" s="198"/>
    </row>
    <row r="883" spans="6:6" ht="13.2">
      <c r="F883" s="198"/>
    </row>
    <row r="884" spans="6:6" ht="13.2">
      <c r="F884" s="198"/>
    </row>
    <row r="885" spans="6:6" ht="13.2">
      <c r="F885" s="198"/>
    </row>
    <row r="886" spans="6:6" ht="13.2">
      <c r="F886" s="198"/>
    </row>
    <row r="887" spans="6:6" ht="13.2">
      <c r="F887" s="198"/>
    </row>
    <row r="888" spans="6:6" ht="13.2">
      <c r="F888" s="198"/>
    </row>
    <row r="889" spans="6:6" ht="13.2">
      <c r="F889" s="198"/>
    </row>
    <row r="890" spans="6:6" ht="13.2">
      <c r="F890" s="198"/>
    </row>
    <row r="891" spans="6:6" ht="13.2">
      <c r="F891" s="198"/>
    </row>
    <row r="892" spans="6:6" ht="13.2">
      <c r="F892" s="198"/>
    </row>
    <row r="893" spans="6:6" ht="13.2">
      <c r="F893" s="198"/>
    </row>
    <row r="894" spans="6:6" ht="13.2">
      <c r="F894" s="198"/>
    </row>
    <row r="895" spans="6:6" ht="13.2">
      <c r="F895" s="198"/>
    </row>
    <row r="896" spans="6:6" ht="13.2">
      <c r="F896" s="198"/>
    </row>
    <row r="897" spans="6:6" ht="13.2">
      <c r="F897" s="198"/>
    </row>
    <row r="898" spans="6:6" ht="13.2">
      <c r="F898" s="198"/>
    </row>
    <row r="899" spans="6:6" ht="13.2">
      <c r="F899" s="198"/>
    </row>
    <row r="900" spans="6:6" ht="13.2">
      <c r="F900" s="198"/>
    </row>
    <row r="901" spans="6:6" ht="13.2">
      <c r="F901" s="198"/>
    </row>
    <row r="902" spans="6:6" ht="13.2">
      <c r="F902" s="198"/>
    </row>
    <row r="903" spans="6:6" ht="13.2">
      <c r="F903" s="198"/>
    </row>
    <row r="904" spans="6:6" ht="13.2">
      <c r="F904" s="198"/>
    </row>
    <row r="905" spans="6:6" ht="13.2">
      <c r="F905" s="198"/>
    </row>
    <row r="906" spans="6:6" ht="13.2">
      <c r="F906" s="198"/>
    </row>
    <row r="907" spans="6:6" ht="13.2">
      <c r="F907" s="198"/>
    </row>
    <row r="908" spans="6:6" ht="13.2">
      <c r="F908" s="198"/>
    </row>
    <row r="909" spans="6:6" ht="13.2">
      <c r="F909" s="198"/>
    </row>
    <row r="910" spans="6:6" ht="13.2">
      <c r="F910" s="198"/>
    </row>
    <row r="911" spans="6:6" ht="13.2">
      <c r="F911" s="198"/>
    </row>
    <row r="912" spans="6:6" ht="13.2">
      <c r="F912" s="198"/>
    </row>
    <row r="913" spans="6:6" ht="13.2">
      <c r="F913" s="198"/>
    </row>
    <row r="914" spans="6:6" ht="13.2">
      <c r="F914" s="198"/>
    </row>
    <row r="915" spans="6:6" ht="13.2">
      <c r="F915" s="198"/>
    </row>
    <row r="916" spans="6:6" ht="13.2">
      <c r="F916" s="198"/>
    </row>
    <row r="917" spans="6:6" ht="13.2">
      <c r="F917" s="198"/>
    </row>
    <row r="918" spans="6:6" ht="13.2">
      <c r="F918" s="198"/>
    </row>
    <row r="919" spans="6:6" ht="13.2">
      <c r="F919" s="198"/>
    </row>
    <row r="920" spans="6:6" ht="13.2">
      <c r="F920" s="198"/>
    </row>
    <row r="921" spans="6:6" ht="13.2">
      <c r="F921" s="198"/>
    </row>
    <row r="922" spans="6:6" ht="13.2">
      <c r="F922" s="198"/>
    </row>
    <row r="923" spans="6:6" ht="13.2">
      <c r="F923" s="198"/>
    </row>
    <row r="924" spans="6:6" ht="13.2">
      <c r="F924" s="198"/>
    </row>
    <row r="925" spans="6:6" ht="13.2">
      <c r="F925" s="198"/>
    </row>
    <row r="926" spans="6:6" ht="13.2">
      <c r="F926" s="198"/>
    </row>
    <row r="927" spans="6:6" ht="13.2">
      <c r="F927" s="198"/>
    </row>
    <row r="928" spans="6:6" ht="13.2">
      <c r="F928" s="198"/>
    </row>
    <row r="929" spans="6:6" ht="13.2">
      <c r="F929" s="198"/>
    </row>
    <row r="930" spans="6:6" ht="13.2">
      <c r="F930" s="198"/>
    </row>
    <row r="931" spans="6:6" ht="13.2">
      <c r="F931" s="198"/>
    </row>
    <row r="932" spans="6:6" ht="13.2">
      <c r="F932" s="198"/>
    </row>
    <row r="933" spans="6:6" ht="13.2">
      <c r="F933" s="198"/>
    </row>
    <row r="934" spans="6:6" ht="13.2">
      <c r="F934" s="198"/>
    </row>
    <row r="935" spans="6:6" ht="13.2">
      <c r="F935" s="198"/>
    </row>
    <row r="936" spans="6:6" ht="13.2">
      <c r="F936" s="198"/>
    </row>
    <row r="937" spans="6:6" ht="13.2">
      <c r="F937" s="198"/>
    </row>
    <row r="938" spans="6:6" ht="13.2">
      <c r="F938" s="198"/>
    </row>
    <row r="939" spans="6:6" ht="13.2">
      <c r="F939" s="198"/>
    </row>
    <row r="940" spans="6:6" ht="13.2">
      <c r="F940" s="198"/>
    </row>
    <row r="941" spans="6:6" ht="13.2">
      <c r="F941" s="198"/>
    </row>
    <row r="942" spans="6:6" ht="13.2">
      <c r="F942" s="198"/>
    </row>
    <row r="943" spans="6:6" ht="13.2">
      <c r="F943" s="198"/>
    </row>
    <row r="944" spans="6:6" ht="13.2">
      <c r="F944" s="198"/>
    </row>
    <row r="945" spans="6:6" ht="13.2">
      <c r="F945" s="198"/>
    </row>
    <row r="946" spans="6:6" ht="13.2">
      <c r="F946" s="198"/>
    </row>
    <row r="947" spans="6:6" ht="13.2">
      <c r="F947" s="198"/>
    </row>
    <row r="948" spans="6:6" ht="13.2">
      <c r="F948" s="198"/>
    </row>
    <row r="949" spans="6:6" ht="13.2">
      <c r="F949" s="198"/>
    </row>
    <row r="950" spans="6:6" ht="13.2">
      <c r="F950" s="198"/>
    </row>
    <row r="951" spans="6:6" ht="13.2">
      <c r="F951" s="198"/>
    </row>
    <row r="952" spans="6:6" ht="13.2">
      <c r="F952" s="198"/>
    </row>
    <row r="953" spans="6:6" ht="13.2">
      <c r="F953" s="198"/>
    </row>
    <row r="954" spans="6:6" ht="13.2">
      <c r="F954" s="198"/>
    </row>
    <row r="955" spans="6:6" ht="13.2">
      <c r="F955" s="198"/>
    </row>
    <row r="956" spans="6:6" ht="13.2">
      <c r="F956" s="198"/>
    </row>
    <row r="957" spans="6:6" ht="13.2">
      <c r="F957" s="198"/>
    </row>
    <row r="958" spans="6:6" ht="13.2">
      <c r="F958" s="198"/>
    </row>
    <row r="959" spans="6:6" ht="13.2">
      <c r="F959" s="198"/>
    </row>
    <row r="960" spans="6:6" ht="13.2">
      <c r="F960" s="198"/>
    </row>
    <row r="961" spans="6:6" ht="13.2">
      <c r="F961" s="198"/>
    </row>
    <row r="962" spans="6:6" ht="13.2">
      <c r="F962" s="198"/>
    </row>
    <row r="963" spans="6:6" ht="13.2">
      <c r="F963" s="198"/>
    </row>
    <row r="964" spans="6:6" ht="13.2">
      <c r="F964" s="198"/>
    </row>
    <row r="965" spans="6:6" ht="13.2">
      <c r="F965" s="198"/>
    </row>
    <row r="966" spans="6:6" ht="13.2">
      <c r="F966" s="198"/>
    </row>
    <row r="967" spans="6:6" ht="13.2">
      <c r="F967" s="198"/>
    </row>
    <row r="968" spans="6:6" ht="13.2">
      <c r="F968" s="198"/>
    </row>
    <row r="969" spans="6:6" ht="13.2">
      <c r="F969" s="198"/>
    </row>
    <row r="970" spans="6:6" ht="13.2">
      <c r="F970" s="198"/>
    </row>
    <row r="971" spans="6:6" ht="13.2">
      <c r="F971" s="198"/>
    </row>
    <row r="972" spans="6:6" ht="13.2">
      <c r="F972" s="198"/>
    </row>
    <row r="973" spans="6:6" ht="13.2">
      <c r="F973" s="198"/>
    </row>
    <row r="974" spans="6:6" ht="13.2">
      <c r="F974" s="198"/>
    </row>
    <row r="975" spans="6:6" ht="13.2">
      <c r="F975" s="198"/>
    </row>
    <row r="976" spans="6:6" ht="13.2">
      <c r="F976" s="198"/>
    </row>
    <row r="977" spans="6:6" ht="13.2">
      <c r="F977" s="198"/>
    </row>
    <row r="978" spans="6:6" ht="13.2">
      <c r="F978" s="198"/>
    </row>
    <row r="979" spans="6:6" ht="13.2">
      <c r="F979" s="198"/>
    </row>
    <row r="980" spans="6:6" ht="13.2">
      <c r="F980" s="198"/>
    </row>
    <row r="981" spans="6:6" ht="13.2">
      <c r="F981" s="198"/>
    </row>
    <row r="982" spans="6:6" ht="13.2">
      <c r="F982" s="198"/>
    </row>
    <row r="983" spans="6:6" ht="13.2">
      <c r="F983" s="198"/>
    </row>
    <row r="984" spans="6:6" ht="13.2">
      <c r="F984" s="198"/>
    </row>
    <row r="985" spans="6:6" ht="13.2">
      <c r="F985" s="198"/>
    </row>
    <row r="986" spans="6:6" ht="13.2">
      <c r="F986" s="198"/>
    </row>
    <row r="987" spans="6:6" ht="13.2">
      <c r="F987" s="198"/>
    </row>
    <row r="988" spans="6:6" ht="13.2">
      <c r="F988" s="198"/>
    </row>
    <row r="989" spans="6:6" ht="13.2">
      <c r="F989" s="198"/>
    </row>
    <row r="990" spans="6:6" ht="13.2">
      <c r="F990" s="198"/>
    </row>
    <row r="991" spans="6:6" ht="13.2">
      <c r="F991" s="198"/>
    </row>
    <row r="992" spans="6:6" ht="13.2">
      <c r="F992" s="198"/>
    </row>
    <row r="993" spans="6:6" ht="13.2">
      <c r="F993" s="198"/>
    </row>
    <row r="994" spans="6:6" ht="13.2">
      <c r="F994" s="198"/>
    </row>
    <row r="995" spans="6:6" ht="13.2">
      <c r="F995" s="198"/>
    </row>
    <row r="996" spans="6:6" ht="13.2">
      <c r="F996" s="198"/>
    </row>
    <row r="997" spans="6:6" ht="13.2">
      <c r="F997" s="198"/>
    </row>
    <row r="998" spans="6:6" ht="13.2">
      <c r="F998" s="198"/>
    </row>
    <row r="999" spans="6:6" ht="13.2">
      <c r="F999" s="198"/>
    </row>
  </sheetData>
  <mergeCells count="8">
    <mergeCell ref="S2:V2"/>
    <mergeCell ref="W2:Z2"/>
    <mergeCell ref="AC2:AF2"/>
    <mergeCell ref="A2:A3"/>
    <mergeCell ref="B2:B3"/>
    <mergeCell ref="F2:I2"/>
    <mergeCell ref="J2:N2"/>
    <mergeCell ref="O2:R2"/>
  </mergeCells>
  <dataValidations count="1">
    <dataValidation type="list" allowBlank="1" showErrorMessage="1" sqref="F4:AA66" xr:uid="{00000000-0002-0000-0900-000000000000}">
      <formula1>"አለ/ች,ቀሪ,ፍቃድ"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J100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6640625" defaultRowHeight="15.75" customHeight="1"/>
  <cols>
    <col min="1" max="1" width="8.33203125" customWidth="1"/>
    <col min="2" max="2" width="23.6640625" customWidth="1"/>
    <col min="3" max="4" width="7.88671875" customWidth="1"/>
    <col min="6" max="6" width="7.6640625" customWidth="1"/>
    <col min="7" max="32" width="6.33203125" customWidth="1"/>
    <col min="33" max="33" width="11.44140625" customWidth="1"/>
    <col min="34" max="34" width="13.109375" customWidth="1"/>
    <col min="35" max="35" width="11.44140625" customWidth="1"/>
    <col min="36" max="36" width="6.33203125" customWidth="1"/>
  </cols>
  <sheetData>
    <row r="1" spans="1:36">
      <c r="A1" s="1"/>
      <c r="B1" s="1"/>
      <c r="C1" s="234"/>
      <c r="D1" s="235"/>
      <c r="E1" s="236"/>
      <c r="F1" s="315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6"/>
      <c r="AD1" s="316"/>
      <c r="AE1" s="316"/>
      <c r="AF1" s="1"/>
      <c r="AG1" s="237"/>
      <c r="AH1" s="237"/>
      <c r="AI1" s="237"/>
      <c r="AJ1" s="1"/>
    </row>
    <row r="2" spans="1:36" ht="15.75" customHeight="1">
      <c r="A2" s="326" t="s">
        <v>0</v>
      </c>
      <c r="B2" s="326" t="s">
        <v>1</v>
      </c>
      <c r="C2" s="239"/>
      <c r="D2" s="240"/>
      <c r="E2" s="13"/>
      <c r="F2" s="12" t="s">
        <v>3</v>
      </c>
      <c r="G2" s="319" t="s">
        <v>4</v>
      </c>
      <c r="H2" s="320"/>
      <c r="I2" s="320"/>
      <c r="J2" s="320"/>
      <c r="K2" s="321"/>
      <c r="L2" s="319" t="s">
        <v>9</v>
      </c>
      <c r="M2" s="320"/>
      <c r="N2" s="320"/>
      <c r="O2" s="321"/>
      <c r="P2" s="319" t="s">
        <v>11</v>
      </c>
      <c r="Q2" s="320"/>
      <c r="R2" s="320"/>
      <c r="S2" s="321"/>
      <c r="T2" s="319" t="s">
        <v>13</v>
      </c>
      <c r="U2" s="320"/>
      <c r="V2" s="320"/>
      <c r="W2" s="321"/>
      <c r="X2" s="310" t="s">
        <v>14</v>
      </c>
      <c r="Y2" s="311"/>
      <c r="Z2" s="311"/>
      <c r="AA2" s="311"/>
      <c r="AB2" s="312"/>
      <c r="AC2" s="310" t="s">
        <v>16</v>
      </c>
      <c r="AD2" s="311"/>
      <c r="AE2" s="311"/>
      <c r="AF2" s="312"/>
      <c r="AG2" s="313" t="s">
        <v>921</v>
      </c>
      <c r="AH2" s="313" t="s">
        <v>922</v>
      </c>
      <c r="AI2" s="313" t="s">
        <v>20</v>
      </c>
      <c r="AJ2" s="17"/>
    </row>
    <row r="3" spans="1:36" ht="15.75" customHeight="1">
      <c r="A3" s="314"/>
      <c r="B3" s="314"/>
      <c r="C3" s="242" t="s">
        <v>5</v>
      </c>
      <c r="D3" s="242" t="s">
        <v>7</v>
      </c>
      <c r="E3" s="13" t="s">
        <v>8</v>
      </c>
      <c r="F3" s="13">
        <v>25</v>
      </c>
      <c r="G3" s="13">
        <v>2</v>
      </c>
      <c r="H3" s="13">
        <v>9</v>
      </c>
      <c r="I3" s="13">
        <v>16</v>
      </c>
      <c r="J3" s="13">
        <v>23</v>
      </c>
      <c r="K3" s="243">
        <v>30</v>
      </c>
      <c r="L3" s="13">
        <v>7</v>
      </c>
      <c r="M3" s="13">
        <v>14</v>
      </c>
      <c r="N3" s="13">
        <v>21</v>
      </c>
      <c r="O3" s="13">
        <v>28</v>
      </c>
      <c r="P3" s="13">
        <v>5</v>
      </c>
      <c r="Q3" s="13">
        <v>12</v>
      </c>
      <c r="R3" s="13">
        <v>19</v>
      </c>
      <c r="S3" s="13">
        <v>26</v>
      </c>
      <c r="T3" s="13">
        <v>3</v>
      </c>
      <c r="U3" s="244">
        <v>10</v>
      </c>
      <c r="V3" s="244">
        <v>17</v>
      </c>
      <c r="W3" s="13">
        <v>24</v>
      </c>
      <c r="X3" s="13">
        <v>1</v>
      </c>
      <c r="Y3" s="13">
        <v>8</v>
      </c>
      <c r="Z3" s="37">
        <v>15</v>
      </c>
      <c r="AA3" s="157">
        <v>22</v>
      </c>
      <c r="AB3" s="157">
        <v>29</v>
      </c>
      <c r="AC3" s="23">
        <v>6</v>
      </c>
      <c r="AD3" s="23">
        <v>13</v>
      </c>
      <c r="AE3" s="23">
        <v>20</v>
      </c>
      <c r="AF3" s="16">
        <v>27</v>
      </c>
      <c r="AG3" s="314"/>
      <c r="AH3" s="314"/>
      <c r="AI3" s="314"/>
      <c r="AJ3" s="17"/>
    </row>
    <row r="4" spans="1:36">
      <c r="A4" s="245" t="s">
        <v>925</v>
      </c>
      <c r="B4" s="246" t="s">
        <v>926</v>
      </c>
      <c r="C4" s="247">
        <v>21</v>
      </c>
      <c r="D4" s="248" t="s">
        <v>35</v>
      </c>
      <c r="E4" s="249">
        <v>986908486</v>
      </c>
      <c r="F4" s="250" t="s">
        <v>19</v>
      </c>
      <c r="G4" s="250" t="s">
        <v>27</v>
      </c>
      <c r="H4" s="250" t="s">
        <v>27</v>
      </c>
      <c r="I4" s="250" t="s">
        <v>19</v>
      </c>
      <c r="J4" s="250" t="s">
        <v>27</v>
      </c>
      <c r="K4" s="251"/>
      <c r="L4" s="250" t="s">
        <v>27</v>
      </c>
      <c r="M4" s="250" t="s">
        <v>27</v>
      </c>
      <c r="N4" s="250" t="s">
        <v>27</v>
      </c>
      <c r="O4" s="250" t="s">
        <v>19</v>
      </c>
      <c r="P4" s="250" t="s">
        <v>27</v>
      </c>
      <c r="Q4" s="250" t="s">
        <v>19</v>
      </c>
      <c r="R4" s="250" t="s">
        <v>19</v>
      </c>
      <c r="S4" s="42" t="s">
        <v>19</v>
      </c>
      <c r="T4" s="42" t="s">
        <v>19</v>
      </c>
      <c r="U4" s="170"/>
      <c r="V4" s="170"/>
      <c r="W4" s="42" t="s">
        <v>19</v>
      </c>
      <c r="X4" s="42" t="s">
        <v>19</v>
      </c>
      <c r="Y4" s="42" t="s">
        <v>19</v>
      </c>
      <c r="Z4" s="42" t="s">
        <v>19</v>
      </c>
      <c r="AA4" s="170"/>
      <c r="AB4" s="170"/>
      <c r="AC4" s="42" t="s">
        <v>19</v>
      </c>
      <c r="AD4" s="42" t="s">
        <v>19</v>
      </c>
      <c r="AE4" s="42" t="s">
        <v>19</v>
      </c>
      <c r="AF4" s="64" t="s">
        <v>19</v>
      </c>
      <c r="AG4" s="48">
        <f t="shared" ref="AG4:AG48" si="0">COUNTIF(F4:AF4,"አለ/ች")</f>
        <v>7</v>
      </c>
      <c r="AH4" s="48">
        <f t="shared" ref="AH4:AH48" si="1">COUNTIF(F4:AF4,"ቀሪ")</f>
        <v>15</v>
      </c>
      <c r="AI4" s="137">
        <f t="shared" ref="AI4:AI48" si="2">AG4/5*100</f>
        <v>140</v>
      </c>
      <c r="AJ4" s="51"/>
    </row>
    <row r="5" spans="1:36">
      <c r="A5" s="245" t="s">
        <v>935</v>
      </c>
      <c r="B5" s="246" t="s">
        <v>936</v>
      </c>
      <c r="C5" s="248">
        <v>24</v>
      </c>
      <c r="D5" s="248" t="s">
        <v>26</v>
      </c>
      <c r="E5" s="254">
        <v>926347977</v>
      </c>
      <c r="F5" s="250" t="s">
        <v>19</v>
      </c>
      <c r="G5" s="250" t="s">
        <v>27</v>
      </c>
      <c r="H5" s="250" t="s">
        <v>27</v>
      </c>
      <c r="I5" s="250" t="s">
        <v>27</v>
      </c>
      <c r="J5" s="250" t="s">
        <v>19</v>
      </c>
      <c r="K5" s="251"/>
      <c r="L5" s="250" t="s">
        <v>27</v>
      </c>
      <c r="M5" s="250" t="s">
        <v>27</v>
      </c>
      <c r="N5" s="250" t="s">
        <v>27</v>
      </c>
      <c r="O5" s="250" t="s">
        <v>27</v>
      </c>
      <c r="P5" s="250" t="s">
        <v>27</v>
      </c>
      <c r="Q5" s="250" t="s">
        <v>27</v>
      </c>
      <c r="R5" s="250" t="s">
        <v>19</v>
      </c>
      <c r="S5" s="42" t="s">
        <v>27</v>
      </c>
      <c r="T5" s="42" t="s">
        <v>112</v>
      </c>
      <c r="U5" s="170"/>
      <c r="V5" s="170"/>
      <c r="W5" s="42" t="s">
        <v>27</v>
      </c>
      <c r="X5" s="42" t="s">
        <v>19</v>
      </c>
      <c r="Y5" s="42" t="s">
        <v>19</v>
      </c>
      <c r="Z5" s="42" t="s">
        <v>27</v>
      </c>
      <c r="AA5" s="170"/>
      <c r="AB5" s="170"/>
      <c r="AC5" s="42" t="s">
        <v>19</v>
      </c>
      <c r="AD5" s="42" t="s">
        <v>27</v>
      </c>
      <c r="AE5" s="42" t="s">
        <v>27</v>
      </c>
      <c r="AF5" s="64" t="s">
        <v>27</v>
      </c>
      <c r="AG5" s="48">
        <f t="shared" si="0"/>
        <v>15</v>
      </c>
      <c r="AH5" s="48">
        <f t="shared" si="1"/>
        <v>6</v>
      </c>
      <c r="AI5" s="137">
        <f t="shared" si="2"/>
        <v>300</v>
      </c>
      <c r="AJ5" s="51"/>
    </row>
    <row r="6" spans="1:36">
      <c r="A6" s="245" t="s">
        <v>939</v>
      </c>
      <c r="B6" s="246" t="s">
        <v>940</v>
      </c>
      <c r="C6" s="248">
        <v>20</v>
      </c>
      <c r="D6" s="248" t="s">
        <v>35</v>
      </c>
      <c r="E6" s="254">
        <v>925353549</v>
      </c>
      <c r="F6" s="250" t="s">
        <v>19</v>
      </c>
      <c r="G6" s="250" t="s">
        <v>19</v>
      </c>
      <c r="H6" s="250" t="s">
        <v>27</v>
      </c>
      <c r="I6" s="250" t="s">
        <v>27</v>
      </c>
      <c r="J6" s="250" t="s">
        <v>27</v>
      </c>
      <c r="K6" s="257" t="s">
        <v>112</v>
      </c>
      <c r="L6" s="250" t="s">
        <v>27</v>
      </c>
      <c r="M6" s="250" t="s">
        <v>27</v>
      </c>
      <c r="N6" s="250" t="s">
        <v>27</v>
      </c>
      <c r="O6" s="250" t="s">
        <v>27</v>
      </c>
      <c r="P6" s="250" t="s">
        <v>27</v>
      </c>
      <c r="Q6" s="250" t="s">
        <v>19</v>
      </c>
      <c r="R6" s="250" t="s">
        <v>19</v>
      </c>
      <c r="S6" s="42" t="s">
        <v>19</v>
      </c>
      <c r="T6" s="42" t="s">
        <v>19</v>
      </c>
      <c r="U6" s="170"/>
      <c r="V6" s="170"/>
      <c r="W6" s="42" t="s">
        <v>19</v>
      </c>
      <c r="X6" s="42" t="s">
        <v>19</v>
      </c>
      <c r="Y6" s="42" t="s">
        <v>19</v>
      </c>
      <c r="Z6" s="42" t="s">
        <v>19</v>
      </c>
      <c r="AA6" s="170"/>
      <c r="AB6" s="170"/>
      <c r="AC6" s="42" t="s">
        <v>19</v>
      </c>
      <c r="AD6" s="42" t="s">
        <v>19</v>
      </c>
      <c r="AE6" s="42" t="s">
        <v>19</v>
      </c>
      <c r="AF6" s="64" t="s">
        <v>19</v>
      </c>
      <c r="AG6" s="48">
        <f t="shared" si="0"/>
        <v>8</v>
      </c>
      <c r="AH6" s="48">
        <f t="shared" si="1"/>
        <v>14</v>
      </c>
      <c r="AI6" s="137">
        <f t="shared" si="2"/>
        <v>160</v>
      </c>
      <c r="AJ6" s="51"/>
    </row>
    <row r="7" spans="1:36">
      <c r="A7" s="245" t="s">
        <v>943</v>
      </c>
      <c r="B7" s="246" t="s">
        <v>944</v>
      </c>
      <c r="C7" s="247">
        <v>25</v>
      </c>
      <c r="D7" s="248" t="s">
        <v>35</v>
      </c>
      <c r="E7" s="245">
        <v>965648180</v>
      </c>
      <c r="F7" s="250" t="s">
        <v>27</v>
      </c>
      <c r="G7" s="250" t="s">
        <v>19</v>
      </c>
      <c r="H7" s="250" t="s">
        <v>27</v>
      </c>
      <c r="I7" s="250" t="s">
        <v>27</v>
      </c>
      <c r="J7" s="250" t="s">
        <v>27</v>
      </c>
      <c r="K7" s="251"/>
      <c r="L7" s="250" t="s">
        <v>27</v>
      </c>
      <c r="M7" s="250" t="s">
        <v>27</v>
      </c>
      <c r="N7" s="250" t="s">
        <v>27</v>
      </c>
      <c r="O7" s="250" t="s">
        <v>27</v>
      </c>
      <c r="P7" s="250" t="s">
        <v>27</v>
      </c>
      <c r="Q7" s="250" t="s">
        <v>27</v>
      </c>
      <c r="R7" s="250" t="s">
        <v>19</v>
      </c>
      <c r="S7" s="42" t="s">
        <v>27</v>
      </c>
      <c r="T7" s="42" t="s">
        <v>19</v>
      </c>
      <c r="U7" s="170"/>
      <c r="V7" s="170"/>
      <c r="W7" s="42" t="s">
        <v>19</v>
      </c>
      <c r="X7" s="42" t="s">
        <v>19</v>
      </c>
      <c r="Y7" s="42" t="s">
        <v>27</v>
      </c>
      <c r="Z7" s="42" t="s">
        <v>27</v>
      </c>
      <c r="AA7" s="170"/>
      <c r="AB7" s="170"/>
      <c r="AC7" s="42" t="s">
        <v>19</v>
      </c>
      <c r="AD7" s="42" t="s">
        <v>27</v>
      </c>
      <c r="AE7" s="42" t="s">
        <v>27</v>
      </c>
      <c r="AF7" s="64" t="s">
        <v>27</v>
      </c>
      <c r="AG7" s="48">
        <f t="shared" si="0"/>
        <v>16</v>
      </c>
      <c r="AH7" s="48">
        <f t="shared" si="1"/>
        <v>6</v>
      </c>
      <c r="AI7" s="137">
        <f t="shared" si="2"/>
        <v>320</v>
      </c>
      <c r="AJ7" s="51"/>
    </row>
    <row r="8" spans="1:36">
      <c r="A8" s="245" t="s">
        <v>947</v>
      </c>
      <c r="B8" s="246" t="s">
        <v>948</v>
      </c>
      <c r="C8" s="247">
        <v>26</v>
      </c>
      <c r="D8" s="248" t="s">
        <v>35</v>
      </c>
      <c r="E8" s="260" t="s">
        <v>949</v>
      </c>
      <c r="F8" s="250" t="s">
        <v>27</v>
      </c>
      <c r="G8" s="250" t="s">
        <v>19</v>
      </c>
      <c r="H8" s="250" t="s">
        <v>27</v>
      </c>
      <c r="I8" s="250" t="s">
        <v>27</v>
      </c>
      <c r="J8" s="250" t="s">
        <v>27</v>
      </c>
      <c r="K8" s="251"/>
      <c r="L8" s="250" t="s">
        <v>27</v>
      </c>
      <c r="M8" s="250" t="s">
        <v>27</v>
      </c>
      <c r="N8" s="250" t="s">
        <v>27</v>
      </c>
      <c r="O8" s="250" t="s">
        <v>27</v>
      </c>
      <c r="P8" s="250" t="s">
        <v>27</v>
      </c>
      <c r="Q8" s="250" t="s">
        <v>27</v>
      </c>
      <c r="R8" s="250" t="s">
        <v>19</v>
      </c>
      <c r="S8" s="42" t="s">
        <v>27</v>
      </c>
      <c r="T8" s="42" t="s">
        <v>27</v>
      </c>
      <c r="U8" s="170"/>
      <c r="V8" s="170"/>
      <c r="W8" s="42" t="s">
        <v>19</v>
      </c>
      <c r="X8" s="42" t="s">
        <v>19</v>
      </c>
      <c r="Y8" s="42" t="s">
        <v>27</v>
      </c>
      <c r="Z8" s="42" t="s">
        <v>27</v>
      </c>
      <c r="AA8" s="170"/>
      <c r="AB8" s="170"/>
      <c r="AC8" s="42" t="s">
        <v>27</v>
      </c>
      <c r="AD8" s="42" t="s">
        <v>27</v>
      </c>
      <c r="AE8" s="42" t="s">
        <v>27</v>
      </c>
      <c r="AF8" s="64" t="s">
        <v>27</v>
      </c>
      <c r="AG8" s="48">
        <f t="shared" si="0"/>
        <v>18</v>
      </c>
      <c r="AH8" s="48">
        <f t="shared" si="1"/>
        <v>4</v>
      </c>
      <c r="AI8" s="137">
        <f t="shared" si="2"/>
        <v>360</v>
      </c>
      <c r="AJ8" s="51"/>
    </row>
    <row r="9" spans="1:36">
      <c r="A9" s="245" t="s">
        <v>952</v>
      </c>
      <c r="B9" s="246" t="s">
        <v>953</v>
      </c>
      <c r="C9" s="248">
        <v>20</v>
      </c>
      <c r="D9" s="248" t="s">
        <v>35</v>
      </c>
      <c r="E9" s="254">
        <v>940276586</v>
      </c>
      <c r="F9" s="250" t="s">
        <v>27</v>
      </c>
      <c r="G9" s="250" t="s">
        <v>27</v>
      </c>
      <c r="H9" s="250" t="s">
        <v>27</v>
      </c>
      <c r="I9" s="250" t="s">
        <v>19</v>
      </c>
      <c r="J9" s="250" t="s">
        <v>27</v>
      </c>
      <c r="K9" s="251"/>
      <c r="L9" s="250" t="s">
        <v>27</v>
      </c>
      <c r="M9" s="250" t="s">
        <v>19</v>
      </c>
      <c r="N9" s="250" t="s">
        <v>27</v>
      </c>
      <c r="O9" s="250" t="s">
        <v>19</v>
      </c>
      <c r="P9" s="250" t="s">
        <v>19</v>
      </c>
      <c r="Q9" s="250" t="s">
        <v>19</v>
      </c>
      <c r="R9" s="250" t="s">
        <v>19</v>
      </c>
      <c r="S9" s="42" t="s">
        <v>19</v>
      </c>
      <c r="T9" s="42" t="s">
        <v>19</v>
      </c>
      <c r="U9" s="170"/>
      <c r="V9" s="170"/>
      <c r="W9" s="42" t="s">
        <v>19</v>
      </c>
      <c r="X9" s="42" t="s">
        <v>19</v>
      </c>
      <c r="Y9" s="42" t="s">
        <v>19</v>
      </c>
      <c r="Z9" s="42" t="s">
        <v>27</v>
      </c>
      <c r="AA9" s="170"/>
      <c r="AB9" s="170"/>
      <c r="AC9" s="42" t="s">
        <v>27</v>
      </c>
      <c r="AD9" s="42" t="s">
        <v>27</v>
      </c>
      <c r="AE9" s="42" t="s">
        <v>27</v>
      </c>
      <c r="AF9" s="64" t="s">
        <v>27</v>
      </c>
      <c r="AG9" s="48">
        <f t="shared" si="0"/>
        <v>11</v>
      </c>
      <c r="AH9" s="48">
        <f t="shared" si="1"/>
        <v>11</v>
      </c>
      <c r="AI9" s="137">
        <f t="shared" si="2"/>
        <v>220.00000000000003</v>
      </c>
      <c r="AJ9" s="51"/>
    </row>
    <row r="10" spans="1:36">
      <c r="A10" s="245" t="s">
        <v>956</v>
      </c>
      <c r="B10" s="246" t="s">
        <v>957</v>
      </c>
      <c r="C10" s="247">
        <v>22</v>
      </c>
      <c r="D10" s="248" t="s">
        <v>26</v>
      </c>
      <c r="E10" s="245">
        <v>972725452</v>
      </c>
      <c r="F10" s="250" t="s">
        <v>27</v>
      </c>
      <c r="G10" s="250" t="s">
        <v>27</v>
      </c>
      <c r="H10" s="250" t="s">
        <v>27</v>
      </c>
      <c r="I10" s="250" t="s">
        <v>27</v>
      </c>
      <c r="J10" s="250" t="s">
        <v>27</v>
      </c>
      <c r="K10" s="251"/>
      <c r="L10" s="250" t="s">
        <v>27</v>
      </c>
      <c r="M10" s="250" t="s">
        <v>19</v>
      </c>
      <c r="N10" s="250" t="s">
        <v>27</v>
      </c>
      <c r="O10" s="250" t="s">
        <v>27</v>
      </c>
      <c r="P10" s="250" t="s">
        <v>27</v>
      </c>
      <c r="Q10" s="250" t="s">
        <v>19</v>
      </c>
      <c r="R10" s="250" t="s">
        <v>27</v>
      </c>
      <c r="S10" s="42" t="s">
        <v>19</v>
      </c>
      <c r="T10" s="42" t="s">
        <v>19</v>
      </c>
      <c r="U10" s="170"/>
      <c r="V10" s="170"/>
      <c r="W10" s="42" t="s">
        <v>27</v>
      </c>
      <c r="X10" s="42" t="s">
        <v>19</v>
      </c>
      <c r="Y10" s="42" t="s">
        <v>27</v>
      </c>
      <c r="Z10" s="42" t="s">
        <v>19</v>
      </c>
      <c r="AA10" s="170"/>
      <c r="AB10" s="170"/>
      <c r="AC10" s="42" t="s">
        <v>27</v>
      </c>
      <c r="AD10" s="42" t="s">
        <v>27</v>
      </c>
      <c r="AE10" s="42" t="s">
        <v>27</v>
      </c>
      <c r="AF10" s="64" t="s">
        <v>27</v>
      </c>
      <c r="AG10" s="48">
        <f t="shared" si="0"/>
        <v>16</v>
      </c>
      <c r="AH10" s="48">
        <f t="shared" si="1"/>
        <v>6</v>
      </c>
      <c r="AI10" s="137">
        <f t="shared" si="2"/>
        <v>320</v>
      </c>
      <c r="AJ10" s="51"/>
    </row>
    <row r="11" spans="1:36">
      <c r="A11" s="245" t="s">
        <v>960</v>
      </c>
      <c r="B11" s="246" t="s">
        <v>961</v>
      </c>
      <c r="C11" s="248"/>
      <c r="D11" s="248" t="s">
        <v>26</v>
      </c>
      <c r="E11" s="245">
        <v>921332289</v>
      </c>
      <c r="F11" s="250" t="s">
        <v>19</v>
      </c>
      <c r="G11" s="250" t="s">
        <v>19</v>
      </c>
      <c r="H11" s="250" t="s">
        <v>27</v>
      </c>
      <c r="I11" s="250" t="s">
        <v>19</v>
      </c>
      <c r="J11" s="250" t="s">
        <v>19</v>
      </c>
      <c r="K11" s="251"/>
      <c r="L11" s="250" t="s">
        <v>27</v>
      </c>
      <c r="M11" s="250" t="s">
        <v>19</v>
      </c>
      <c r="N11" s="250" t="s">
        <v>19</v>
      </c>
      <c r="O11" s="250" t="s">
        <v>27</v>
      </c>
      <c r="P11" s="250" t="s">
        <v>19</v>
      </c>
      <c r="Q11" s="250" t="s">
        <v>19</v>
      </c>
      <c r="R11" s="250" t="s">
        <v>19</v>
      </c>
      <c r="S11" s="42" t="s">
        <v>19</v>
      </c>
      <c r="T11" s="42" t="s">
        <v>19</v>
      </c>
      <c r="U11" s="170"/>
      <c r="V11" s="170"/>
      <c r="W11" s="42" t="s">
        <v>19</v>
      </c>
      <c r="X11" s="42" t="s">
        <v>27</v>
      </c>
      <c r="Y11" s="42" t="s">
        <v>19</v>
      </c>
      <c r="Z11" s="42" t="s">
        <v>19</v>
      </c>
      <c r="AA11" s="170"/>
      <c r="AB11" s="170"/>
      <c r="AC11" s="42" t="s">
        <v>19</v>
      </c>
      <c r="AD11" s="42" t="s">
        <v>19</v>
      </c>
      <c r="AE11" s="42" t="s">
        <v>19</v>
      </c>
      <c r="AF11" s="64" t="s">
        <v>19</v>
      </c>
      <c r="AG11" s="48">
        <f t="shared" si="0"/>
        <v>4</v>
      </c>
      <c r="AH11" s="48">
        <f t="shared" si="1"/>
        <v>18</v>
      </c>
      <c r="AI11" s="137">
        <f t="shared" si="2"/>
        <v>80</v>
      </c>
      <c r="AJ11" s="51"/>
    </row>
    <row r="12" spans="1:36">
      <c r="A12" s="245" t="s">
        <v>964</v>
      </c>
      <c r="B12" s="246" t="s">
        <v>965</v>
      </c>
      <c r="C12" s="247">
        <v>21</v>
      </c>
      <c r="D12" s="248" t="s">
        <v>35</v>
      </c>
      <c r="E12" s="245">
        <v>962637204</v>
      </c>
      <c r="F12" s="250" t="s">
        <v>27</v>
      </c>
      <c r="G12" s="250" t="s">
        <v>27</v>
      </c>
      <c r="H12" s="250" t="s">
        <v>19</v>
      </c>
      <c r="I12" s="250" t="s">
        <v>27</v>
      </c>
      <c r="J12" s="250" t="s">
        <v>19</v>
      </c>
      <c r="K12" s="251"/>
      <c r="L12" s="250" t="s">
        <v>19</v>
      </c>
      <c r="M12" s="250" t="s">
        <v>19</v>
      </c>
      <c r="N12" s="250" t="s">
        <v>27</v>
      </c>
      <c r="O12" s="250" t="s">
        <v>19</v>
      </c>
      <c r="P12" s="250" t="s">
        <v>19</v>
      </c>
      <c r="Q12" s="250" t="s">
        <v>19</v>
      </c>
      <c r="R12" s="250" t="s">
        <v>19</v>
      </c>
      <c r="S12" s="42" t="s">
        <v>19</v>
      </c>
      <c r="T12" s="42" t="s">
        <v>19</v>
      </c>
      <c r="U12" s="170"/>
      <c r="V12" s="170"/>
      <c r="W12" s="42" t="s">
        <v>19</v>
      </c>
      <c r="X12" s="42" t="s">
        <v>19</v>
      </c>
      <c r="Y12" s="42" t="s">
        <v>19</v>
      </c>
      <c r="Z12" s="42" t="s">
        <v>19</v>
      </c>
      <c r="AA12" s="170"/>
      <c r="AB12" s="170"/>
      <c r="AC12" s="42" t="s">
        <v>19</v>
      </c>
      <c r="AD12" s="42" t="s">
        <v>19</v>
      </c>
      <c r="AE12" s="42" t="s">
        <v>19</v>
      </c>
      <c r="AF12" s="64" t="s">
        <v>27</v>
      </c>
      <c r="AG12" s="48">
        <f t="shared" si="0"/>
        <v>5</v>
      </c>
      <c r="AH12" s="48">
        <f t="shared" si="1"/>
        <v>17</v>
      </c>
      <c r="AI12" s="137">
        <f t="shared" si="2"/>
        <v>100</v>
      </c>
      <c r="AJ12" s="51"/>
    </row>
    <row r="13" spans="1:36">
      <c r="A13" s="245" t="s">
        <v>970</v>
      </c>
      <c r="B13" s="246" t="s">
        <v>971</v>
      </c>
      <c r="C13" s="248">
        <v>19</v>
      </c>
      <c r="D13" s="248" t="s">
        <v>26</v>
      </c>
      <c r="E13" s="254">
        <v>937535623</v>
      </c>
      <c r="F13" s="250" t="s">
        <v>19</v>
      </c>
      <c r="G13" s="250" t="s">
        <v>19</v>
      </c>
      <c r="H13" s="250" t="s">
        <v>27</v>
      </c>
      <c r="I13" s="250" t="s">
        <v>19</v>
      </c>
      <c r="J13" s="250" t="s">
        <v>19</v>
      </c>
      <c r="K13" s="251"/>
      <c r="L13" s="250" t="s">
        <v>19</v>
      </c>
      <c r="M13" s="250" t="s">
        <v>19</v>
      </c>
      <c r="N13" s="250" t="s">
        <v>19</v>
      </c>
      <c r="O13" s="250" t="s">
        <v>19</v>
      </c>
      <c r="P13" s="250" t="s">
        <v>19</v>
      </c>
      <c r="Q13" s="250" t="s">
        <v>19</v>
      </c>
      <c r="R13" s="250" t="s">
        <v>19</v>
      </c>
      <c r="S13" s="42" t="s">
        <v>19</v>
      </c>
      <c r="T13" s="42" t="s">
        <v>19</v>
      </c>
      <c r="U13" s="170"/>
      <c r="V13" s="170"/>
      <c r="W13" s="42" t="s">
        <v>19</v>
      </c>
      <c r="X13" s="42" t="s">
        <v>19</v>
      </c>
      <c r="Y13" s="42" t="s">
        <v>19</v>
      </c>
      <c r="Z13" s="42" t="s">
        <v>19</v>
      </c>
      <c r="AA13" s="170"/>
      <c r="AB13" s="170"/>
      <c r="AC13" s="42" t="s">
        <v>19</v>
      </c>
      <c r="AD13" s="42" t="s">
        <v>19</v>
      </c>
      <c r="AE13" s="42" t="s">
        <v>19</v>
      </c>
      <c r="AF13" s="64" t="s">
        <v>19</v>
      </c>
      <c r="AG13" s="48">
        <f t="shared" si="0"/>
        <v>1</v>
      </c>
      <c r="AH13" s="48">
        <f t="shared" si="1"/>
        <v>21</v>
      </c>
      <c r="AI13" s="137">
        <f t="shared" si="2"/>
        <v>20</v>
      </c>
      <c r="AJ13" s="51"/>
    </row>
    <row r="14" spans="1:36">
      <c r="A14" s="245" t="s">
        <v>974</v>
      </c>
      <c r="B14" s="246" t="s">
        <v>975</v>
      </c>
      <c r="C14" s="248">
        <v>17</v>
      </c>
      <c r="D14" s="248" t="s">
        <v>35</v>
      </c>
      <c r="E14" s="254">
        <v>978104334</v>
      </c>
      <c r="F14" s="250" t="s">
        <v>19</v>
      </c>
      <c r="G14" s="250" t="s">
        <v>27</v>
      </c>
      <c r="H14" s="250" t="s">
        <v>27</v>
      </c>
      <c r="I14" s="250" t="s">
        <v>27</v>
      </c>
      <c r="J14" s="250" t="s">
        <v>27</v>
      </c>
      <c r="K14" s="251"/>
      <c r="L14" s="250" t="s">
        <v>27</v>
      </c>
      <c r="M14" s="250" t="s">
        <v>27</v>
      </c>
      <c r="N14" s="250" t="s">
        <v>27</v>
      </c>
      <c r="O14" s="250" t="s">
        <v>27</v>
      </c>
      <c r="P14" s="250" t="s">
        <v>27</v>
      </c>
      <c r="Q14" s="250" t="s">
        <v>112</v>
      </c>
      <c r="R14" s="250" t="s">
        <v>27</v>
      </c>
      <c r="S14" s="42" t="s">
        <v>19</v>
      </c>
      <c r="T14" s="42" t="s">
        <v>27</v>
      </c>
      <c r="U14" s="170"/>
      <c r="V14" s="170"/>
      <c r="W14" s="42" t="s">
        <v>27</v>
      </c>
      <c r="X14" s="42" t="s">
        <v>27</v>
      </c>
      <c r="Y14" s="42" t="s">
        <v>19</v>
      </c>
      <c r="Z14" s="42" t="s">
        <v>19</v>
      </c>
      <c r="AA14" s="170"/>
      <c r="AB14" s="170"/>
      <c r="AC14" s="42" t="s">
        <v>27</v>
      </c>
      <c r="AD14" s="42" t="s">
        <v>27</v>
      </c>
      <c r="AE14" s="42" t="s">
        <v>27</v>
      </c>
      <c r="AF14" s="64" t="s">
        <v>27</v>
      </c>
      <c r="AG14" s="48">
        <f t="shared" si="0"/>
        <v>17</v>
      </c>
      <c r="AH14" s="48">
        <f t="shared" si="1"/>
        <v>4</v>
      </c>
      <c r="AI14" s="137">
        <f t="shared" si="2"/>
        <v>340</v>
      </c>
      <c r="AJ14" s="51"/>
    </row>
    <row r="15" spans="1:36">
      <c r="A15" s="245" t="s">
        <v>978</v>
      </c>
      <c r="B15" s="246" t="s">
        <v>979</v>
      </c>
      <c r="C15" s="248">
        <v>20</v>
      </c>
      <c r="D15" s="248" t="s">
        <v>26</v>
      </c>
      <c r="E15" s="254">
        <v>930694482</v>
      </c>
      <c r="F15" s="250" t="s">
        <v>19</v>
      </c>
      <c r="G15" s="250" t="s">
        <v>19</v>
      </c>
      <c r="H15" s="250" t="s">
        <v>19</v>
      </c>
      <c r="I15" s="250" t="s">
        <v>27</v>
      </c>
      <c r="J15" s="250" t="s">
        <v>19</v>
      </c>
      <c r="K15" s="251"/>
      <c r="L15" s="250" t="s">
        <v>19</v>
      </c>
      <c r="M15" s="250" t="s">
        <v>27</v>
      </c>
      <c r="N15" s="250" t="s">
        <v>19</v>
      </c>
      <c r="O15" s="250" t="s">
        <v>27</v>
      </c>
      <c r="P15" s="250" t="s">
        <v>27</v>
      </c>
      <c r="Q15" s="250" t="s">
        <v>27</v>
      </c>
      <c r="R15" s="250" t="s">
        <v>19</v>
      </c>
      <c r="S15" s="42" t="s">
        <v>19</v>
      </c>
      <c r="T15" s="42" t="s">
        <v>27</v>
      </c>
      <c r="U15" s="170"/>
      <c r="V15" s="170"/>
      <c r="W15" s="42" t="s">
        <v>27</v>
      </c>
      <c r="X15" s="42" t="s">
        <v>19</v>
      </c>
      <c r="Y15" s="42" t="s">
        <v>19</v>
      </c>
      <c r="Z15" s="42" t="s">
        <v>19</v>
      </c>
      <c r="AA15" s="170"/>
      <c r="AB15" s="170"/>
      <c r="AC15" s="42" t="s">
        <v>19</v>
      </c>
      <c r="AD15" s="42" t="s">
        <v>19</v>
      </c>
      <c r="AE15" s="42" t="s">
        <v>19</v>
      </c>
      <c r="AF15" s="64" t="s">
        <v>19</v>
      </c>
      <c r="AG15" s="48">
        <f t="shared" si="0"/>
        <v>7</v>
      </c>
      <c r="AH15" s="48">
        <f t="shared" si="1"/>
        <v>15</v>
      </c>
      <c r="AI15" s="137">
        <f t="shared" si="2"/>
        <v>140</v>
      </c>
      <c r="AJ15" s="51"/>
    </row>
    <row r="16" spans="1:36">
      <c r="A16" s="245" t="s">
        <v>982</v>
      </c>
      <c r="B16" s="246" t="s">
        <v>983</v>
      </c>
      <c r="C16" s="248"/>
      <c r="D16" s="248" t="s">
        <v>26</v>
      </c>
      <c r="E16" s="245">
        <v>986220378</v>
      </c>
      <c r="F16" s="250" t="s">
        <v>19</v>
      </c>
      <c r="G16" s="250" t="s">
        <v>19</v>
      </c>
      <c r="H16" s="250" t="s">
        <v>19</v>
      </c>
      <c r="I16" s="250" t="s">
        <v>27</v>
      </c>
      <c r="J16" s="250" t="s">
        <v>112</v>
      </c>
      <c r="K16" s="251"/>
      <c r="L16" s="250" t="s">
        <v>27</v>
      </c>
      <c r="M16" s="250" t="s">
        <v>27</v>
      </c>
      <c r="N16" s="250" t="s">
        <v>27</v>
      </c>
      <c r="O16" s="250" t="s">
        <v>27</v>
      </c>
      <c r="P16" s="250" t="s">
        <v>27</v>
      </c>
      <c r="Q16" s="250" t="s">
        <v>19</v>
      </c>
      <c r="R16" s="250" t="s">
        <v>19</v>
      </c>
      <c r="S16" s="42" t="s">
        <v>27</v>
      </c>
      <c r="T16" s="42" t="s">
        <v>19</v>
      </c>
      <c r="U16" s="170"/>
      <c r="V16" s="170"/>
      <c r="W16" s="42" t="s">
        <v>27</v>
      </c>
      <c r="X16" s="42" t="s">
        <v>27</v>
      </c>
      <c r="Y16" s="42" t="s">
        <v>27</v>
      </c>
      <c r="Z16" s="42" t="s">
        <v>27</v>
      </c>
      <c r="AA16" s="170"/>
      <c r="AB16" s="170"/>
      <c r="AC16" s="42" t="s">
        <v>19</v>
      </c>
      <c r="AD16" s="42" t="s">
        <v>27</v>
      </c>
      <c r="AE16" s="42" t="s">
        <v>27</v>
      </c>
      <c r="AF16" s="64" t="s">
        <v>27</v>
      </c>
      <c r="AG16" s="48">
        <f t="shared" si="0"/>
        <v>14</v>
      </c>
      <c r="AH16" s="48">
        <f t="shared" si="1"/>
        <v>7</v>
      </c>
      <c r="AI16" s="137">
        <f t="shared" si="2"/>
        <v>280</v>
      </c>
      <c r="AJ16" s="51"/>
    </row>
    <row r="17" spans="1:36">
      <c r="A17" s="245" t="s">
        <v>984</v>
      </c>
      <c r="B17" s="246" t="s">
        <v>985</v>
      </c>
      <c r="C17" s="247">
        <v>23</v>
      </c>
      <c r="D17" s="248" t="s">
        <v>35</v>
      </c>
      <c r="E17" s="245">
        <v>974046838</v>
      </c>
      <c r="F17" s="250" t="s">
        <v>19</v>
      </c>
      <c r="G17" s="250" t="s">
        <v>27</v>
      </c>
      <c r="H17" s="250" t="s">
        <v>27</v>
      </c>
      <c r="I17" s="250" t="s">
        <v>27</v>
      </c>
      <c r="J17" s="250" t="s">
        <v>19</v>
      </c>
      <c r="K17" s="251"/>
      <c r="L17" s="250" t="s">
        <v>27</v>
      </c>
      <c r="M17" s="250" t="s">
        <v>27</v>
      </c>
      <c r="N17" s="250" t="s">
        <v>27</v>
      </c>
      <c r="O17" s="250" t="s">
        <v>27</v>
      </c>
      <c r="P17" s="250" t="s">
        <v>19</v>
      </c>
      <c r="Q17" s="250" t="s">
        <v>19</v>
      </c>
      <c r="R17" s="250" t="s">
        <v>19</v>
      </c>
      <c r="S17" s="42" t="s">
        <v>27</v>
      </c>
      <c r="T17" s="42" t="s">
        <v>19</v>
      </c>
      <c r="U17" s="170"/>
      <c r="V17" s="170"/>
      <c r="W17" s="42" t="s">
        <v>27</v>
      </c>
      <c r="X17" s="42" t="s">
        <v>27</v>
      </c>
      <c r="Y17" s="42" t="s">
        <v>19</v>
      </c>
      <c r="Z17" s="42" t="s">
        <v>27</v>
      </c>
      <c r="AA17" s="170"/>
      <c r="AB17" s="170"/>
      <c r="AC17" s="42" t="s">
        <v>27</v>
      </c>
      <c r="AD17" s="42" t="s">
        <v>19</v>
      </c>
      <c r="AE17" s="42" t="s">
        <v>19</v>
      </c>
      <c r="AF17" s="64" t="s">
        <v>19</v>
      </c>
      <c r="AG17" s="48">
        <f t="shared" si="0"/>
        <v>12</v>
      </c>
      <c r="AH17" s="48">
        <f t="shared" si="1"/>
        <v>10</v>
      </c>
      <c r="AI17" s="137">
        <f t="shared" si="2"/>
        <v>240</v>
      </c>
      <c r="AJ17" s="51"/>
    </row>
    <row r="18" spans="1:36">
      <c r="A18" s="245" t="s">
        <v>988</v>
      </c>
      <c r="B18" s="246" t="s">
        <v>989</v>
      </c>
      <c r="C18" s="248">
        <v>30</v>
      </c>
      <c r="D18" s="248" t="s">
        <v>35</v>
      </c>
      <c r="E18" s="245">
        <v>935665389</v>
      </c>
      <c r="F18" s="250" t="s">
        <v>27</v>
      </c>
      <c r="G18" s="250" t="s">
        <v>19</v>
      </c>
      <c r="H18" s="250" t="s">
        <v>19</v>
      </c>
      <c r="I18" s="250" t="s">
        <v>27</v>
      </c>
      <c r="J18" s="250" t="s">
        <v>27</v>
      </c>
      <c r="K18" s="251"/>
      <c r="L18" s="250" t="s">
        <v>19</v>
      </c>
      <c r="M18" s="250" t="s">
        <v>27</v>
      </c>
      <c r="N18" s="250" t="s">
        <v>27</v>
      </c>
      <c r="O18" s="250" t="s">
        <v>27</v>
      </c>
      <c r="P18" s="250" t="s">
        <v>19</v>
      </c>
      <c r="Q18" s="250" t="s">
        <v>19</v>
      </c>
      <c r="R18" s="250" t="s">
        <v>19</v>
      </c>
      <c r="S18" s="42" t="s">
        <v>27</v>
      </c>
      <c r="T18" s="42" t="s">
        <v>27</v>
      </c>
      <c r="U18" s="170"/>
      <c r="V18" s="170"/>
      <c r="W18" s="42" t="s">
        <v>19</v>
      </c>
      <c r="X18" s="42" t="s">
        <v>27</v>
      </c>
      <c r="Y18" s="42" t="s">
        <v>27</v>
      </c>
      <c r="Z18" s="42" t="s">
        <v>27</v>
      </c>
      <c r="AA18" s="170"/>
      <c r="AB18" s="170"/>
      <c r="AC18" s="42" t="s">
        <v>19</v>
      </c>
      <c r="AD18" s="42" t="s">
        <v>19</v>
      </c>
      <c r="AE18" s="42" t="s">
        <v>27</v>
      </c>
      <c r="AF18" s="64" t="s">
        <v>27</v>
      </c>
      <c r="AG18" s="48">
        <f t="shared" si="0"/>
        <v>13</v>
      </c>
      <c r="AH18" s="48">
        <f t="shared" si="1"/>
        <v>9</v>
      </c>
      <c r="AI18" s="137">
        <f t="shared" si="2"/>
        <v>260</v>
      </c>
      <c r="AJ18" s="51"/>
    </row>
    <row r="19" spans="1:36">
      <c r="A19" s="245" t="s">
        <v>990</v>
      </c>
      <c r="B19" s="246" t="s">
        <v>991</v>
      </c>
      <c r="C19" s="248"/>
      <c r="D19" s="248" t="s">
        <v>35</v>
      </c>
      <c r="E19" s="245">
        <v>922909678</v>
      </c>
      <c r="F19" s="250" t="s">
        <v>19</v>
      </c>
      <c r="G19" s="250" t="s">
        <v>27</v>
      </c>
      <c r="H19" s="250" t="s">
        <v>27</v>
      </c>
      <c r="I19" s="250" t="s">
        <v>27</v>
      </c>
      <c r="J19" s="250" t="s">
        <v>19</v>
      </c>
      <c r="K19" s="251"/>
      <c r="L19" s="250" t="s">
        <v>27</v>
      </c>
      <c r="M19" s="250" t="s">
        <v>27</v>
      </c>
      <c r="N19" s="250" t="s">
        <v>27</v>
      </c>
      <c r="O19" s="250" t="s">
        <v>27</v>
      </c>
      <c r="P19" s="250" t="s">
        <v>19</v>
      </c>
      <c r="Q19" s="250" t="s">
        <v>19</v>
      </c>
      <c r="R19" s="250" t="s">
        <v>19</v>
      </c>
      <c r="S19" s="42" t="s">
        <v>19</v>
      </c>
      <c r="T19" s="42" t="s">
        <v>19</v>
      </c>
      <c r="U19" s="170"/>
      <c r="V19" s="170"/>
      <c r="W19" s="42" t="s">
        <v>27</v>
      </c>
      <c r="X19" s="42" t="s">
        <v>19</v>
      </c>
      <c r="Y19" s="42" t="s">
        <v>19</v>
      </c>
      <c r="Z19" s="42" t="s">
        <v>19</v>
      </c>
      <c r="AA19" s="170"/>
      <c r="AB19" s="170"/>
      <c r="AC19" s="42" t="s">
        <v>19</v>
      </c>
      <c r="AD19" s="42" t="s">
        <v>27</v>
      </c>
      <c r="AE19" s="42" t="s">
        <v>19</v>
      </c>
      <c r="AF19" s="64" t="s">
        <v>19</v>
      </c>
      <c r="AG19" s="48">
        <f t="shared" si="0"/>
        <v>9</v>
      </c>
      <c r="AH19" s="48">
        <f t="shared" si="1"/>
        <v>13</v>
      </c>
      <c r="AI19" s="137">
        <f t="shared" si="2"/>
        <v>180</v>
      </c>
      <c r="AJ19" s="51"/>
    </row>
    <row r="20" spans="1:36">
      <c r="A20" s="245" t="s">
        <v>994</v>
      </c>
      <c r="B20" s="246" t="s">
        <v>995</v>
      </c>
      <c r="C20" s="248">
        <v>24</v>
      </c>
      <c r="D20" s="248" t="s">
        <v>26</v>
      </c>
      <c r="E20" s="245">
        <v>967515918</v>
      </c>
      <c r="F20" s="250" t="s">
        <v>19</v>
      </c>
      <c r="G20" s="250" t="s">
        <v>19</v>
      </c>
      <c r="H20" s="250" t="s">
        <v>27</v>
      </c>
      <c r="I20" s="250" t="s">
        <v>27</v>
      </c>
      <c r="J20" s="250" t="s">
        <v>19</v>
      </c>
      <c r="K20" s="251"/>
      <c r="L20" s="250" t="s">
        <v>19</v>
      </c>
      <c r="M20" s="250" t="s">
        <v>19</v>
      </c>
      <c r="N20" s="250" t="s">
        <v>19</v>
      </c>
      <c r="O20" s="250" t="s">
        <v>19</v>
      </c>
      <c r="P20" s="250" t="s">
        <v>19</v>
      </c>
      <c r="Q20" s="250" t="s">
        <v>19</v>
      </c>
      <c r="R20" s="250" t="s">
        <v>19</v>
      </c>
      <c r="S20" s="42" t="s">
        <v>19</v>
      </c>
      <c r="T20" s="42" t="s">
        <v>19</v>
      </c>
      <c r="U20" s="170"/>
      <c r="V20" s="170"/>
      <c r="W20" s="42" t="s">
        <v>19</v>
      </c>
      <c r="X20" s="42" t="s">
        <v>19</v>
      </c>
      <c r="Y20" s="42" t="s">
        <v>19</v>
      </c>
      <c r="Z20" s="42" t="s">
        <v>19</v>
      </c>
      <c r="AA20" s="170"/>
      <c r="AB20" s="170"/>
      <c r="AC20" s="42" t="s">
        <v>19</v>
      </c>
      <c r="AD20" s="42" t="s">
        <v>19</v>
      </c>
      <c r="AE20" s="42" t="s">
        <v>19</v>
      </c>
      <c r="AF20" s="64" t="s">
        <v>19</v>
      </c>
      <c r="AG20" s="48">
        <f t="shared" si="0"/>
        <v>2</v>
      </c>
      <c r="AH20" s="48">
        <f t="shared" si="1"/>
        <v>20</v>
      </c>
      <c r="AI20" s="137">
        <f t="shared" si="2"/>
        <v>40</v>
      </c>
      <c r="AJ20" s="51"/>
    </row>
    <row r="21" spans="1:36">
      <c r="A21" s="245" t="s">
        <v>998</v>
      </c>
      <c r="B21" s="246" t="s">
        <v>999</v>
      </c>
      <c r="C21" s="248">
        <v>18</v>
      </c>
      <c r="D21" s="248" t="s">
        <v>35</v>
      </c>
      <c r="E21" s="254">
        <v>944150087</v>
      </c>
      <c r="F21" s="250" t="s">
        <v>19</v>
      </c>
      <c r="G21" s="250" t="s">
        <v>27</v>
      </c>
      <c r="H21" s="250" t="s">
        <v>19</v>
      </c>
      <c r="I21" s="250" t="s">
        <v>27</v>
      </c>
      <c r="J21" s="250" t="s">
        <v>19</v>
      </c>
      <c r="K21" s="251"/>
      <c r="L21" s="250" t="s">
        <v>19</v>
      </c>
      <c r="M21" s="250" t="s">
        <v>19</v>
      </c>
      <c r="N21" s="250" t="s">
        <v>27</v>
      </c>
      <c r="O21" s="250" t="s">
        <v>27</v>
      </c>
      <c r="P21" s="250" t="s">
        <v>19</v>
      </c>
      <c r="Q21" s="250" t="s">
        <v>19</v>
      </c>
      <c r="R21" s="250" t="s">
        <v>19</v>
      </c>
      <c r="S21" s="42" t="s">
        <v>19</v>
      </c>
      <c r="T21" s="42" t="s">
        <v>19</v>
      </c>
      <c r="U21" s="170"/>
      <c r="V21" s="170"/>
      <c r="W21" s="42" t="s">
        <v>19</v>
      </c>
      <c r="X21" s="42" t="s">
        <v>19</v>
      </c>
      <c r="Y21" s="42" t="s">
        <v>19</v>
      </c>
      <c r="Z21" s="42" t="s">
        <v>19</v>
      </c>
      <c r="AA21" s="170"/>
      <c r="AB21" s="170"/>
      <c r="AC21" s="42" t="s">
        <v>19</v>
      </c>
      <c r="AD21" s="42" t="s">
        <v>19</v>
      </c>
      <c r="AE21" s="42" t="s">
        <v>19</v>
      </c>
      <c r="AF21" s="64" t="s">
        <v>19</v>
      </c>
      <c r="AG21" s="48">
        <f t="shared" si="0"/>
        <v>4</v>
      </c>
      <c r="AH21" s="48">
        <f t="shared" si="1"/>
        <v>18</v>
      </c>
      <c r="AI21" s="137">
        <f t="shared" si="2"/>
        <v>80</v>
      </c>
      <c r="AJ21" s="51"/>
    </row>
    <row r="22" spans="1:36">
      <c r="A22" s="245" t="s">
        <v>1002</v>
      </c>
      <c r="B22" s="246" t="s">
        <v>1003</v>
      </c>
      <c r="C22" s="248"/>
      <c r="D22" s="248" t="s">
        <v>35</v>
      </c>
      <c r="E22" s="245">
        <v>980640671</v>
      </c>
      <c r="F22" s="250" t="s">
        <v>27</v>
      </c>
      <c r="G22" s="250" t="s">
        <v>19</v>
      </c>
      <c r="H22" s="250" t="s">
        <v>19</v>
      </c>
      <c r="I22" s="250" t="s">
        <v>19</v>
      </c>
      <c r="J22" s="250" t="s">
        <v>27</v>
      </c>
      <c r="K22" s="251"/>
      <c r="L22" s="250" t="s">
        <v>112</v>
      </c>
      <c r="M22" s="250" t="s">
        <v>112</v>
      </c>
      <c r="N22" s="250" t="s">
        <v>27</v>
      </c>
      <c r="O22" s="250" t="s">
        <v>19</v>
      </c>
      <c r="P22" s="250" t="s">
        <v>27</v>
      </c>
      <c r="Q22" s="250" t="s">
        <v>19</v>
      </c>
      <c r="R22" s="250" t="s">
        <v>19</v>
      </c>
      <c r="S22" s="42" t="s">
        <v>19</v>
      </c>
      <c r="T22" s="42" t="s">
        <v>19</v>
      </c>
      <c r="U22" s="170"/>
      <c r="V22" s="170"/>
      <c r="W22" s="42" t="s">
        <v>27</v>
      </c>
      <c r="X22" s="42" t="s">
        <v>19</v>
      </c>
      <c r="Y22" s="42" t="s">
        <v>19</v>
      </c>
      <c r="Z22" s="42" t="s">
        <v>27</v>
      </c>
      <c r="AA22" s="170"/>
      <c r="AB22" s="170"/>
      <c r="AC22" s="42" t="s">
        <v>19</v>
      </c>
      <c r="AD22" s="42" t="s">
        <v>27</v>
      </c>
      <c r="AE22" s="42" t="s">
        <v>112</v>
      </c>
      <c r="AF22" s="64" t="s">
        <v>112</v>
      </c>
      <c r="AG22" s="48">
        <f t="shared" si="0"/>
        <v>7</v>
      </c>
      <c r="AH22" s="48">
        <f t="shared" si="1"/>
        <v>11</v>
      </c>
      <c r="AI22" s="137">
        <f t="shared" si="2"/>
        <v>140</v>
      </c>
      <c r="AJ22" s="51"/>
    </row>
    <row r="23" spans="1:36">
      <c r="A23" s="245" t="s">
        <v>1006</v>
      </c>
      <c r="B23" s="268" t="s">
        <v>1007</v>
      </c>
      <c r="C23" s="269">
        <v>32</v>
      </c>
      <c r="D23" s="269" t="s">
        <v>26</v>
      </c>
      <c r="E23" s="270">
        <v>921903149</v>
      </c>
      <c r="F23" s="250" t="s">
        <v>19</v>
      </c>
      <c r="G23" s="250" t="s">
        <v>19</v>
      </c>
      <c r="H23" s="250" t="s">
        <v>27</v>
      </c>
      <c r="I23" s="250" t="s">
        <v>27</v>
      </c>
      <c r="J23" s="250" t="s">
        <v>27</v>
      </c>
      <c r="K23" s="251"/>
      <c r="L23" s="250" t="s">
        <v>27</v>
      </c>
      <c r="M23" s="250" t="s">
        <v>27</v>
      </c>
      <c r="N23" s="250" t="s">
        <v>27</v>
      </c>
      <c r="O23" s="250" t="s">
        <v>27</v>
      </c>
      <c r="P23" s="250" t="s">
        <v>19</v>
      </c>
      <c r="Q23" s="250" t="s">
        <v>19</v>
      </c>
      <c r="R23" s="250" t="s">
        <v>19</v>
      </c>
      <c r="S23" s="42" t="s">
        <v>27</v>
      </c>
      <c r="T23" s="42" t="s">
        <v>19</v>
      </c>
      <c r="U23" s="170"/>
      <c r="V23" s="170"/>
      <c r="W23" s="42" t="s">
        <v>27</v>
      </c>
      <c r="X23" s="42" t="s">
        <v>19</v>
      </c>
      <c r="Y23" s="42" t="s">
        <v>19</v>
      </c>
      <c r="Z23" s="42" t="s">
        <v>27</v>
      </c>
      <c r="AA23" s="170"/>
      <c r="AB23" s="170"/>
      <c r="AC23" s="42" t="s">
        <v>27</v>
      </c>
      <c r="AD23" s="42" t="s">
        <v>27</v>
      </c>
      <c r="AE23" s="42" t="s">
        <v>19</v>
      </c>
      <c r="AF23" s="64" t="s">
        <v>27</v>
      </c>
      <c r="AG23" s="48">
        <f t="shared" si="0"/>
        <v>13</v>
      </c>
      <c r="AH23" s="48">
        <f t="shared" si="1"/>
        <v>9</v>
      </c>
      <c r="AI23" s="137">
        <f t="shared" si="2"/>
        <v>260</v>
      </c>
      <c r="AJ23" s="51"/>
    </row>
    <row r="24" spans="1:36">
      <c r="A24" s="245" t="s">
        <v>1010</v>
      </c>
      <c r="B24" s="271" t="s">
        <v>1011</v>
      </c>
      <c r="C24" s="248">
        <v>24</v>
      </c>
      <c r="D24" s="248" t="s">
        <v>35</v>
      </c>
      <c r="E24" s="245">
        <v>983175802</v>
      </c>
      <c r="F24" s="250" t="s">
        <v>27</v>
      </c>
      <c r="G24" s="250" t="s">
        <v>19</v>
      </c>
      <c r="H24" s="250" t="s">
        <v>27</v>
      </c>
      <c r="I24" s="250" t="s">
        <v>27</v>
      </c>
      <c r="J24" s="250" t="s">
        <v>27</v>
      </c>
      <c r="K24" s="251"/>
      <c r="L24" s="250" t="s">
        <v>19</v>
      </c>
      <c r="M24" s="250" t="s">
        <v>27</v>
      </c>
      <c r="N24" s="250" t="s">
        <v>27</v>
      </c>
      <c r="O24" s="250" t="s">
        <v>27</v>
      </c>
      <c r="P24" s="250" t="s">
        <v>19</v>
      </c>
      <c r="Q24" s="250" t="s">
        <v>19</v>
      </c>
      <c r="R24" s="250" t="s">
        <v>19</v>
      </c>
      <c r="S24" s="42" t="s">
        <v>27</v>
      </c>
      <c r="T24" s="42" t="s">
        <v>19</v>
      </c>
      <c r="U24" s="170"/>
      <c r="V24" s="170"/>
      <c r="W24" s="42" t="s">
        <v>19</v>
      </c>
      <c r="X24" s="42" t="s">
        <v>27</v>
      </c>
      <c r="Y24" s="42" t="s">
        <v>27</v>
      </c>
      <c r="Z24" s="42" t="s">
        <v>19</v>
      </c>
      <c r="AA24" s="170"/>
      <c r="AB24" s="170"/>
      <c r="AC24" s="42" t="s">
        <v>19</v>
      </c>
      <c r="AD24" s="42" t="s">
        <v>19</v>
      </c>
      <c r="AE24" s="42" t="s">
        <v>27</v>
      </c>
      <c r="AF24" s="64" t="s">
        <v>27</v>
      </c>
      <c r="AG24" s="48">
        <f t="shared" si="0"/>
        <v>12</v>
      </c>
      <c r="AH24" s="48">
        <f t="shared" si="1"/>
        <v>10</v>
      </c>
      <c r="AI24" s="137">
        <f t="shared" si="2"/>
        <v>240</v>
      </c>
      <c r="AJ24" s="51"/>
    </row>
    <row r="25" spans="1:36">
      <c r="A25" s="245" t="s">
        <v>1012</v>
      </c>
      <c r="B25" s="271" t="s">
        <v>1013</v>
      </c>
      <c r="C25" s="248"/>
      <c r="D25" s="248" t="s">
        <v>26</v>
      </c>
      <c r="E25" s="245">
        <v>910867917</v>
      </c>
      <c r="F25" s="250" t="s">
        <v>27</v>
      </c>
      <c r="G25" s="250" t="s">
        <v>27</v>
      </c>
      <c r="H25" s="250" t="s">
        <v>19</v>
      </c>
      <c r="I25" s="250" t="s">
        <v>19</v>
      </c>
      <c r="J25" s="250" t="s">
        <v>19</v>
      </c>
      <c r="K25" s="251"/>
      <c r="L25" s="250" t="s">
        <v>19</v>
      </c>
      <c r="M25" s="250" t="s">
        <v>19</v>
      </c>
      <c r="N25" s="250" t="s">
        <v>19</v>
      </c>
      <c r="O25" s="250" t="s">
        <v>27</v>
      </c>
      <c r="P25" s="250" t="s">
        <v>19</v>
      </c>
      <c r="Q25" s="250" t="s">
        <v>19</v>
      </c>
      <c r="R25" s="250" t="s">
        <v>19</v>
      </c>
      <c r="S25" s="42" t="s">
        <v>19</v>
      </c>
      <c r="T25" s="42" t="s">
        <v>19</v>
      </c>
      <c r="U25" s="170"/>
      <c r="V25" s="170"/>
      <c r="W25" s="42" t="s">
        <v>19</v>
      </c>
      <c r="X25" s="42" t="s">
        <v>19</v>
      </c>
      <c r="Y25" s="42" t="s">
        <v>19</v>
      </c>
      <c r="Z25" s="42" t="s">
        <v>19</v>
      </c>
      <c r="AA25" s="170"/>
      <c r="AB25" s="170"/>
      <c r="AC25" s="42" t="s">
        <v>19</v>
      </c>
      <c r="AD25" s="42" t="s">
        <v>19</v>
      </c>
      <c r="AE25" s="42" t="s">
        <v>19</v>
      </c>
      <c r="AF25" s="64" t="s">
        <v>19</v>
      </c>
      <c r="AG25" s="48">
        <f t="shared" si="0"/>
        <v>3</v>
      </c>
      <c r="AH25" s="48">
        <f t="shared" si="1"/>
        <v>19</v>
      </c>
      <c r="AI25" s="137">
        <f t="shared" si="2"/>
        <v>60</v>
      </c>
      <c r="AJ25" s="51"/>
    </row>
    <row r="26" spans="1:36">
      <c r="A26" s="245" t="s">
        <v>1014</v>
      </c>
      <c r="B26" s="246" t="s">
        <v>1015</v>
      </c>
      <c r="C26" s="248"/>
      <c r="D26" s="248" t="s">
        <v>35</v>
      </c>
      <c r="E26" s="245">
        <v>912760682</v>
      </c>
      <c r="F26" s="250" t="s">
        <v>19</v>
      </c>
      <c r="G26" s="250" t="s">
        <v>19</v>
      </c>
      <c r="H26" s="250" t="s">
        <v>19</v>
      </c>
      <c r="I26" s="250" t="s">
        <v>19</v>
      </c>
      <c r="J26" s="250" t="s">
        <v>19</v>
      </c>
      <c r="K26" s="251"/>
      <c r="L26" s="250" t="s">
        <v>19</v>
      </c>
      <c r="M26" s="250" t="s">
        <v>19</v>
      </c>
      <c r="N26" s="250" t="s">
        <v>19</v>
      </c>
      <c r="O26" s="250" t="s">
        <v>19</v>
      </c>
      <c r="P26" s="250" t="s">
        <v>19</v>
      </c>
      <c r="Q26" s="250" t="s">
        <v>19</v>
      </c>
      <c r="R26" s="250" t="s">
        <v>19</v>
      </c>
      <c r="S26" s="42" t="s">
        <v>19</v>
      </c>
      <c r="T26" s="42" t="s">
        <v>19</v>
      </c>
      <c r="U26" s="170"/>
      <c r="V26" s="170"/>
      <c r="W26" s="42" t="s">
        <v>19</v>
      </c>
      <c r="X26" s="42" t="s">
        <v>19</v>
      </c>
      <c r="Y26" s="42" t="s">
        <v>19</v>
      </c>
      <c r="Z26" s="42" t="s">
        <v>19</v>
      </c>
      <c r="AA26" s="170"/>
      <c r="AB26" s="170"/>
      <c r="AC26" s="42" t="s">
        <v>19</v>
      </c>
      <c r="AD26" s="42" t="s">
        <v>19</v>
      </c>
      <c r="AE26" s="42" t="s">
        <v>19</v>
      </c>
      <c r="AF26" s="64" t="s">
        <v>27</v>
      </c>
      <c r="AG26" s="48">
        <f t="shared" si="0"/>
        <v>1</v>
      </c>
      <c r="AH26" s="48">
        <f t="shared" si="1"/>
        <v>21</v>
      </c>
      <c r="AI26" s="137">
        <f t="shared" si="2"/>
        <v>20</v>
      </c>
      <c r="AJ26" s="51"/>
    </row>
    <row r="27" spans="1:36">
      <c r="A27" s="245" t="s">
        <v>1016</v>
      </c>
      <c r="B27" s="246" t="s">
        <v>1017</v>
      </c>
      <c r="C27" s="248"/>
      <c r="D27" s="248" t="s">
        <v>35</v>
      </c>
      <c r="E27" s="260" t="s">
        <v>1018</v>
      </c>
      <c r="F27" s="250" t="s">
        <v>19</v>
      </c>
      <c r="G27" s="250" t="s">
        <v>19</v>
      </c>
      <c r="H27" s="250" t="s">
        <v>19</v>
      </c>
      <c r="I27" s="250" t="s">
        <v>19</v>
      </c>
      <c r="J27" s="250" t="s">
        <v>19</v>
      </c>
      <c r="K27" s="251"/>
      <c r="L27" s="250" t="s">
        <v>19</v>
      </c>
      <c r="M27" s="250" t="s">
        <v>19</v>
      </c>
      <c r="N27" s="250" t="s">
        <v>19</v>
      </c>
      <c r="O27" s="250" t="s">
        <v>19</v>
      </c>
      <c r="P27" s="250" t="s">
        <v>19</v>
      </c>
      <c r="Q27" s="250" t="s">
        <v>19</v>
      </c>
      <c r="R27" s="250" t="s">
        <v>19</v>
      </c>
      <c r="S27" s="42" t="s">
        <v>19</v>
      </c>
      <c r="T27" s="42" t="s">
        <v>19</v>
      </c>
      <c r="U27" s="170"/>
      <c r="V27" s="170"/>
      <c r="W27" s="42" t="s">
        <v>27</v>
      </c>
      <c r="X27" s="42" t="s">
        <v>19</v>
      </c>
      <c r="Y27" s="42" t="s">
        <v>19</v>
      </c>
      <c r="Z27" s="42" t="s">
        <v>19</v>
      </c>
      <c r="AA27" s="170"/>
      <c r="AB27" s="170"/>
      <c r="AC27" s="42" t="s">
        <v>27</v>
      </c>
      <c r="AD27" s="42" t="s">
        <v>19</v>
      </c>
      <c r="AE27" s="42" t="s">
        <v>27</v>
      </c>
      <c r="AF27" s="64" t="s">
        <v>19</v>
      </c>
      <c r="AG27" s="48">
        <f t="shared" si="0"/>
        <v>3</v>
      </c>
      <c r="AH27" s="48">
        <f t="shared" si="1"/>
        <v>19</v>
      </c>
      <c r="AI27" s="137">
        <f t="shared" si="2"/>
        <v>60</v>
      </c>
      <c r="AJ27" s="51"/>
    </row>
    <row r="28" spans="1:36">
      <c r="A28" s="245" t="s">
        <v>1019</v>
      </c>
      <c r="B28" s="246" t="s">
        <v>1020</v>
      </c>
      <c r="C28" s="248">
        <v>23</v>
      </c>
      <c r="D28" s="248" t="s">
        <v>35</v>
      </c>
      <c r="E28" s="254">
        <v>919489288</v>
      </c>
      <c r="F28" s="250" t="s">
        <v>27</v>
      </c>
      <c r="G28" s="250" t="s">
        <v>27</v>
      </c>
      <c r="H28" s="250" t="s">
        <v>27</v>
      </c>
      <c r="I28" s="250" t="s">
        <v>27</v>
      </c>
      <c r="J28" s="250" t="s">
        <v>27</v>
      </c>
      <c r="K28" s="251"/>
      <c r="L28" s="250" t="s">
        <v>27</v>
      </c>
      <c r="M28" s="250" t="s">
        <v>27</v>
      </c>
      <c r="N28" s="250" t="s">
        <v>27</v>
      </c>
      <c r="O28" s="250" t="s">
        <v>27</v>
      </c>
      <c r="P28" s="250" t="s">
        <v>19</v>
      </c>
      <c r="Q28" s="250" t="s">
        <v>27</v>
      </c>
      <c r="R28" s="250" t="s">
        <v>27</v>
      </c>
      <c r="S28" s="42" t="s">
        <v>27</v>
      </c>
      <c r="T28" s="42" t="s">
        <v>19</v>
      </c>
      <c r="U28" s="170"/>
      <c r="V28" s="170"/>
      <c r="W28" s="42" t="s">
        <v>19</v>
      </c>
      <c r="X28" s="42" t="s">
        <v>19</v>
      </c>
      <c r="Y28" s="42" t="s">
        <v>19</v>
      </c>
      <c r="Z28" s="42" t="s">
        <v>19</v>
      </c>
      <c r="AA28" s="170"/>
      <c r="AB28" s="170"/>
      <c r="AC28" s="42" t="s">
        <v>27</v>
      </c>
      <c r="AD28" s="42" t="s">
        <v>19</v>
      </c>
      <c r="AE28" s="42" t="s">
        <v>19</v>
      </c>
      <c r="AF28" s="64" t="s">
        <v>27</v>
      </c>
      <c r="AG28" s="48">
        <f t="shared" si="0"/>
        <v>14</v>
      </c>
      <c r="AH28" s="48">
        <f t="shared" si="1"/>
        <v>8</v>
      </c>
      <c r="AI28" s="137">
        <f t="shared" si="2"/>
        <v>280</v>
      </c>
      <c r="AJ28" s="51"/>
    </row>
    <row r="29" spans="1:36">
      <c r="A29" s="245" t="s">
        <v>1021</v>
      </c>
      <c r="B29" s="246" t="s">
        <v>1022</v>
      </c>
      <c r="C29" s="248"/>
      <c r="D29" s="248" t="s">
        <v>26</v>
      </c>
      <c r="E29" s="254">
        <v>919489937</v>
      </c>
      <c r="F29" s="250" t="s">
        <v>19</v>
      </c>
      <c r="G29" s="250" t="s">
        <v>19</v>
      </c>
      <c r="H29" s="250" t="s">
        <v>27</v>
      </c>
      <c r="I29" s="250" t="s">
        <v>27</v>
      </c>
      <c r="J29" s="250" t="s">
        <v>27</v>
      </c>
      <c r="K29" s="257" t="s">
        <v>112</v>
      </c>
      <c r="L29" s="250" t="s">
        <v>27</v>
      </c>
      <c r="M29" s="250" t="s">
        <v>27</v>
      </c>
      <c r="N29" s="250" t="s">
        <v>27</v>
      </c>
      <c r="O29" s="250" t="s">
        <v>27</v>
      </c>
      <c r="P29" s="250" t="s">
        <v>27</v>
      </c>
      <c r="Q29" s="250" t="s">
        <v>19</v>
      </c>
      <c r="R29" s="250" t="s">
        <v>19</v>
      </c>
      <c r="S29" s="42" t="s">
        <v>27</v>
      </c>
      <c r="T29" s="42" t="s">
        <v>27</v>
      </c>
      <c r="U29" s="170"/>
      <c r="V29" s="170"/>
      <c r="W29" s="42" t="s">
        <v>19</v>
      </c>
      <c r="X29" s="42" t="s">
        <v>19</v>
      </c>
      <c r="Y29" s="42" t="s">
        <v>19</v>
      </c>
      <c r="Z29" s="42" t="s">
        <v>19</v>
      </c>
      <c r="AA29" s="170"/>
      <c r="AB29" s="170"/>
      <c r="AC29" s="42" t="s">
        <v>27</v>
      </c>
      <c r="AD29" s="42" t="s">
        <v>27</v>
      </c>
      <c r="AE29" s="42" t="s">
        <v>19</v>
      </c>
      <c r="AF29" s="64" t="s">
        <v>27</v>
      </c>
      <c r="AG29" s="48">
        <f t="shared" si="0"/>
        <v>13</v>
      </c>
      <c r="AH29" s="48">
        <f t="shared" si="1"/>
        <v>9</v>
      </c>
      <c r="AI29" s="137">
        <f t="shared" si="2"/>
        <v>260</v>
      </c>
      <c r="AJ29" s="51"/>
    </row>
    <row r="30" spans="1:36">
      <c r="A30" s="245" t="s">
        <v>1023</v>
      </c>
      <c r="B30" s="250" t="s">
        <v>1024</v>
      </c>
      <c r="C30" s="247">
        <v>23</v>
      </c>
      <c r="D30" s="247" t="s">
        <v>35</v>
      </c>
      <c r="E30" s="245">
        <v>942405300</v>
      </c>
      <c r="F30" s="250" t="s">
        <v>27</v>
      </c>
      <c r="G30" s="250" t="s">
        <v>19</v>
      </c>
      <c r="H30" s="250" t="s">
        <v>27</v>
      </c>
      <c r="I30" s="250" t="s">
        <v>27</v>
      </c>
      <c r="J30" s="250" t="s">
        <v>27</v>
      </c>
      <c r="K30" s="251"/>
      <c r="L30" s="250" t="s">
        <v>27</v>
      </c>
      <c r="M30" s="250" t="s">
        <v>19</v>
      </c>
      <c r="N30" s="250" t="s">
        <v>27</v>
      </c>
      <c r="O30" s="250" t="s">
        <v>27</v>
      </c>
      <c r="P30" s="250" t="s">
        <v>19</v>
      </c>
      <c r="Q30" s="250" t="s">
        <v>19</v>
      </c>
      <c r="R30" s="250" t="s">
        <v>19</v>
      </c>
      <c r="S30" s="42" t="s">
        <v>19</v>
      </c>
      <c r="T30" s="42" t="s">
        <v>19</v>
      </c>
      <c r="U30" s="170"/>
      <c r="V30" s="170"/>
      <c r="W30" s="42" t="s">
        <v>19</v>
      </c>
      <c r="X30" s="42" t="s">
        <v>19</v>
      </c>
      <c r="Y30" s="42" t="s">
        <v>19</v>
      </c>
      <c r="Z30" s="42" t="s">
        <v>27</v>
      </c>
      <c r="AA30" s="170"/>
      <c r="AB30" s="170"/>
      <c r="AC30" s="42" t="s">
        <v>19</v>
      </c>
      <c r="AD30" s="42" t="s">
        <v>19</v>
      </c>
      <c r="AE30" s="42" t="s">
        <v>27</v>
      </c>
      <c r="AF30" s="64" t="s">
        <v>27</v>
      </c>
      <c r="AG30" s="48">
        <f t="shared" si="0"/>
        <v>10</v>
      </c>
      <c r="AH30" s="48">
        <f t="shared" si="1"/>
        <v>12</v>
      </c>
      <c r="AI30" s="137">
        <f t="shared" si="2"/>
        <v>200</v>
      </c>
      <c r="AJ30" s="51"/>
    </row>
    <row r="31" spans="1:36">
      <c r="A31" s="245" t="s">
        <v>1025</v>
      </c>
      <c r="B31" s="250" t="s">
        <v>1026</v>
      </c>
      <c r="C31" s="247">
        <v>18</v>
      </c>
      <c r="D31" s="247" t="s">
        <v>35</v>
      </c>
      <c r="E31" s="245">
        <v>976034815</v>
      </c>
      <c r="F31" s="250" t="s">
        <v>27</v>
      </c>
      <c r="G31" s="250" t="s">
        <v>19</v>
      </c>
      <c r="H31" s="250" t="s">
        <v>19</v>
      </c>
      <c r="I31" s="250" t="s">
        <v>27</v>
      </c>
      <c r="J31" s="250" t="s">
        <v>27</v>
      </c>
      <c r="K31" s="251"/>
      <c r="L31" s="250" t="s">
        <v>27</v>
      </c>
      <c r="M31" s="250" t="s">
        <v>27</v>
      </c>
      <c r="N31" s="250" t="s">
        <v>27</v>
      </c>
      <c r="O31" s="250" t="s">
        <v>19</v>
      </c>
      <c r="P31" s="250" t="s">
        <v>19</v>
      </c>
      <c r="Q31" s="250" t="s">
        <v>19</v>
      </c>
      <c r="R31" s="250" t="s">
        <v>27</v>
      </c>
      <c r="S31" s="42" t="s">
        <v>27</v>
      </c>
      <c r="T31" s="42" t="s">
        <v>19</v>
      </c>
      <c r="U31" s="170"/>
      <c r="V31" s="170"/>
      <c r="W31" s="42" t="s">
        <v>19</v>
      </c>
      <c r="X31" s="42" t="s">
        <v>19</v>
      </c>
      <c r="Y31" s="42" t="s">
        <v>19</v>
      </c>
      <c r="Z31" s="42" t="s">
        <v>19</v>
      </c>
      <c r="AA31" s="170"/>
      <c r="AB31" s="170"/>
      <c r="AC31" s="42" t="s">
        <v>19</v>
      </c>
      <c r="AD31" s="42" t="s">
        <v>19</v>
      </c>
      <c r="AE31" s="42" t="s">
        <v>19</v>
      </c>
      <c r="AF31" s="64" t="s">
        <v>27</v>
      </c>
      <c r="AG31" s="48">
        <f t="shared" si="0"/>
        <v>9</v>
      </c>
      <c r="AH31" s="48">
        <f t="shared" si="1"/>
        <v>13</v>
      </c>
      <c r="AI31" s="137">
        <f t="shared" si="2"/>
        <v>180</v>
      </c>
      <c r="AJ31" s="51"/>
    </row>
    <row r="32" spans="1:36">
      <c r="A32" s="245" t="s">
        <v>1027</v>
      </c>
      <c r="B32" s="250" t="s">
        <v>1028</v>
      </c>
      <c r="C32" s="247">
        <v>29</v>
      </c>
      <c r="D32" s="247" t="s">
        <v>35</v>
      </c>
      <c r="E32" s="245">
        <v>942407592</v>
      </c>
      <c r="F32" s="250" t="s">
        <v>27</v>
      </c>
      <c r="G32" s="250" t="s">
        <v>27</v>
      </c>
      <c r="H32" s="250" t="s">
        <v>27</v>
      </c>
      <c r="I32" s="250" t="s">
        <v>27</v>
      </c>
      <c r="J32" s="250" t="s">
        <v>27</v>
      </c>
      <c r="K32" s="251"/>
      <c r="L32" s="250" t="s">
        <v>27</v>
      </c>
      <c r="M32" s="250" t="s">
        <v>19</v>
      </c>
      <c r="N32" s="250" t="s">
        <v>27</v>
      </c>
      <c r="O32" s="250" t="s">
        <v>27</v>
      </c>
      <c r="P32" s="250" t="s">
        <v>112</v>
      </c>
      <c r="Q32" s="250" t="s">
        <v>27</v>
      </c>
      <c r="R32" s="250" t="s">
        <v>19</v>
      </c>
      <c r="S32" s="42" t="s">
        <v>19</v>
      </c>
      <c r="T32" s="42" t="s">
        <v>19</v>
      </c>
      <c r="U32" s="170"/>
      <c r="V32" s="170"/>
      <c r="W32" s="42" t="s">
        <v>27</v>
      </c>
      <c r="X32" s="42" t="s">
        <v>19</v>
      </c>
      <c r="Y32" s="42" t="s">
        <v>19</v>
      </c>
      <c r="Z32" s="42" t="s">
        <v>19</v>
      </c>
      <c r="AA32" s="170"/>
      <c r="AB32" s="170"/>
      <c r="AC32" s="42" t="s">
        <v>27</v>
      </c>
      <c r="AD32" s="42" t="s">
        <v>27</v>
      </c>
      <c r="AE32" s="42" t="s">
        <v>27</v>
      </c>
      <c r="AF32" s="64" t="s">
        <v>27</v>
      </c>
      <c r="AG32" s="48">
        <f t="shared" si="0"/>
        <v>14</v>
      </c>
      <c r="AH32" s="48">
        <f t="shared" si="1"/>
        <v>7</v>
      </c>
      <c r="AI32" s="137">
        <f t="shared" si="2"/>
        <v>280</v>
      </c>
      <c r="AJ32" s="51"/>
    </row>
    <row r="33" spans="1:36">
      <c r="A33" s="245" t="s">
        <v>1029</v>
      </c>
      <c r="B33" s="275" t="s">
        <v>1030</v>
      </c>
      <c r="C33" s="276">
        <v>28</v>
      </c>
      <c r="D33" s="276" t="s">
        <v>35</v>
      </c>
      <c r="E33" s="276">
        <v>914717574</v>
      </c>
      <c r="F33" s="250" t="s">
        <v>27</v>
      </c>
      <c r="G33" s="250" t="s">
        <v>27</v>
      </c>
      <c r="H33" s="250" t="s">
        <v>27</v>
      </c>
      <c r="I33" s="250" t="s">
        <v>27</v>
      </c>
      <c r="J33" s="250" t="s">
        <v>27</v>
      </c>
      <c r="K33" s="251"/>
      <c r="L33" s="250" t="s">
        <v>27</v>
      </c>
      <c r="M33" s="250" t="s">
        <v>27</v>
      </c>
      <c r="N33" s="250" t="s">
        <v>27</v>
      </c>
      <c r="O33" s="250" t="s">
        <v>27</v>
      </c>
      <c r="P33" s="250" t="s">
        <v>112</v>
      </c>
      <c r="Q33" s="250" t="s">
        <v>19</v>
      </c>
      <c r="R33" s="250" t="s">
        <v>19</v>
      </c>
      <c r="S33" s="42" t="s">
        <v>19</v>
      </c>
      <c r="T33" s="42" t="s">
        <v>27</v>
      </c>
      <c r="U33" s="170"/>
      <c r="V33" s="170"/>
      <c r="W33" s="42" t="s">
        <v>27</v>
      </c>
      <c r="X33" s="42" t="s">
        <v>27</v>
      </c>
      <c r="Y33" s="42" t="s">
        <v>27</v>
      </c>
      <c r="Z33" s="42" t="s">
        <v>19</v>
      </c>
      <c r="AA33" s="170"/>
      <c r="AB33" s="170"/>
      <c r="AC33" s="42" t="s">
        <v>27</v>
      </c>
      <c r="AD33" s="42" t="s">
        <v>27</v>
      </c>
      <c r="AE33" s="42" t="s">
        <v>27</v>
      </c>
      <c r="AF33" s="64" t="s">
        <v>19</v>
      </c>
      <c r="AG33" s="48">
        <f t="shared" si="0"/>
        <v>16</v>
      </c>
      <c r="AH33" s="48">
        <f t="shared" si="1"/>
        <v>5</v>
      </c>
      <c r="AI33" s="137">
        <f t="shared" si="2"/>
        <v>320</v>
      </c>
      <c r="AJ33" s="51"/>
    </row>
    <row r="34" spans="1:36" ht="13.2">
      <c r="A34" s="245" t="s">
        <v>1031</v>
      </c>
      <c r="B34" s="275" t="s">
        <v>934</v>
      </c>
      <c r="C34" s="276">
        <v>23</v>
      </c>
      <c r="D34" s="276" t="s">
        <v>35</v>
      </c>
      <c r="E34" s="276">
        <v>945161075</v>
      </c>
      <c r="F34" s="250" t="s">
        <v>27</v>
      </c>
      <c r="G34" s="250" t="s">
        <v>27</v>
      </c>
      <c r="H34" s="250" t="s">
        <v>27</v>
      </c>
      <c r="I34" s="250" t="s">
        <v>27</v>
      </c>
      <c r="J34" s="250" t="s">
        <v>19</v>
      </c>
      <c r="K34" s="251"/>
      <c r="L34" s="250" t="s">
        <v>27</v>
      </c>
      <c r="M34" s="250" t="s">
        <v>27</v>
      </c>
      <c r="N34" s="250" t="s">
        <v>27</v>
      </c>
      <c r="O34" s="250" t="s">
        <v>27</v>
      </c>
      <c r="P34" s="250" t="s">
        <v>19</v>
      </c>
      <c r="Q34" s="250" t="s">
        <v>19</v>
      </c>
      <c r="R34" s="250" t="s">
        <v>19</v>
      </c>
      <c r="S34" s="42" t="s">
        <v>19</v>
      </c>
      <c r="T34" s="42" t="s">
        <v>19</v>
      </c>
      <c r="U34" s="170"/>
      <c r="V34" s="170"/>
      <c r="W34" s="42" t="s">
        <v>27</v>
      </c>
      <c r="X34" s="42" t="s">
        <v>27</v>
      </c>
      <c r="Y34" s="42" t="s">
        <v>27</v>
      </c>
      <c r="Z34" s="42" t="s">
        <v>19</v>
      </c>
      <c r="AA34" s="170"/>
      <c r="AB34" s="170"/>
      <c r="AC34" s="42" t="s">
        <v>19</v>
      </c>
      <c r="AD34" s="42" t="s">
        <v>19</v>
      </c>
      <c r="AE34" s="42" t="s">
        <v>19</v>
      </c>
      <c r="AF34" s="64" t="s">
        <v>19</v>
      </c>
      <c r="AG34" s="48">
        <f t="shared" si="0"/>
        <v>11</v>
      </c>
      <c r="AH34" s="48">
        <f t="shared" si="1"/>
        <v>11</v>
      </c>
      <c r="AI34" s="137">
        <f t="shared" si="2"/>
        <v>220.00000000000003</v>
      </c>
      <c r="AJ34" s="51"/>
    </row>
    <row r="35" spans="1:36" ht="13.2">
      <c r="A35" s="245" t="s">
        <v>1032</v>
      </c>
      <c r="B35" s="275" t="s">
        <v>1033</v>
      </c>
      <c r="C35" s="276">
        <v>19</v>
      </c>
      <c r="D35" s="276" t="s">
        <v>35</v>
      </c>
      <c r="E35" s="276">
        <v>936560435</v>
      </c>
      <c r="F35" s="250" t="s">
        <v>27</v>
      </c>
      <c r="G35" s="250" t="s">
        <v>27</v>
      </c>
      <c r="H35" s="250" t="s">
        <v>27</v>
      </c>
      <c r="I35" s="250" t="s">
        <v>19</v>
      </c>
      <c r="J35" s="250" t="s">
        <v>27</v>
      </c>
      <c r="K35" s="251"/>
      <c r="L35" s="250" t="s">
        <v>19</v>
      </c>
      <c r="M35" s="250" t="s">
        <v>19</v>
      </c>
      <c r="N35" s="250" t="s">
        <v>27</v>
      </c>
      <c r="O35" s="250" t="s">
        <v>19</v>
      </c>
      <c r="P35" s="250" t="s">
        <v>27</v>
      </c>
      <c r="Q35" s="250" t="s">
        <v>19</v>
      </c>
      <c r="R35" s="250" t="s">
        <v>27</v>
      </c>
      <c r="S35" s="42" t="s">
        <v>19</v>
      </c>
      <c r="T35" s="42" t="s">
        <v>27</v>
      </c>
      <c r="U35" s="170"/>
      <c r="V35" s="170"/>
      <c r="W35" s="42" t="s">
        <v>19</v>
      </c>
      <c r="X35" s="42" t="s">
        <v>27</v>
      </c>
      <c r="Y35" s="42" t="s">
        <v>19</v>
      </c>
      <c r="Z35" s="42" t="s">
        <v>27</v>
      </c>
      <c r="AA35" s="170"/>
      <c r="AB35" s="170"/>
      <c r="AC35" s="42" t="s">
        <v>19</v>
      </c>
      <c r="AD35" s="42" t="s">
        <v>19</v>
      </c>
      <c r="AE35" s="42" t="s">
        <v>19</v>
      </c>
      <c r="AF35" s="64" t="s">
        <v>19</v>
      </c>
      <c r="AG35" s="48">
        <f t="shared" si="0"/>
        <v>10</v>
      </c>
      <c r="AH35" s="48">
        <f t="shared" si="1"/>
        <v>12</v>
      </c>
      <c r="AI35" s="137">
        <f t="shared" si="2"/>
        <v>200</v>
      </c>
      <c r="AJ35" s="51"/>
    </row>
    <row r="36" spans="1:36" ht="13.2">
      <c r="A36" s="245" t="s">
        <v>1034</v>
      </c>
      <c r="B36" s="275" t="s">
        <v>1035</v>
      </c>
      <c r="C36" s="276">
        <v>25</v>
      </c>
      <c r="D36" s="276" t="s">
        <v>26</v>
      </c>
      <c r="E36" s="276">
        <v>943758197</v>
      </c>
      <c r="F36" s="250" t="s">
        <v>19</v>
      </c>
      <c r="G36" s="250" t="s">
        <v>27</v>
      </c>
      <c r="H36" s="250" t="s">
        <v>27</v>
      </c>
      <c r="I36" s="250" t="s">
        <v>19</v>
      </c>
      <c r="J36" s="250" t="s">
        <v>27</v>
      </c>
      <c r="K36" s="251"/>
      <c r="L36" s="250" t="s">
        <v>19</v>
      </c>
      <c r="M36" s="250" t="s">
        <v>19</v>
      </c>
      <c r="N36" s="250" t="s">
        <v>27</v>
      </c>
      <c r="O36" s="250" t="s">
        <v>27</v>
      </c>
      <c r="P36" s="250" t="s">
        <v>19</v>
      </c>
      <c r="Q36" s="250" t="s">
        <v>19</v>
      </c>
      <c r="R36" s="250" t="s">
        <v>19</v>
      </c>
      <c r="S36" s="42" t="s">
        <v>19</v>
      </c>
      <c r="T36" s="42" t="s">
        <v>19</v>
      </c>
      <c r="U36" s="170"/>
      <c r="V36" s="170"/>
      <c r="W36" s="42" t="s">
        <v>19</v>
      </c>
      <c r="X36" s="42" t="s">
        <v>19</v>
      </c>
      <c r="Y36" s="42" t="s">
        <v>19</v>
      </c>
      <c r="Z36" s="42" t="s">
        <v>19</v>
      </c>
      <c r="AA36" s="170"/>
      <c r="AB36" s="170"/>
      <c r="AC36" s="42" t="s">
        <v>19</v>
      </c>
      <c r="AD36" s="42" t="s">
        <v>19</v>
      </c>
      <c r="AE36" s="42" t="s">
        <v>19</v>
      </c>
      <c r="AF36" s="64" t="s">
        <v>19</v>
      </c>
      <c r="AG36" s="48">
        <f t="shared" si="0"/>
        <v>5</v>
      </c>
      <c r="AH36" s="48">
        <f t="shared" si="1"/>
        <v>17</v>
      </c>
      <c r="AI36" s="137">
        <f t="shared" si="2"/>
        <v>100</v>
      </c>
      <c r="AJ36" s="51"/>
    </row>
    <row r="37" spans="1:36" ht="13.2">
      <c r="A37" s="245" t="s">
        <v>1036</v>
      </c>
      <c r="B37" s="275" t="s">
        <v>989</v>
      </c>
      <c r="C37" s="276">
        <v>31</v>
      </c>
      <c r="D37" s="276" t="s">
        <v>35</v>
      </c>
      <c r="E37" s="276">
        <v>935665389</v>
      </c>
      <c r="F37" s="250" t="s">
        <v>27</v>
      </c>
      <c r="G37" s="250" t="s">
        <v>27</v>
      </c>
      <c r="H37" s="250" t="s">
        <v>27</v>
      </c>
      <c r="I37" s="250" t="s">
        <v>19</v>
      </c>
      <c r="J37" s="250" t="s">
        <v>19</v>
      </c>
      <c r="K37" s="251"/>
      <c r="L37" s="250" t="s">
        <v>19</v>
      </c>
      <c r="M37" s="250" t="s">
        <v>19</v>
      </c>
      <c r="N37" s="250" t="s">
        <v>27</v>
      </c>
      <c r="O37" s="250" t="s">
        <v>27</v>
      </c>
      <c r="P37" s="250" t="s">
        <v>27</v>
      </c>
      <c r="Q37" s="250" t="s">
        <v>19</v>
      </c>
      <c r="R37" s="250" t="s">
        <v>19</v>
      </c>
      <c r="S37" s="42" t="s">
        <v>19</v>
      </c>
      <c r="T37" s="42" t="s">
        <v>19</v>
      </c>
      <c r="U37" s="170"/>
      <c r="V37" s="170"/>
      <c r="W37" s="42" t="s">
        <v>19</v>
      </c>
      <c r="X37" s="42" t="s">
        <v>19</v>
      </c>
      <c r="Y37" s="42" t="s">
        <v>19</v>
      </c>
      <c r="Z37" s="42" t="s">
        <v>19</v>
      </c>
      <c r="AA37" s="170"/>
      <c r="AB37" s="170"/>
      <c r="AC37" s="42" t="s">
        <v>19</v>
      </c>
      <c r="AD37" s="42" t="s">
        <v>19</v>
      </c>
      <c r="AE37" s="42" t="s">
        <v>19</v>
      </c>
      <c r="AF37" s="64" t="s">
        <v>19</v>
      </c>
      <c r="AG37" s="48">
        <f t="shared" si="0"/>
        <v>6</v>
      </c>
      <c r="AH37" s="48">
        <f t="shared" si="1"/>
        <v>16</v>
      </c>
      <c r="AI37" s="137">
        <f t="shared" si="2"/>
        <v>120</v>
      </c>
      <c r="AJ37" s="51"/>
    </row>
    <row r="38" spans="1:36" ht="13.2">
      <c r="A38" s="245" t="s">
        <v>1037</v>
      </c>
      <c r="B38" s="275" t="s">
        <v>1038</v>
      </c>
      <c r="C38" s="276">
        <v>30</v>
      </c>
      <c r="D38" s="276" t="s">
        <v>26</v>
      </c>
      <c r="E38" s="276">
        <v>925882714</v>
      </c>
      <c r="F38" s="250" t="s">
        <v>27</v>
      </c>
      <c r="G38" s="250" t="s">
        <v>19</v>
      </c>
      <c r="H38" s="250" t="s">
        <v>27</v>
      </c>
      <c r="I38" s="250" t="s">
        <v>19</v>
      </c>
      <c r="J38" s="250" t="s">
        <v>27</v>
      </c>
      <c r="K38" s="251"/>
      <c r="L38" s="250" t="s">
        <v>27</v>
      </c>
      <c r="M38" s="250" t="s">
        <v>27</v>
      </c>
      <c r="N38" s="250" t="s">
        <v>27</v>
      </c>
      <c r="O38" s="250" t="s">
        <v>27</v>
      </c>
      <c r="P38" s="250" t="s">
        <v>27</v>
      </c>
      <c r="Q38" s="250" t="s">
        <v>19</v>
      </c>
      <c r="R38" s="250" t="s">
        <v>19</v>
      </c>
      <c r="S38" s="42" t="s">
        <v>27</v>
      </c>
      <c r="T38" s="42" t="s">
        <v>27</v>
      </c>
      <c r="U38" s="170"/>
      <c r="V38" s="170"/>
      <c r="W38" s="42" t="s">
        <v>19</v>
      </c>
      <c r="X38" s="42" t="s">
        <v>19</v>
      </c>
      <c r="Y38" s="42" t="s">
        <v>27</v>
      </c>
      <c r="Z38" s="42" t="s">
        <v>27</v>
      </c>
      <c r="AA38" s="170"/>
      <c r="AB38" s="170"/>
      <c r="AC38" s="42" t="s">
        <v>19</v>
      </c>
      <c r="AD38" s="42" t="s">
        <v>19</v>
      </c>
      <c r="AE38" s="42" t="s">
        <v>19</v>
      </c>
      <c r="AF38" s="64" t="s">
        <v>19</v>
      </c>
      <c r="AG38" s="48">
        <f t="shared" si="0"/>
        <v>12</v>
      </c>
      <c r="AH38" s="48">
        <f t="shared" si="1"/>
        <v>10</v>
      </c>
      <c r="AI38" s="137">
        <f t="shared" si="2"/>
        <v>240</v>
      </c>
      <c r="AJ38" s="51"/>
    </row>
    <row r="39" spans="1:36" ht="13.2">
      <c r="A39" s="245" t="s">
        <v>1039</v>
      </c>
      <c r="B39" s="275" t="s">
        <v>1040</v>
      </c>
      <c r="C39" s="276">
        <v>22</v>
      </c>
      <c r="D39" s="276" t="s">
        <v>35</v>
      </c>
      <c r="E39" s="276">
        <v>965648411</v>
      </c>
      <c r="F39" s="250" t="s">
        <v>19</v>
      </c>
      <c r="G39" s="250" t="s">
        <v>19</v>
      </c>
      <c r="H39" s="250" t="s">
        <v>27</v>
      </c>
      <c r="I39" s="250" t="s">
        <v>19</v>
      </c>
      <c r="J39" s="250" t="s">
        <v>19</v>
      </c>
      <c r="K39" s="251"/>
      <c r="L39" s="250" t="s">
        <v>27</v>
      </c>
      <c r="M39" s="250" t="s">
        <v>112</v>
      </c>
      <c r="N39" s="250" t="s">
        <v>27</v>
      </c>
      <c r="O39" s="250" t="s">
        <v>19</v>
      </c>
      <c r="P39" s="250" t="s">
        <v>19</v>
      </c>
      <c r="Q39" s="250" t="s">
        <v>112</v>
      </c>
      <c r="R39" s="250" t="s">
        <v>19</v>
      </c>
      <c r="S39" s="42" t="s">
        <v>19</v>
      </c>
      <c r="T39" s="42" t="s">
        <v>19</v>
      </c>
      <c r="U39" s="170"/>
      <c r="V39" s="170"/>
      <c r="W39" s="42" t="s">
        <v>19</v>
      </c>
      <c r="X39" s="42" t="s">
        <v>19</v>
      </c>
      <c r="Y39" s="42" t="s">
        <v>19</v>
      </c>
      <c r="Z39" s="42" t="s">
        <v>19</v>
      </c>
      <c r="AA39" s="170"/>
      <c r="AB39" s="170"/>
      <c r="AC39" s="42" t="s">
        <v>19</v>
      </c>
      <c r="AD39" s="42" t="s">
        <v>27</v>
      </c>
      <c r="AE39" s="42" t="s">
        <v>19</v>
      </c>
      <c r="AF39" s="64" t="s">
        <v>19</v>
      </c>
      <c r="AG39" s="48">
        <f t="shared" si="0"/>
        <v>4</v>
      </c>
      <c r="AH39" s="48">
        <f t="shared" si="1"/>
        <v>16</v>
      </c>
      <c r="AI39" s="137">
        <f t="shared" si="2"/>
        <v>80</v>
      </c>
      <c r="AJ39" s="51"/>
    </row>
    <row r="40" spans="1:36" ht="13.2">
      <c r="A40" s="245" t="s">
        <v>1041</v>
      </c>
      <c r="B40" s="275" t="s">
        <v>1042</v>
      </c>
      <c r="C40" s="276">
        <v>29</v>
      </c>
      <c r="D40" s="276" t="s">
        <v>26</v>
      </c>
      <c r="E40" s="276">
        <v>920725828</v>
      </c>
      <c r="F40" s="250" t="s">
        <v>19</v>
      </c>
      <c r="G40" s="250" t="s">
        <v>19</v>
      </c>
      <c r="H40" s="250" t="s">
        <v>27</v>
      </c>
      <c r="I40" s="250" t="s">
        <v>27</v>
      </c>
      <c r="J40" s="250" t="s">
        <v>27</v>
      </c>
      <c r="K40" s="251"/>
      <c r="L40" s="250" t="s">
        <v>19</v>
      </c>
      <c r="M40" s="250" t="s">
        <v>27</v>
      </c>
      <c r="N40" s="250" t="s">
        <v>27</v>
      </c>
      <c r="O40" s="250" t="s">
        <v>19</v>
      </c>
      <c r="P40" s="250" t="s">
        <v>19</v>
      </c>
      <c r="Q40" s="250" t="s">
        <v>19</v>
      </c>
      <c r="R40" s="250" t="s">
        <v>19</v>
      </c>
      <c r="S40" s="42" t="s">
        <v>19</v>
      </c>
      <c r="T40" s="42" t="s">
        <v>19</v>
      </c>
      <c r="U40" s="170"/>
      <c r="V40" s="170"/>
      <c r="W40" s="42" t="s">
        <v>19</v>
      </c>
      <c r="X40" s="42" t="s">
        <v>19</v>
      </c>
      <c r="Y40" s="42" t="s">
        <v>27</v>
      </c>
      <c r="Z40" s="42" t="s">
        <v>27</v>
      </c>
      <c r="AA40" s="170"/>
      <c r="AB40" s="170"/>
      <c r="AC40" s="42" t="s">
        <v>27</v>
      </c>
      <c r="AD40" s="42" t="s">
        <v>27</v>
      </c>
      <c r="AE40" s="42" t="s">
        <v>27</v>
      </c>
      <c r="AF40" s="64" t="s">
        <v>27</v>
      </c>
      <c r="AG40" s="48">
        <f t="shared" si="0"/>
        <v>11</v>
      </c>
      <c r="AH40" s="48">
        <f t="shared" si="1"/>
        <v>11</v>
      </c>
      <c r="AI40" s="137">
        <f t="shared" si="2"/>
        <v>220.00000000000003</v>
      </c>
      <c r="AJ40" s="51"/>
    </row>
    <row r="41" spans="1:36" ht="13.2">
      <c r="A41" s="245" t="s">
        <v>1043</v>
      </c>
      <c r="B41" s="275" t="s">
        <v>1044</v>
      </c>
      <c r="C41" s="276">
        <v>35</v>
      </c>
      <c r="D41" s="276" t="s">
        <v>26</v>
      </c>
      <c r="E41" s="276">
        <v>911735083</v>
      </c>
      <c r="F41" s="250" t="s">
        <v>19</v>
      </c>
      <c r="G41" s="250" t="s">
        <v>19</v>
      </c>
      <c r="H41" s="250" t="s">
        <v>19</v>
      </c>
      <c r="I41" s="250" t="s">
        <v>19</v>
      </c>
      <c r="J41" s="250" t="s">
        <v>19</v>
      </c>
      <c r="K41" s="251"/>
      <c r="L41" s="250" t="s">
        <v>19</v>
      </c>
      <c r="M41" s="250" t="s">
        <v>19</v>
      </c>
      <c r="N41" s="250" t="s">
        <v>19</v>
      </c>
      <c r="O41" s="250" t="s">
        <v>19</v>
      </c>
      <c r="P41" s="250" t="s">
        <v>19</v>
      </c>
      <c r="Q41" s="250" t="s">
        <v>27</v>
      </c>
      <c r="R41" s="250" t="s">
        <v>19</v>
      </c>
      <c r="S41" s="42" t="s">
        <v>19</v>
      </c>
      <c r="T41" s="42" t="s">
        <v>19</v>
      </c>
      <c r="U41" s="170"/>
      <c r="V41" s="170"/>
      <c r="W41" s="42" t="s">
        <v>19</v>
      </c>
      <c r="X41" s="42" t="s">
        <v>19</v>
      </c>
      <c r="Y41" s="42" t="s">
        <v>19</v>
      </c>
      <c r="Z41" s="42" t="s">
        <v>19</v>
      </c>
      <c r="AA41" s="170"/>
      <c r="AB41" s="170"/>
      <c r="AC41" s="42" t="s">
        <v>19</v>
      </c>
      <c r="AD41" s="42" t="s">
        <v>19</v>
      </c>
      <c r="AE41" s="42" t="s">
        <v>19</v>
      </c>
      <c r="AF41" s="64" t="s">
        <v>27</v>
      </c>
      <c r="AG41" s="48">
        <f t="shared" si="0"/>
        <v>2</v>
      </c>
      <c r="AH41" s="48">
        <f t="shared" si="1"/>
        <v>20</v>
      </c>
      <c r="AI41" s="137">
        <f t="shared" si="2"/>
        <v>40</v>
      </c>
      <c r="AJ41" s="51"/>
    </row>
    <row r="42" spans="1:36" ht="13.2">
      <c r="A42" s="245" t="s">
        <v>1045</v>
      </c>
      <c r="B42" s="275" t="s">
        <v>1046</v>
      </c>
      <c r="C42" s="276">
        <v>38</v>
      </c>
      <c r="D42" s="276" t="s">
        <v>26</v>
      </c>
      <c r="E42" s="276">
        <v>911134547</v>
      </c>
      <c r="F42" s="250" t="s">
        <v>27</v>
      </c>
      <c r="G42" s="250" t="s">
        <v>27</v>
      </c>
      <c r="H42" s="250" t="s">
        <v>27</v>
      </c>
      <c r="I42" s="250" t="s">
        <v>27</v>
      </c>
      <c r="J42" s="250" t="s">
        <v>27</v>
      </c>
      <c r="K42" s="251"/>
      <c r="L42" s="250" t="s">
        <v>27</v>
      </c>
      <c r="M42" s="250" t="s">
        <v>27</v>
      </c>
      <c r="N42" s="250" t="s">
        <v>27</v>
      </c>
      <c r="O42" s="250" t="s">
        <v>19</v>
      </c>
      <c r="P42" s="250" t="s">
        <v>19</v>
      </c>
      <c r="Q42" s="250" t="s">
        <v>27</v>
      </c>
      <c r="R42" s="250" t="s">
        <v>19</v>
      </c>
      <c r="S42" s="42" t="s">
        <v>19</v>
      </c>
      <c r="T42" s="42" t="s">
        <v>19</v>
      </c>
      <c r="U42" s="170"/>
      <c r="V42" s="170"/>
      <c r="W42" s="42" t="s">
        <v>27</v>
      </c>
      <c r="X42" s="42" t="s">
        <v>27</v>
      </c>
      <c r="Y42" s="42" t="s">
        <v>27</v>
      </c>
      <c r="Z42" s="42" t="s">
        <v>27</v>
      </c>
      <c r="AA42" s="170"/>
      <c r="AB42" s="170"/>
      <c r="AC42" s="42" t="s">
        <v>27</v>
      </c>
      <c r="AD42" s="42" t="s">
        <v>27</v>
      </c>
      <c r="AE42" s="42" t="s">
        <v>27</v>
      </c>
      <c r="AF42" s="64" t="s">
        <v>27</v>
      </c>
      <c r="AG42" s="48">
        <f t="shared" si="0"/>
        <v>17</v>
      </c>
      <c r="AH42" s="48">
        <f t="shared" si="1"/>
        <v>5</v>
      </c>
      <c r="AI42" s="137">
        <f t="shared" si="2"/>
        <v>340</v>
      </c>
      <c r="AJ42" s="51"/>
    </row>
    <row r="43" spans="1:36" ht="13.2">
      <c r="A43" s="245" t="s">
        <v>1047</v>
      </c>
      <c r="B43" s="275" t="s">
        <v>1048</v>
      </c>
      <c r="C43" s="276">
        <v>19</v>
      </c>
      <c r="D43" s="276" t="s">
        <v>35</v>
      </c>
      <c r="E43" s="277"/>
      <c r="F43" s="250" t="s">
        <v>27</v>
      </c>
      <c r="G43" s="250" t="s">
        <v>27</v>
      </c>
      <c r="H43" s="250" t="s">
        <v>27</v>
      </c>
      <c r="I43" s="250" t="s">
        <v>19</v>
      </c>
      <c r="J43" s="250" t="s">
        <v>19</v>
      </c>
      <c r="K43" s="251"/>
      <c r="L43" s="250" t="s">
        <v>19</v>
      </c>
      <c r="M43" s="250" t="s">
        <v>27</v>
      </c>
      <c r="N43" s="250" t="s">
        <v>27</v>
      </c>
      <c r="O43" s="250" t="s">
        <v>27</v>
      </c>
      <c r="P43" s="250" t="s">
        <v>27</v>
      </c>
      <c r="Q43" s="250" t="s">
        <v>19</v>
      </c>
      <c r="R43" s="250" t="s">
        <v>19</v>
      </c>
      <c r="S43" s="42" t="s">
        <v>19</v>
      </c>
      <c r="T43" s="42" t="s">
        <v>19</v>
      </c>
      <c r="U43" s="170"/>
      <c r="V43" s="170"/>
      <c r="W43" s="42" t="s">
        <v>19</v>
      </c>
      <c r="X43" s="42" t="s">
        <v>19</v>
      </c>
      <c r="Y43" s="42" t="s">
        <v>19</v>
      </c>
      <c r="Z43" s="42" t="s">
        <v>19</v>
      </c>
      <c r="AA43" s="170"/>
      <c r="AB43" s="170"/>
      <c r="AC43" s="42" t="s">
        <v>19</v>
      </c>
      <c r="AD43" s="42" t="s">
        <v>19</v>
      </c>
      <c r="AE43" s="42" t="s">
        <v>19</v>
      </c>
      <c r="AF43" s="64" t="s">
        <v>19</v>
      </c>
      <c r="AG43" s="48">
        <f t="shared" si="0"/>
        <v>7</v>
      </c>
      <c r="AH43" s="48">
        <f t="shared" si="1"/>
        <v>15</v>
      </c>
      <c r="AI43" s="137">
        <f t="shared" si="2"/>
        <v>140</v>
      </c>
      <c r="AJ43" s="51"/>
    </row>
    <row r="44" spans="1:36" ht="13.2">
      <c r="A44" s="245" t="s">
        <v>1049</v>
      </c>
      <c r="B44" s="275" t="s">
        <v>1050</v>
      </c>
      <c r="C44" s="276">
        <v>23</v>
      </c>
      <c r="D44" s="276" t="s">
        <v>35</v>
      </c>
      <c r="E44" s="277"/>
      <c r="F44" s="250" t="s">
        <v>27</v>
      </c>
      <c r="G44" s="250" t="s">
        <v>27</v>
      </c>
      <c r="H44" s="250" t="s">
        <v>27</v>
      </c>
      <c r="I44" s="250" t="s">
        <v>112</v>
      </c>
      <c r="J44" s="250" t="s">
        <v>19</v>
      </c>
      <c r="K44" s="251"/>
      <c r="L44" s="250" t="s">
        <v>27</v>
      </c>
      <c r="M44" s="250" t="s">
        <v>19</v>
      </c>
      <c r="N44" s="250" t="s">
        <v>27</v>
      </c>
      <c r="O44" s="250" t="s">
        <v>27</v>
      </c>
      <c r="P44" s="250" t="s">
        <v>27</v>
      </c>
      <c r="Q44" s="250" t="s">
        <v>19</v>
      </c>
      <c r="R44" s="250" t="s">
        <v>19</v>
      </c>
      <c r="S44" s="42" t="s">
        <v>19</v>
      </c>
      <c r="T44" s="42" t="s">
        <v>19</v>
      </c>
      <c r="U44" s="170"/>
      <c r="V44" s="170"/>
      <c r="W44" s="42" t="s">
        <v>19</v>
      </c>
      <c r="X44" s="42" t="s">
        <v>19</v>
      </c>
      <c r="Y44" s="42" t="s">
        <v>19</v>
      </c>
      <c r="Z44" s="42" t="s">
        <v>19</v>
      </c>
      <c r="AA44" s="170"/>
      <c r="AB44" s="170"/>
      <c r="AC44" s="42" t="s">
        <v>19</v>
      </c>
      <c r="AD44" s="42" t="s">
        <v>19</v>
      </c>
      <c r="AE44" s="42" t="s">
        <v>19</v>
      </c>
      <c r="AF44" s="64" t="s">
        <v>19</v>
      </c>
      <c r="AG44" s="48">
        <f t="shared" si="0"/>
        <v>7</v>
      </c>
      <c r="AH44" s="48">
        <f t="shared" si="1"/>
        <v>14</v>
      </c>
      <c r="AI44" s="137">
        <f t="shared" si="2"/>
        <v>140</v>
      </c>
      <c r="AJ44" s="51"/>
    </row>
    <row r="45" spans="1:36" ht="13.2">
      <c r="A45" s="245" t="s">
        <v>1051</v>
      </c>
      <c r="B45" s="275" t="s">
        <v>1052</v>
      </c>
      <c r="C45" s="276">
        <v>35</v>
      </c>
      <c r="D45" s="276" t="s">
        <v>26</v>
      </c>
      <c r="E45" s="277"/>
      <c r="F45" s="250" t="s">
        <v>27</v>
      </c>
      <c r="G45" s="250" t="s">
        <v>27</v>
      </c>
      <c r="H45" s="250" t="s">
        <v>27</v>
      </c>
      <c r="I45" s="250" t="s">
        <v>27</v>
      </c>
      <c r="J45" s="250" t="s">
        <v>19</v>
      </c>
      <c r="K45" s="251"/>
      <c r="L45" s="250" t="s">
        <v>19</v>
      </c>
      <c r="M45" s="250" t="s">
        <v>19</v>
      </c>
      <c r="N45" s="250" t="s">
        <v>27</v>
      </c>
      <c r="O45" s="250" t="s">
        <v>19</v>
      </c>
      <c r="P45" s="250" t="s">
        <v>19</v>
      </c>
      <c r="Q45" s="250" t="s">
        <v>19</v>
      </c>
      <c r="R45" s="250" t="s">
        <v>19</v>
      </c>
      <c r="S45" s="42" t="s">
        <v>19</v>
      </c>
      <c r="T45" s="42" t="s">
        <v>19</v>
      </c>
      <c r="U45" s="170"/>
      <c r="V45" s="170"/>
      <c r="W45" s="42" t="s">
        <v>19</v>
      </c>
      <c r="X45" s="42" t="s">
        <v>19</v>
      </c>
      <c r="Y45" s="42" t="s">
        <v>19</v>
      </c>
      <c r="Z45" s="42" t="s">
        <v>19</v>
      </c>
      <c r="AA45" s="170"/>
      <c r="AB45" s="170"/>
      <c r="AC45" s="42" t="s">
        <v>19</v>
      </c>
      <c r="AD45" s="42" t="s">
        <v>19</v>
      </c>
      <c r="AE45" s="42" t="s">
        <v>19</v>
      </c>
      <c r="AF45" s="64" t="s">
        <v>19</v>
      </c>
      <c r="AG45" s="48">
        <f t="shared" si="0"/>
        <v>5</v>
      </c>
      <c r="AH45" s="48">
        <f t="shared" si="1"/>
        <v>17</v>
      </c>
      <c r="AI45" s="137">
        <f t="shared" si="2"/>
        <v>100</v>
      </c>
      <c r="AJ45" s="51"/>
    </row>
    <row r="46" spans="1:36" ht="13.2">
      <c r="A46" s="245" t="s">
        <v>1053</v>
      </c>
      <c r="B46" s="275" t="s">
        <v>1054</v>
      </c>
      <c r="C46" s="276">
        <v>19</v>
      </c>
      <c r="D46" s="276" t="s">
        <v>26</v>
      </c>
      <c r="E46" s="276">
        <v>983350211</v>
      </c>
      <c r="F46" s="250" t="s">
        <v>27</v>
      </c>
      <c r="G46" s="250" t="s">
        <v>27</v>
      </c>
      <c r="H46" s="250" t="s">
        <v>27</v>
      </c>
      <c r="I46" s="250" t="s">
        <v>19</v>
      </c>
      <c r="J46" s="250" t="s">
        <v>19</v>
      </c>
      <c r="K46" s="251"/>
      <c r="L46" s="250" t="s">
        <v>19</v>
      </c>
      <c r="M46" s="250" t="s">
        <v>19</v>
      </c>
      <c r="N46" s="250" t="s">
        <v>19</v>
      </c>
      <c r="O46" s="250" t="s">
        <v>19</v>
      </c>
      <c r="P46" s="250" t="s">
        <v>19</v>
      </c>
      <c r="Q46" s="250" t="s">
        <v>19</v>
      </c>
      <c r="R46" s="250" t="s">
        <v>19</v>
      </c>
      <c r="S46" s="42" t="s">
        <v>19</v>
      </c>
      <c r="T46" s="42" t="s">
        <v>19</v>
      </c>
      <c r="U46" s="170"/>
      <c r="V46" s="170"/>
      <c r="W46" s="42" t="s">
        <v>19</v>
      </c>
      <c r="X46" s="42" t="s">
        <v>19</v>
      </c>
      <c r="Y46" s="42" t="s">
        <v>19</v>
      </c>
      <c r="Z46" s="42" t="s">
        <v>19</v>
      </c>
      <c r="AA46" s="170"/>
      <c r="AB46" s="170"/>
      <c r="AC46" s="42" t="s">
        <v>19</v>
      </c>
      <c r="AD46" s="42" t="s">
        <v>19</v>
      </c>
      <c r="AE46" s="42" t="s">
        <v>19</v>
      </c>
      <c r="AF46" s="64" t="s">
        <v>19</v>
      </c>
      <c r="AG46" s="48">
        <f t="shared" si="0"/>
        <v>3</v>
      </c>
      <c r="AH46" s="48">
        <f t="shared" si="1"/>
        <v>19</v>
      </c>
      <c r="AI46" s="137">
        <f t="shared" si="2"/>
        <v>60</v>
      </c>
      <c r="AJ46" s="51"/>
    </row>
    <row r="47" spans="1:36" ht="13.2">
      <c r="A47" s="245" t="s">
        <v>1055</v>
      </c>
      <c r="B47" s="250" t="s">
        <v>1056</v>
      </c>
      <c r="C47" s="248"/>
      <c r="D47" s="247" t="s">
        <v>26</v>
      </c>
      <c r="E47" s="245">
        <v>994621902</v>
      </c>
      <c r="F47" s="250" t="s">
        <v>19</v>
      </c>
      <c r="G47" s="250" t="s">
        <v>19</v>
      </c>
      <c r="H47" s="250" t="s">
        <v>27</v>
      </c>
      <c r="I47" s="250" t="s">
        <v>27</v>
      </c>
      <c r="J47" s="250" t="s">
        <v>27</v>
      </c>
      <c r="K47" s="251"/>
      <c r="L47" s="250" t="s">
        <v>19</v>
      </c>
      <c r="M47" s="250" t="s">
        <v>19</v>
      </c>
      <c r="N47" s="250" t="s">
        <v>27</v>
      </c>
      <c r="O47" s="250" t="s">
        <v>27</v>
      </c>
      <c r="P47" s="250" t="s">
        <v>27</v>
      </c>
      <c r="Q47" s="250" t="s">
        <v>27</v>
      </c>
      <c r="R47" s="250" t="s">
        <v>19</v>
      </c>
      <c r="S47" s="42" t="s">
        <v>27</v>
      </c>
      <c r="T47" s="42" t="s">
        <v>19</v>
      </c>
      <c r="U47" s="170"/>
      <c r="V47" s="170"/>
      <c r="W47" s="42" t="s">
        <v>19</v>
      </c>
      <c r="X47" s="42" t="s">
        <v>19</v>
      </c>
      <c r="Y47" s="42" t="s">
        <v>19</v>
      </c>
      <c r="Z47" s="42" t="s">
        <v>19</v>
      </c>
      <c r="AA47" s="170"/>
      <c r="AB47" s="170"/>
      <c r="AC47" s="42" t="s">
        <v>19</v>
      </c>
      <c r="AD47" s="42" t="s">
        <v>19</v>
      </c>
      <c r="AE47" s="42" t="s">
        <v>19</v>
      </c>
      <c r="AF47" s="64" t="s">
        <v>19</v>
      </c>
      <c r="AG47" s="48">
        <f t="shared" si="0"/>
        <v>8</v>
      </c>
      <c r="AH47" s="48">
        <f t="shared" si="1"/>
        <v>14</v>
      </c>
      <c r="AI47" s="137">
        <f t="shared" si="2"/>
        <v>160</v>
      </c>
      <c r="AJ47" s="51"/>
    </row>
    <row r="48" spans="1:36" ht="15.6">
      <c r="A48" s="245" t="s">
        <v>1057</v>
      </c>
      <c r="B48" s="278" t="s">
        <v>1058</v>
      </c>
      <c r="C48" s="75"/>
      <c r="D48" s="75"/>
      <c r="E48" s="279">
        <v>922391397</v>
      </c>
      <c r="F48" s="246"/>
      <c r="G48" s="246"/>
      <c r="H48" s="246"/>
      <c r="I48" s="246"/>
      <c r="J48" s="250" t="s">
        <v>27</v>
      </c>
      <c r="K48" s="251"/>
      <c r="L48" s="246"/>
      <c r="M48" s="246"/>
      <c r="N48" s="246"/>
      <c r="O48" s="246"/>
      <c r="P48" s="246"/>
      <c r="Q48" s="246"/>
      <c r="R48" s="246"/>
      <c r="S48" s="44"/>
      <c r="T48" s="44"/>
      <c r="U48" s="170"/>
      <c r="V48" s="170"/>
      <c r="W48" s="42" t="s">
        <v>19</v>
      </c>
      <c r="X48" s="42" t="s">
        <v>19</v>
      </c>
      <c r="Y48" s="42" t="s">
        <v>19</v>
      </c>
      <c r="Z48" s="42" t="s">
        <v>19</v>
      </c>
      <c r="AA48" s="170"/>
      <c r="AB48" s="170"/>
      <c r="AC48" s="42" t="s">
        <v>19</v>
      </c>
      <c r="AD48" s="42" t="s">
        <v>19</v>
      </c>
      <c r="AE48" s="42" t="s">
        <v>19</v>
      </c>
      <c r="AF48" s="64" t="s">
        <v>19</v>
      </c>
      <c r="AG48" s="280">
        <f t="shared" si="0"/>
        <v>1</v>
      </c>
      <c r="AH48" s="280">
        <f t="shared" si="1"/>
        <v>8</v>
      </c>
      <c r="AI48" s="281">
        <f t="shared" si="2"/>
        <v>20</v>
      </c>
      <c r="AJ48" s="51"/>
    </row>
    <row r="49" spans="1:36" ht="13.8">
      <c r="A49" s="245" t="s">
        <v>1059</v>
      </c>
      <c r="B49" s="263" t="s">
        <v>1060</v>
      </c>
      <c r="C49" s="282"/>
      <c r="D49" s="283"/>
      <c r="E49" s="41">
        <v>919373257</v>
      </c>
      <c r="F49" s="44"/>
      <c r="G49" s="44"/>
      <c r="H49" s="44"/>
      <c r="I49" s="44"/>
      <c r="J49" s="44"/>
      <c r="K49" s="284"/>
      <c r="L49" s="42" t="s">
        <v>27</v>
      </c>
      <c r="M49" s="44"/>
      <c r="N49" s="42" t="s">
        <v>27</v>
      </c>
      <c r="O49" s="44"/>
      <c r="P49" s="42" t="s">
        <v>27</v>
      </c>
      <c r="Q49" s="42" t="s">
        <v>27</v>
      </c>
      <c r="R49" s="42" t="s">
        <v>19</v>
      </c>
      <c r="S49" s="42" t="s">
        <v>19</v>
      </c>
      <c r="T49" s="44"/>
      <c r="U49" s="170"/>
      <c r="V49" s="170"/>
      <c r="W49" s="42" t="s">
        <v>19</v>
      </c>
      <c r="X49" s="42" t="s">
        <v>19</v>
      </c>
      <c r="Y49" s="42" t="s">
        <v>19</v>
      </c>
      <c r="Z49" s="42" t="s">
        <v>19</v>
      </c>
      <c r="AA49" s="170"/>
      <c r="AB49" s="170"/>
      <c r="AC49" s="42" t="s">
        <v>19</v>
      </c>
      <c r="AD49" s="42" t="s">
        <v>19</v>
      </c>
      <c r="AE49" s="42" t="s">
        <v>19</v>
      </c>
      <c r="AF49" s="42" t="s">
        <v>19</v>
      </c>
      <c r="AG49" s="44"/>
      <c r="AH49" s="44"/>
      <c r="AI49" s="44">
        <f>SUM(AI4:AI48)/45</f>
        <v>179.11111111111111</v>
      </c>
      <c r="AJ49" s="51"/>
    </row>
    <row r="50" spans="1:36" ht="13.8">
      <c r="A50" s="44"/>
      <c r="B50" s="285"/>
      <c r="C50" s="282"/>
      <c r="D50" s="283"/>
      <c r="E50" s="56"/>
      <c r="F50" s="44"/>
      <c r="G50" s="44"/>
      <c r="H50" s="44"/>
      <c r="I50" s="44"/>
      <c r="J50" s="44"/>
      <c r="K50" s="284"/>
      <c r="L50" s="44"/>
      <c r="M50" s="44"/>
      <c r="N50" s="44"/>
      <c r="O50" s="44"/>
      <c r="P50" s="44"/>
      <c r="Q50" s="44"/>
      <c r="R50" s="44"/>
      <c r="S50" s="44"/>
      <c r="T50" s="44"/>
      <c r="U50" s="170"/>
      <c r="V50" s="170"/>
      <c r="W50" s="44"/>
      <c r="X50" s="44"/>
      <c r="Y50" s="44"/>
      <c r="Z50" s="44"/>
      <c r="AA50" s="170"/>
      <c r="AB50" s="170"/>
      <c r="AC50" s="44"/>
      <c r="AD50" s="44"/>
      <c r="AE50" s="44"/>
      <c r="AF50" s="44"/>
      <c r="AG50" s="44"/>
      <c r="AH50" s="44"/>
      <c r="AI50" s="44"/>
      <c r="AJ50" s="51"/>
    </row>
    <row r="51" spans="1:36" ht="13.8">
      <c r="A51" s="44"/>
      <c r="B51" s="285"/>
      <c r="C51" s="282"/>
      <c r="D51" s="283"/>
      <c r="E51" s="56"/>
      <c r="F51" s="44"/>
      <c r="G51" s="44"/>
      <c r="H51" s="44"/>
      <c r="I51" s="44"/>
      <c r="J51" s="44"/>
      <c r="K51" s="284"/>
      <c r="L51" s="44"/>
      <c r="M51" s="44"/>
      <c r="N51" s="44"/>
      <c r="O51" s="44"/>
      <c r="P51" s="44"/>
      <c r="Q51" s="44"/>
      <c r="R51" s="44"/>
      <c r="S51" s="44"/>
      <c r="T51" s="44"/>
      <c r="U51" s="170"/>
      <c r="V51" s="170"/>
      <c r="W51" s="44"/>
      <c r="X51" s="44"/>
      <c r="Y51" s="44"/>
      <c r="Z51" s="44"/>
      <c r="AA51" s="170"/>
      <c r="AB51" s="170"/>
      <c r="AC51" s="44"/>
      <c r="AD51" s="44"/>
      <c r="AE51" s="44"/>
      <c r="AF51" s="44"/>
      <c r="AG51" s="44"/>
      <c r="AH51" s="44"/>
      <c r="AI51" s="44"/>
      <c r="AJ51" s="51"/>
    </row>
    <row r="52" spans="1:36" ht="13.8">
      <c r="A52" s="44"/>
      <c r="B52" s="285"/>
      <c r="C52" s="282"/>
      <c r="D52" s="283"/>
      <c r="E52" s="56"/>
      <c r="F52" s="44"/>
      <c r="G52" s="44"/>
      <c r="H52" s="44"/>
      <c r="I52" s="44"/>
      <c r="J52" s="44"/>
      <c r="K52" s="284"/>
      <c r="L52" s="44"/>
      <c r="M52" s="44"/>
      <c r="N52" s="44"/>
      <c r="O52" s="44"/>
      <c r="P52" s="44"/>
      <c r="Q52" s="44"/>
      <c r="R52" s="44"/>
      <c r="S52" s="44"/>
      <c r="T52" s="44"/>
      <c r="U52" s="170"/>
      <c r="V52" s="170"/>
      <c r="W52" s="44"/>
      <c r="X52" s="44"/>
      <c r="Y52" s="44"/>
      <c r="Z52" s="44"/>
      <c r="AA52" s="170"/>
      <c r="AB52" s="170"/>
      <c r="AC52" s="44"/>
      <c r="AD52" s="44"/>
      <c r="AE52" s="44"/>
      <c r="AF52" s="44"/>
      <c r="AG52" s="44"/>
      <c r="AH52" s="44"/>
      <c r="AI52" s="44"/>
      <c r="AJ52" s="51"/>
    </row>
    <row r="53" spans="1:36" ht="13.8">
      <c r="A53" s="44"/>
      <c r="B53" s="285"/>
      <c r="C53" s="282"/>
      <c r="D53" s="283"/>
      <c r="E53" s="56"/>
      <c r="F53" s="44"/>
      <c r="G53" s="44"/>
      <c r="H53" s="44"/>
      <c r="I53" s="44"/>
      <c r="J53" s="44"/>
      <c r="K53" s="284"/>
      <c r="L53" s="44"/>
      <c r="M53" s="44"/>
      <c r="N53" s="44"/>
      <c r="O53" s="44"/>
      <c r="P53" s="44"/>
      <c r="Q53" s="44"/>
      <c r="R53" s="44"/>
      <c r="S53" s="44"/>
      <c r="T53" s="44"/>
      <c r="U53" s="170"/>
      <c r="V53" s="170"/>
      <c r="W53" s="44"/>
      <c r="X53" s="44"/>
      <c r="Y53" s="44"/>
      <c r="Z53" s="44"/>
      <c r="AA53" s="170"/>
      <c r="AB53" s="170"/>
      <c r="AC53" s="44"/>
      <c r="AD53" s="44"/>
      <c r="AE53" s="44"/>
      <c r="AF53" s="44"/>
      <c r="AG53" s="44"/>
      <c r="AH53" s="44"/>
      <c r="AI53" s="44"/>
      <c r="AJ53" s="51"/>
    </row>
    <row r="54" spans="1:36" ht="13.8">
      <c r="A54" s="44"/>
      <c r="B54" s="285"/>
      <c r="C54" s="282"/>
      <c r="D54" s="283"/>
      <c r="E54" s="56"/>
      <c r="F54" s="44"/>
      <c r="G54" s="44"/>
      <c r="H54" s="44"/>
      <c r="I54" s="44"/>
      <c r="J54" s="44"/>
      <c r="K54" s="284"/>
      <c r="L54" s="44"/>
      <c r="M54" s="44"/>
      <c r="N54" s="44"/>
      <c r="O54" s="44"/>
      <c r="P54" s="44"/>
      <c r="Q54" s="44"/>
      <c r="R54" s="44"/>
      <c r="S54" s="44"/>
      <c r="T54" s="44"/>
      <c r="U54" s="170"/>
      <c r="V54" s="170"/>
      <c r="W54" s="44"/>
      <c r="X54" s="44"/>
      <c r="Y54" s="44"/>
      <c r="Z54" s="44"/>
      <c r="AA54" s="170"/>
      <c r="AB54" s="170"/>
      <c r="AC54" s="44"/>
      <c r="AD54" s="44"/>
      <c r="AE54" s="44"/>
      <c r="AF54" s="44"/>
      <c r="AG54" s="44"/>
      <c r="AH54" s="44"/>
      <c r="AI54" s="44"/>
      <c r="AJ54" s="51"/>
    </row>
    <row r="55" spans="1:36" ht="13.8">
      <c r="A55" s="44"/>
      <c r="B55" s="285"/>
      <c r="C55" s="282"/>
      <c r="D55" s="283"/>
      <c r="E55" s="56"/>
      <c r="F55" s="44"/>
      <c r="G55" s="44"/>
      <c r="H55" s="44"/>
      <c r="I55" s="44"/>
      <c r="J55" s="44"/>
      <c r="K55" s="284"/>
      <c r="L55" s="44"/>
      <c r="M55" s="44"/>
      <c r="N55" s="44"/>
      <c r="O55" s="44"/>
      <c r="P55" s="44"/>
      <c r="Q55" s="44"/>
      <c r="R55" s="44"/>
      <c r="S55" s="44"/>
      <c r="T55" s="44"/>
      <c r="U55" s="170"/>
      <c r="V55" s="170"/>
      <c r="W55" s="44"/>
      <c r="X55" s="44"/>
      <c r="Y55" s="44"/>
      <c r="Z55" s="44"/>
      <c r="AA55" s="170"/>
      <c r="AB55" s="170"/>
      <c r="AC55" s="44"/>
      <c r="AD55" s="44"/>
      <c r="AE55" s="44"/>
      <c r="AF55" s="44"/>
      <c r="AG55" s="44"/>
      <c r="AH55" s="44"/>
      <c r="AI55" s="44"/>
      <c r="AJ55" s="51"/>
    </row>
    <row r="56" spans="1:36" ht="13.8">
      <c r="A56" s="44"/>
      <c r="B56" s="285"/>
      <c r="C56" s="282"/>
      <c r="D56" s="283"/>
      <c r="E56" s="56"/>
      <c r="F56" s="44"/>
      <c r="G56" s="44"/>
      <c r="H56" s="44"/>
      <c r="I56" s="44"/>
      <c r="J56" s="44"/>
      <c r="K56" s="284"/>
      <c r="L56" s="44"/>
      <c r="M56" s="44"/>
      <c r="N56" s="44"/>
      <c r="O56" s="44"/>
      <c r="P56" s="44"/>
      <c r="Q56" s="44"/>
      <c r="R56" s="44"/>
      <c r="S56" s="44"/>
      <c r="T56" s="44"/>
      <c r="U56" s="170"/>
      <c r="V56" s="170"/>
      <c r="W56" s="44"/>
      <c r="X56" s="44"/>
      <c r="Y56" s="44"/>
      <c r="Z56" s="44"/>
      <c r="AA56" s="170"/>
      <c r="AB56" s="170"/>
      <c r="AC56" s="44"/>
      <c r="AD56" s="44"/>
      <c r="AE56" s="44"/>
      <c r="AF56" s="44"/>
      <c r="AG56" s="44"/>
      <c r="AH56" s="44"/>
      <c r="AI56" s="44"/>
      <c r="AJ56" s="51"/>
    </row>
    <row r="57" spans="1:36" ht="13.8">
      <c r="A57" s="44"/>
      <c r="B57" s="285"/>
      <c r="C57" s="282"/>
      <c r="D57" s="283"/>
      <c r="E57" s="56"/>
      <c r="F57" s="44"/>
      <c r="G57" s="44"/>
      <c r="H57" s="44"/>
      <c r="I57" s="44"/>
      <c r="J57" s="44"/>
      <c r="K57" s="284"/>
      <c r="L57" s="44"/>
      <c r="M57" s="44"/>
      <c r="N57" s="44"/>
      <c r="O57" s="44"/>
      <c r="P57" s="44"/>
      <c r="Q57" s="44"/>
      <c r="R57" s="44"/>
      <c r="S57" s="44"/>
      <c r="T57" s="44"/>
      <c r="U57" s="170"/>
      <c r="V57" s="170"/>
      <c r="W57" s="44"/>
      <c r="X57" s="44"/>
      <c r="Y57" s="44"/>
      <c r="Z57" s="44"/>
      <c r="AA57" s="170"/>
      <c r="AB57" s="170"/>
      <c r="AC57" s="44"/>
      <c r="AD57" s="44"/>
      <c r="AE57" s="44"/>
      <c r="AF57" s="44"/>
      <c r="AG57" s="44"/>
      <c r="AH57" s="44"/>
      <c r="AI57" s="44"/>
      <c r="AJ57" s="51"/>
    </row>
    <row r="58" spans="1:36" ht="13.8">
      <c r="A58" s="44"/>
      <c r="B58" s="285"/>
      <c r="C58" s="282"/>
      <c r="D58" s="283"/>
      <c r="E58" s="56"/>
      <c r="F58" s="44"/>
      <c r="G58" s="44"/>
      <c r="H58" s="44"/>
      <c r="I58" s="44"/>
      <c r="J58" s="44"/>
      <c r="K58" s="284"/>
      <c r="L58" s="44"/>
      <c r="M58" s="44"/>
      <c r="N58" s="44"/>
      <c r="O58" s="44"/>
      <c r="P58" s="44"/>
      <c r="Q58" s="44"/>
      <c r="R58" s="44"/>
      <c r="S58" s="44"/>
      <c r="T58" s="44"/>
      <c r="U58" s="170"/>
      <c r="V58" s="170"/>
      <c r="W58" s="44"/>
      <c r="X58" s="44"/>
      <c r="Y58" s="44"/>
      <c r="Z58" s="44"/>
      <c r="AA58" s="170"/>
      <c r="AB58" s="170"/>
      <c r="AC58" s="44"/>
      <c r="AD58" s="44"/>
      <c r="AE58" s="44"/>
      <c r="AF58" s="44"/>
      <c r="AG58" s="44"/>
      <c r="AH58" s="44"/>
      <c r="AI58" s="44"/>
      <c r="AJ58" s="51"/>
    </row>
    <row r="59" spans="1:36" ht="13.8">
      <c r="A59" s="44"/>
      <c r="B59" s="285"/>
      <c r="C59" s="282"/>
      <c r="D59" s="283"/>
      <c r="E59" s="56"/>
      <c r="F59" s="44"/>
      <c r="G59" s="44"/>
      <c r="H59" s="44"/>
      <c r="I59" s="44"/>
      <c r="J59" s="44"/>
      <c r="K59" s="284"/>
      <c r="L59" s="44"/>
      <c r="M59" s="44"/>
      <c r="N59" s="44"/>
      <c r="O59" s="44"/>
      <c r="P59" s="44"/>
      <c r="Q59" s="44"/>
      <c r="R59" s="44"/>
      <c r="S59" s="44"/>
      <c r="T59" s="44"/>
      <c r="U59" s="170"/>
      <c r="V59" s="170"/>
      <c r="W59" s="44"/>
      <c r="X59" s="44"/>
      <c r="Y59" s="44"/>
      <c r="Z59" s="44"/>
      <c r="AA59" s="170"/>
      <c r="AB59" s="170"/>
      <c r="AC59" s="44"/>
      <c r="AD59" s="44"/>
      <c r="AE59" s="44"/>
      <c r="AF59" s="44"/>
      <c r="AG59" s="44"/>
      <c r="AH59" s="44"/>
      <c r="AI59" s="44"/>
      <c r="AJ59" s="51"/>
    </row>
    <row r="60" spans="1:36" ht="13.8">
      <c r="A60" s="44"/>
      <c r="B60" s="285"/>
      <c r="C60" s="282"/>
      <c r="D60" s="283"/>
      <c r="E60" s="56"/>
      <c r="F60" s="44"/>
      <c r="G60" s="44"/>
      <c r="H60" s="44"/>
      <c r="I60" s="44"/>
      <c r="J60" s="44"/>
      <c r="K60" s="284"/>
      <c r="L60" s="44"/>
      <c r="M60" s="44"/>
      <c r="N60" s="44"/>
      <c r="O60" s="44"/>
      <c r="P60" s="44"/>
      <c r="Q60" s="44"/>
      <c r="R60" s="44"/>
      <c r="S60" s="44"/>
      <c r="T60" s="44"/>
      <c r="U60" s="170"/>
      <c r="V60" s="170"/>
      <c r="W60" s="44"/>
      <c r="X60" s="44"/>
      <c r="Y60" s="44"/>
      <c r="Z60" s="44"/>
      <c r="AA60" s="170"/>
      <c r="AB60" s="170"/>
      <c r="AC60" s="44"/>
      <c r="AD60" s="44"/>
      <c r="AE60" s="44"/>
      <c r="AF60" s="44"/>
      <c r="AG60" s="44"/>
      <c r="AH60" s="44"/>
      <c r="AI60" s="44"/>
      <c r="AJ60" s="51"/>
    </row>
    <row r="61" spans="1:36" ht="13.8">
      <c r="A61" s="44"/>
      <c r="B61" s="285"/>
      <c r="C61" s="282"/>
      <c r="D61" s="283"/>
      <c r="E61" s="56"/>
      <c r="F61" s="44"/>
      <c r="G61" s="44"/>
      <c r="H61" s="44"/>
      <c r="I61" s="44"/>
      <c r="J61" s="44"/>
      <c r="K61" s="284"/>
      <c r="L61" s="44"/>
      <c r="M61" s="44"/>
      <c r="N61" s="44"/>
      <c r="O61" s="44"/>
      <c r="P61" s="44"/>
      <c r="Q61" s="44"/>
      <c r="R61" s="44"/>
      <c r="S61" s="44"/>
      <c r="T61" s="44"/>
      <c r="U61" s="170"/>
      <c r="V61" s="170"/>
      <c r="W61" s="44"/>
      <c r="X61" s="44"/>
      <c r="Y61" s="44"/>
      <c r="Z61" s="44"/>
      <c r="AA61" s="170"/>
      <c r="AB61" s="170"/>
      <c r="AC61" s="44"/>
      <c r="AD61" s="44"/>
      <c r="AE61" s="44"/>
      <c r="AF61" s="44"/>
      <c r="AG61" s="44"/>
      <c r="AH61" s="44"/>
      <c r="AI61" s="44"/>
      <c r="AJ61" s="51"/>
    </row>
    <row r="62" spans="1:36" ht="13.8">
      <c r="A62" s="44"/>
      <c r="B62" s="285"/>
      <c r="C62" s="282"/>
      <c r="D62" s="283"/>
      <c r="E62" s="56"/>
      <c r="F62" s="44"/>
      <c r="G62" s="44"/>
      <c r="H62" s="44"/>
      <c r="I62" s="44"/>
      <c r="J62" s="44"/>
      <c r="K62" s="284"/>
      <c r="L62" s="44"/>
      <c r="M62" s="44"/>
      <c r="N62" s="44"/>
      <c r="O62" s="44"/>
      <c r="P62" s="44"/>
      <c r="Q62" s="44"/>
      <c r="R62" s="44"/>
      <c r="S62" s="44"/>
      <c r="T62" s="44"/>
      <c r="U62" s="170"/>
      <c r="V62" s="170"/>
      <c r="W62" s="44"/>
      <c r="X62" s="44"/>
      <c r="Y62" s="44"/>
      <c r="Z62" s="44"/>
      <c r="AA62" s="170"/>
      <c r="AB62" s="170"/>
      <c r="AC62" s="44"/>
      <c r="AD62" s="44"/>
      <c r="AE62" s="44"/>
      <c r="AF62" s="44"/>
      <c r="AG62" s="44"/>
      <c r="AH62" s="44"/>
      <c r="AI62" s="44"/>
      <c r="AJ62" s="51"/>
    </row>
    <row r="63" spans="1:36" ht="13.8">
      <c r="A63" s="44"/>
      <c r="B63" s="285"/>
      <c r="C63" s="282"/>
      <c r="D63" s="283"/>
      <c r="E63" s="56"/>
      <c r="F63" s="44"/>
      <c r="G63" s="44"/>
      <c r="H63" s="44"/>
      <c r="I63" s="44"/>
      <c r="J63" s="44"/>
      <c r="K63" s="284"/>
      <c r="L63" s="44"/>
      <c r="M63" s="44"/>
      <c r="N63" s="44"/>
      <c r="O63" s="44"/>
      <c r="P63" s="44"/>
      <c r="Q63" s="44"/>
      <c r="R63" s="44"/>
      <c r="S63" s="44"/>
      <c r="T63" s="44"/>
      <c r="U63" s="170"/>
      <c r="V63" s="170"/>
      <c r="W63" s="44"/>
      <c r="X63" s="44"/>
      <c r="Y63" s="44"/>
      <c r="Z63" s="44"/>
      <c r="AA63" s="170"/>
      <c r="AB63" s="170"/>
      <c r="AC63" s="44"/>
      <c r="AD63" s="44"/>
      <c r="AE63" s="44"/>
      <c r="AF63" s="44"/>
      <c r="AG63" s="44"/>
      <c r="AH63" s="44"/>
      <c r="AI63" s="44"/>
      <c r="AJ63" s="51"/>
    </row>
    <row r="64" spans="1:36" ht="13.8">
      <c r="A64" s="44"/>
      <c r="B64" s="285"/>
      <c r="C64" s="282"/>
      <c r="D64" s="283"/>
      <c r="E64" s="56"/>
      <c r="F64" s="44"/>
      <c r="G64" s="44"/>
      <c r="H64" s="44"/>
      <c r="I64" s="44"/>
      <c r="J64" s="44"/>
      <c r="K64" s="284"/>
      <c r="L64" s="44"/>
      <c r="M64" s="44"/>
      <c r="N64" s="44"/>
      <c r="O64" s="44"/>
      <c r="P64" s="44"/>
      <c r="Q64" s="44"/>
      <c r="R64" s="44"/>
      <c r="S64" s="44"/>
      <c r="T64" s="44"/>
      <c r="U64" s="170"/>
      <c r="V64" s="170"/>
      <c r="W64" s="44"/>
      <c r="X64" s="44"/>
      <c r="Y64" s="44"/>
      <c r="Z64" s="44"/>
      <c r="AA64" s="170"/>
      <c r="AB64" s="170"/>
      <c r="AC64" s="44"/>
      <c r="AD64" s="44"/>
      <c r="AE64" s="44"/>
      <c r="AF64" s="44"/>
      <c r="AG64" s="44"/>
      <c r="AH64" s="44"/>
      <c r="AI64" s="44"/>
      <c r="AJ64" s="51"/>
    </row>
    <row r="65" spans="3:28" ht="13.2">
      <c r="C65" s="286"/>
      <c r="D65" s="287"/>
      <c r="E65" s="288"/>
      <c r="K65" s="289"/>
      <c r="U65" s="198"/>
      <c r="V65" s="198"/>
      <c r="AA65" s="198"/>
      <c r="AB65" s="198"/>
    </row>
    <row r="66" spans="3:28" ht="13.2">
      <c r="C66" s="286"/>
      <c r="D66" s="287"/>
      <c r="E66" s="288"/>
      <c r="K66" s="289"/>
      <c r="U66" s="198"/>
      <c r="V66" s="198"/>
      <c r="AA66" s="198"/>
      <c r="AB66" s="198"/>
    </row>
    <row r="67" spans="3:28" ht="13.2">
      <c r="C67" s="286"/>
      <c r="D67" s="287"/>
      <c r="E67" s="288"/>
      <c r="K67" s="289"/>
      <c r="U67" s="198"/>
      <c r="V67" s="198"/>
      <c r="AA67" s="198"/>
      <c r="AB67" s="198"/>
    </row>
    <row r="68" spans="3:28" ht="13.2">
      <c r="C68" s="286"/>
      <c r="D68" s="287"/>
      <c r="E68" s="288"/>
      <c r="K68" s="289"/>
      <c r="U68" s="198"/>
      <c r="V68" s="198"/>
      <c r="AA68" s="198"/>
      <c r="AB68" s="198"/>
    </row>
    <row r="69" spans="3:28" ht="13.2">
      <c r="C69" s="286"/>
      <c r="D69" s="287"/>
      <c r="E69" s="288"/>
      <c r="K69" s="289"/>
      <c r="U69" s="198"/>
      <c r="V69" s="198"/>
      <c r="AA69" s="198"/>
      <c r="AB69" s="198"/>
    </row>
    <row r="70" spans="3:28" ht="13.2">
      <c r="C70" s="286"/>
      <c r="D70" s="287"/>
      <c r="E70" s="288"/>
      <c r="K70" s="289"/>
      <c r="U70" s="198"/>
      <c r="V70" s="198"/>
      <c r="AA70" s="198"/>
      <c r="AB70" s="198"/>
    </row>
    <row r="71" spans="3:28" ht="13.2">
      <c r="C71" s="286"/>
      <c r="D71" s="287"/>
      <c r="E71" s="288"/>
      <c r="K71" s="289"/>
      <c r="U71" s="198"/>
      <c r="V71" s="198"/>
      <c r="AA71" s="198"/>
      <c r="AB71" s="198"/>
    </row>
    <row r="72" spans="3:28" ht="13.2">
      <c r="C72" s="286"/>
      <c r="D72" s="287"/>
      <c r="E72" s="288"/>
      <c r="K72" s="289"/>
      <c r="U72" s="198"/>
      <c r="V72" s="198"/>
      <c r="AA72" s="198"/>
      <c r="AB72" s="198"/>
    </row>
    <row r="73" spans="3:28" ht="13.2">
      <c r="C73" s="286"/>
      <c r="D73" s="287"/>
      <c r="E73" s="288"/>
      <c r="K73" s="289"/>
      <c r="U73" s="198"/>
      <c r="V73" s="198"/>
      <c r="AA73" s="198"/>
      <c r="AB73" s="198"/>
    </row>
    <row r="74" spans="3:28" ht="13.2">
      <c r="C74" s="286"/>
      <c r="D74" s="287"/>
      <c r="E74" s="288"/>
      <c r="K74" s="289"/>
      <c r="U74" s="198"/>
      <c r="V74" s="198"/>
      <c r="AA74" s="198"/>
      <c r="AB74" s="198"/>
    </row>
    <row r="75" spans="3:28" ht="13.2">
      <c r="C75" s="286"/>
      <c r="D75" s="287"/>
      <c r="E75" s="288"/>
      <c r="K75" s="289"/>
      <c r="U75" s="198"/>
      <c r="V75" s="198"/>
      <c r="AA75" s="198"/>
      <c r="AB75" s="198"/>
    </row>
    <row r="76" spans="3:28" ht="13.2">
      <c r="C76" s="286"/>
      <c r="D76" s="287"/>
      <c r="E76" s="288"/>
      <c r="K76" s="289"/>
      <c r="U76" s="198"/>
      <c r="V76" s="198"/>
      <c r="AA76" s="198"/>
      <c r="AB76" s="198"/>
    </row>
    <row r="77" spans="3:28" ht="13.2">
      <c r="C77" s="286"/>
      <c r="D77" s="287"/>
      <c r="E77" s="288"/>
      <c r="K77" s="289"/>
      <c r="U77" s="198"/>
      <c r="V77" s="198"/>
      <c r="AA77" s="198"/>
      <c r="AB77" s="198"/>
    </row>
    <row r="78" spans="3:28" ht="13.2">
      <c r="C78" s="286"/>
      <c r="D78" s="287"/>
      <c r="E78" s="288"/>
      <c r="K78" s="289"/>
      <c r="U78" s="198"/>
      <c r="V78" s="198"/>
      <c r="AA78" s="198"/>
      <c r="AB78" s="198"/>
    </row>
    <row r="79" spans="3:28" ht="13.2">
      <c r="C79" s="286"/>
      <c r="D79" s="287"/>
      <c r="E79" s="288"/>
      <c r="K79" s="289"/>
      <c r="U79" s="198"/>
      <c r="V79" s="198"/>
      <c r="AA79" s="198"/>
      <c r="AB79" s="198"/>
    </row>
    <row r="80" spans="3:28" ht="13.2">
      <c r="C80" s="286"/>
      <c r="D80" s="287"/>
      <c r="E80" s="288"/>
      <c r="K80" s="289"/>
      <c r="U80" s="198"/>
      <c r="V80" s="198"/>
      <c r="AA80" s="198"/>
      <c r="AB80" s="198"/>
    </row>
    <row r="81" spans="3:28" ht="13.2">
      <c r="C81" s="286"/>
      <c r="D81" s="287"/>
      <c r="E81" s="288"/>
      <c r="K81" s="289"/>
      <c r="U81" s="198"/>
      <c r="V81" s="198"/>
      <c r="AA81" s="198"/>
      <c r="AB81" s="198"/>
    </row>
    <row r="82" spans="3:28" ht="13.2">
      <c r="C82" s="286"/>
      <c r="D82" s="287"/>
      <c r="E82" s="288"/>
      <c r="K82" s="289"/>
      <c r="U82" s="198"/>
      <c r="V82" s="198"/>
      <c r="AA82" s="198"/>
      <c r="AB82" s="198"/>
    </row>
    <row r="83" spans="3:28" ht="13.2">
      <c r="C83" s="286"/>
      <c r="D83" s="287"/>
      <c r="E83" s="288"/>
      <c r="K83" s="289"/>
      <c r="U83" s="198"/>
      <c r="V83" s="198"/>
      <c r="AA83" s="198"/>
      <c r="AB83" s="198"/>
    </row>
    <row r="84" spans="3:28" ht="13.2">
      <c r="C84" s="286"/>
      <c r="D84" s="287"/>
      <c r="E84" s="288"/>
      <c r="K84" s="289"/>
      <c r="U84" s="198"/>
      <c r="V84" s="198"/>
      <c r="AA84" s="198"/>
      <c r="AB84" s="198"/>
    </row>
    <row r="85" spans="3:28" ht="13.2">
      <c r="C85" s="286"/>
      <c r="D85" s="287"/>
      <c r="E85" s="288"/>
      <c r="K85" s="289"/>
      <c r="U85" s="198"/>
      <c r="V85" s="198"/>
      <c r="AA85" s="198"/>
      <c r="AB85" s="198"/>
    </row>
    <row r="86" spans="3:28" ht="13.2">
      <c r="C86" s="286"/>
      <c r="D86" s="287"/>
      <c r="E86" s="288"/>
      <c r="K86" s="289"/>
      <c r="U86" s="198"/>
      <c r="V86" s="198"/>
      <c r="AA86" s="198"/>
      <c r="AB86" s="198"/>
    </row>
    <row r="87" spans="3:28" ht="13.2">
      <c r="C87" s="286"/>
      <c r="D87" s="287"/>
      <c r="E87" s="288"/>
      <c r="K87" s="289"/>
      <c r="U87" s="198"/>
      <c r="V87" s="198"/>
      <c r="AA87" s="198"/>
      <c r="AB87" s="198"/>
    </row>
    <row r="88" spans="3:28" ht="13.2">
      <c r="C88" s="286"/>
      <c r="D88" s="287"/>
      <c r="E88" s="288"/>
      <c r="K88" s="289"/>
      <c r="U88" s="198"/>
      <c r="V88" s="198"/>
      <c r="AA88" s="198"/>
      <c r="AB88" s="198"/>
    </row>
    <row r="89" spans="3:28" ht="13.2">
      <c r="C89" s="286"/>
      <c r="D89" s="287"/>
      <c r="E89" s="288"/>
      <c r="K89" s="289"/>
      <c r="U89" s="198"/>
      <c r="V89" s="198"/>
      <c r="AA89" s="198"/>
      <c r="AB89" s="198"/>
    </row>
    <row r="90" spans="3:28" ht="13.2">
      <c r="C90" s="286"/>
      <c r="D90" s="287"/>
      <c r="E90" s="288"/>
      <c r="K90" s="289"/>
      <c r="U90" s="198"/>
      <c r="V90" s="198"/>
      <c r="AA90" s="198"/>
      <c r="AB90" s="198"/>
    </row>
    <row r="91" spans="3:28" ht="13.2">
      <c r="C91" s="286"/>
      <c r="D91" s="287"/>
      <c r="E91" s="288"/>
      <c r="K91" s="289"/>
      <c r="U91" s="198"/>
      <c r="V91" s="198"/>
      <c r="AA91" s="198"/>
      <c r="AB91" s="198"/>
    </row>
    <row r="92" spans="3:28" ht="13.2">
      <c r="C92" s="286"/>
      <c r="D92" s="287"/>
      <c r="E92" s="288"/>
      <c r="K92" s="289"/>
      <c r="U92" s="198"/>
      <c r="V92" s="198"/>
      <c r="AA92" s="198"/>
      <c r="AB92" s="198"/>
    </row>
    <row r="93" spans="3:28" ht="13.2">
      <c r="C93" s="286"/>
      <c r="D93" s="287"/>
      <c r="E93" s="288"/>
      <c r="K93" s="289"/>
      <c r="U93" s="198"/>
      <c r="V93" s="198"/>
      <c r="AA93" s="198"/>
      <c r="AB93" s="198"/>
    </row>
    <row r="94" spans="3:28" ht="13.2">
      <c r="C94" s="286"/>
      <c r="D94" s="287"/>
      <c r="E94" s="288"/>
      <c r="K94" s="289"/>
      <c r="U94" s="198"/>
      <c r="V94" s="198"/>
      <c r="AA94" s="198"/>
      <c r="AB94" s="198"/>
    </row>
    <row r="95" spans="3:28" ht="13.2">
      <c r="C95" s="286"/>
      <c r="D95" s="287"/>
      <c r="E95" s="288"/>
      <c r="K95" s="289"/>
      <c r="U95" s="198"/>
      <c r="V95" s="198"/>
      <c r="AA95" s="198"/>
      <c r="AB95" s="198"/>
    </row>
    <row r="96" spans="3:28" ht="13.2">
      <c r="C96" s="286"/>
      <c r="D96" s="287"/>
      <c r="E96" s="288"/>
      <c r="K96" s="289"/>
      <c r="U96" s="198"/>
      <c r="V96" s="198"/>
      <c r="AA96" s="198"/>
      <c r="AB96" s="198"/>
    </row>
    <row r="97" spans="3:28" ht="13.2">
      <c r="C97" s="286"/>
      <c r="D97" s="287"/>
      <c r="E97" s="288"/>
      <c r="K97" s="289"/>
      <c r="U97" s="198"/>
      <c r="V97" s="198"/>
      <c r="AA97" s="198"/>
      <c r="AB97" s="198"/>
    </row>
    <row r="98" spans="3:28" ht="13.2">
      <c r="C98" s="286"/>
      <c r="D98" s="287"/>
      <c r="E98" s="288"/>
      <c r="K98" s="289"/>
      <c r="U98" s="198"/>
      <c r="V98" s="198"/>
      <c r="AA98" s="198"/>
      <c r="AB98" s="198"/>
    </row>
    <row r="99" spans="3:28" ht="13.2">
      <c r="C99" s="286"/>
      <c r="D99" s="287"/>
      <c r="E99" s="288"/>
      <c r="K99" s="289"/>
      <c r="U99" s="198"/>
      <c r="V99" s="198"/>
      <c r="AA99" s="198"/>
      <c r="AB99" s="198"/>
    </row>
    <row r="100" spans="3:28" ht="13.2">
      <c r="C100" s="286"/>
      <c r="D100" s="287"/>
      <c r="E100" s="288"/>
      <c r="K100" s="289"/>
      <c r="U100" s="198"/>
      <c r="V100" s="198"/>
      <c r="AA100" s="198"/>
      <c r="AB100" s="198"/>
    </row>
    <row r="101" spans="3:28" ht="13.2">
      <c r="C101" s="286"/>
      <c r="D101" s="287"/>
      <c r="E101" s="288"/>
      <c r="K101" s="289"/>
      <c r="U101" s="198"/>
      <c r="V101" s="198"/>
      <c r="AA101" s="198"/>
      <c r="AB101" s="198"/>
    </row>
    <row r="102" spans="3:28" ht="13.2">
      <c r="C102" s="286"/>
      <c r="D102" s="287"/>
      <c r="E102" s="288"/>
      <c r="K102" s="289"/>
      <c r="U102" s="198"/>
      <c r="V102" s="198"/>
      <c r="AA102" s="198"/>
      <c r="AB102" s="198"/>
    </row>
    <row r="103" spans="3:28" ht="13.2">
      <c r="C103" s="286"/>
      <c r="D103" s="287"/>
      <c r="E103" s="288"/>
      <c r="K103" s="289"/>
      <c r="U103" s="198"/>
      <c r="V103" s="198"/>
      <c r="AA103" s="198"/>
      <c r="AB103" s="198"/>
    </row>
    <row r="104" spans="3:28" ht="13.2">
      <c r="C104" s="286"/>
      <c r="D104" s="287"/>
      <c r="E104" s="288"/>
      <c r="K104" s="289"/>
      <c r="U104" s="198"/>
      <c r="V104" s="198"/>
      <c r="AA104" s="198"/>
      <c r="AB104" s="198"/>
    </row>
    <row r="105" spans="3:28" ht="13.2">
      <c r="C105" s="286"/>
      <c r="D105" s="287"/>
      <c r="E105" s="288"/>
      <c r="K105" s="289"/>
      <c r="U105" s="198"/>
      <c r="V105" s="198"/>
      <c r="AA105" s="198"/>
      <c r="AB105" s="198"/>
    </row>
    <row r="106" spans="3:28" ht="13.2">
      <c r="C106" s="286"/>
      <c r="D106" s="287"/>
      <c r="E106" s="288"/>
      <c r="K106" s="289"/>
      <c r="U106" s="198"/>
      <c r="V106" s="198"/>
      <c r="AA106" s="198"/>
      <c r="AB106" s="198"/>
    </row>
    <row r="107" spans="3:28" ht="13.2">
      <c r="C107" s="286"/>
      <c r="D107" s="287"/>
      <c r="E107" s="288"/>
      <c r="K107" s="289"/>
      <c r="U107" s="198"/>
      <c r="V107" s="198"/>
      <c r="AA107" s="198"/>
      <c r="AB107" s="198"/>
    </row>
    <row r="108" spans="3:28" ht="13.2">
      <c r="C108" s="286"/>
      <c r="D108" s="287"/>
      <c r="E108" s="288"/>
      <c r="K108" s="289"/>
      <c r="U108" s="198"/>
      <c r="V108" s="198"/>
      <c r="AA108" s="198"/>
      <c r="AB108" s="198"/>
    </row>
    <row r="109" spans="3:28" ht="13.2">
      <c r="C109" s="286"/>
      <c r="D109" s="287"/>
      <c r="E109" s="288"/>
      <c r="K109" s="289"/>
      <c r="U109" s="198"/>
      <c r="V109" s="198"/>
      <c r="AA109" s="198"/>
      <c r="AB109" s="198"/>
    </row>
    <row r="110" spans="3:28" ht="13.2">
      <c r="C110" s="286"/>
      <c r="D110" s="287"/>
      <c r="E110" s="288"/>
      <c r="K110" s="289"/>
      <c r="U110" s="198"/>
      <c r="V110" s="198"/>
      <c r="AA110" s="198"/>
      <c r="AB110" s="198"/>
    </row>
    <row r="111" spans="3:28" ht="13.2">
      <c r="C111" s="286"/>
      <c r="D111" s="287"/>
      <c r="E111" s="288"/>
      <c r="K111" s="289"/>
      <c r="U111" s="198"/>
      <c r="V111" s="198"/>
      <c r="AA111" s="198"/>
      <c r="AB111" s="198"/>
    </row>
    <row r="112" spans="3:28" ht="13.2">
      <c r="C112" s="286"/>
      <c r="D112" s="287"/>
      <c r="E112" s="288"/>
      <c r="K112" s="289"/>
      <c r="U112" s="198"/>
      <c r="V112" s="198"/>
      <c r="AA112" s="198"/>
      <c r="AB112" s="198"/>
    </row>
    <row r="113" spans="3:28" ht="13.2">
      <c r="C113" s="286"/>
      <c r="D113" s="287"/>
      <c r="E113" s="288"/>
      <c r="K113" s="289"/>
      <c r="U113" s="198"/>
      <c r="V113" s="198"/>
      <c r="AA113" s="198"/>
      <c r="AB113" s="198"/>
    </row>
    <row r="114" spans="3:28" ht="13.2">
      <c r="C114" s="286"/>
      <c r="D114" s="287"/>
      <c r="E114" s="288"/>
      <c r="K114" s="289"/>
      <c r="U114" s="198"/>
      <c r="V114" s="198"/>
      <c r="AA114" s="198"/>
      <c r="AB114" s="198"/>
    </row>
    <row r="115" spans="3:28" ht="13.2">
      <c r="C115" s="286"/>
      <c r="D115" s="287"/>
      <c r="E115" s="288"/>
      <c r="K115" s="289"/>
      <c r="U115" s="198"/>
      <c r="V115" s="198"/>
      <c r="AA115" s="198"/>
      <c r="AB115" s="198"/>
    </row>
    <row r="116" spans="3:28" ht="13.2">
      <c r="C116" s="286"/>
      <c r="D116" s="287"/>
      <c r="E116" s="288"/>
      <c r="K116" s="289"/>
      <c r="U116" s="198"/>
      <c r="V116" s="198"/>
      <c r="AA116" s="198"/>
      <c r="AB116" s="198"/>
    </row>
    <row r="117" spans="3:28" ht="13.2">
      <c r="C117" s="286"/>
      <c r="D117" s="287"/>
      <c r="E117" s="288"/>
      <c r="K117" s="289"/>
      <c r="U117" s="198"/>
      <c r="V117" s="198"/>
      <c r="AA117" s="198"/>
      <c r="AB117" s="198"/>
    </row>
    <row r="118" spans="3:28" ht="13.2">
      <c r="C118" s="286"/>
      <c r="D118" s="287"/>
      <c r="E118" s="288"/>
      <c r="K118" s="289"/>
      <c r="U118" s="198"/>
      <c r="V118" s="198"/>
      <c r="AA118" s="198"/>
      <c r="AB118" s="198"/>
    </row>
    <row r="119" spans="3:28" ht="13.2">
      <c r="C119" s="286"/>
      <c r="D119" s="287"/>
      <c r="E119" s="288"/>
      <c r="K119" s="289"/>
      <c r="U119" s="198"/>
      <c r="V119" s="198"/>
      <c r="AA119" s="198"/>
      <c r="AB119" s="198"/>
    </row>
    <row r="120" spans="3:28" ht="13.2">
      <c r="C120" s="286"/>
      <c r="D120" s="287"/>
      <c r="E120" s="288"/>
      <c r="K120" s="289"/>
      <c r="U120" s="198"/>
      <c r="V120" s="198"/>
      <c r="AA120" s="198"/>
      <c r="AB120" s="198"/>
    </row>
    <row r="121" spans="3:28" ht="13.2">
      <c r="C121" s="286"/>
      <c r="D121" s="287"/>
      <c r="E121" s="288"/>
      <c r="K121" s="289"/>
      <c r="U121" s="198"/>
      <c r="V121" s="198"/>
      <c r="AA121" s="198"/>
      <c r="AB121" s="198"/>
    </row>
    <row r="122" spans="3:28" ht="13.2">
      <c r="C122" s="286"/>
      <c r="D122" s="287"/>
      <c r="E122" s="288"/>
      <c r="K122" s="289"/>
      <c r="U122" s="198"/>
      <c r="V122" s="198"/>
      <c r="AA122" s="198"/>
      <c r="AB122" s="198"/>
    </row>
    <row r="123" spans="3:28" ht="13.2">
      <c r="C123" s="286"/>
      <c r="D123" s="287"/>
      <c r="E123" s="288"/>
      <c r="K123" s="289"/>
      <c r="U123" s="198"/>
      <c r="V123" s="198"/>
      <c r="AA123" s="198"/>
      <c r="AB123" s="198"/>
    </row>
    <row r="124" spans="3:28" ht="13.2">
      <c r="C124" s="286"/>
      <c r="D124" s="287"/>
      <c r="E124" s="288"/>
      <c r="K124" s="289"/>
      <c r="U124" s="198"/>
      <c r="V124" s="198"/>
      <c r="AA124" s="198"/>
      <c r="AB124" s="198"/>
    </row>
    <row r="125" spans="3:28" ht="13.2">
      <c r="C125" s="286"/>
      <c r="D125" s="287"/>
      <c r="E125" s="288"/>
      <c r="K125" s="289"/>
      <c r="U125" s="198"/>
      <c r="V125" s="198"/>
      <c r="AA125" s="198"/>
      <c r="AB125" s="198"/>
    </row>
    <row r="126" spans="3:28" ht="13.2">
      <c r="C126" s="286"/>
      <c r="D126" s="287"/>
      <c r="E126" s="288"/>
      <c r="K126" s="289"/>
      <c r="U126" s="198"/>
      <c r="V126" s="198"/>
      <c r="AA126" s="198"/>
      <c r="AB126" s="198"/>
    </row>
    <row r="127" spans="3:28" ht="13.2">
      <c r="C127" s="286"/>
      <c r="D127" s="287"/>
      <c r="E127" s="288"/>
      <c r="K127" s="289"/>
      <c r="U127" s="198"/>
      <c r="V127" s="198"/>
      <c r="AA127" s="198"/>
      <c r="AB127" s="198"/>
    </row>
    <row r="128" spans="3:28" ht="13.2">
      <c r="C128" s="286"/>
      <c r="D128" s="287"/>
      <c r="E128" s="288"/>
      <c r="K128" s="289"/>
      <c r="U128" s="198"/>
      <c r="V128" s="198"/>
      <c r="AA128" s="198"/>
      <c r="AB128" s="198"/>
    </row>
    <row r="129" spans="3:28" ht="13.2">
      <c r="C129" s="286"/>
      <c r="D129" s="287"/>
      <c r="E129" s="288"/>
      <c r="K129" s="289"/>
      <c r="U129" s="198"/>
      <c r="V129" s="198"/>
      <c r="AA129" s="198"/>
      <c r="AB129" s="198"/>
    </row>
    <row r="130" spans="3:28" ht="13.2">
      <c r="C130" s="286"/>
      <c r="D130" s="287"/>
      <c r="E130" s="288"/>
      <c r="K130" s="289"/>
      <c r="U130" s="198"/>
      <c r="V130" s="198"/>
      <c r="AA130" s="198"/>
      <c r="AB130" s="198"/>
    </row>
    <row r="131" spans="3:28" ht="13.2">
      <c r="C131" s="286"/>
      <c r="D131" s="287"/>
      <c r="E131" s="288"/>
      <c r="K131" s="289"/>
      <c r="U131" s="198"/>
      <c r="V131" s="198"/>
      <c r="AA131" s="198"/>
      <c r="AB131" s="198"/>
    </row>
    <row r="132" spans="3:28" ht="13.2">
      <c r="C132" s="286"/>
      <c r="D132" s="287"/>
      <c r="E132" s="288"/>
      <c r="K132" s="289"/>
      <c r="U132" s="198"/>
      <c r="V132" s="198"/>
      <c r="AA132" s="198"/>
      <c r="AB132" s="198"/>
    </row>
    <row r="133" spans="3:28" ht="13.2">
      <c r="C133" s="286"/>
      <c r="D133" s="287"/>
      <c r="E133" s="288"/>
      <c r="K133" s="289"/>
      <c r="U133" s="198"/>
      <c r="V133" s="198"/>
      <c r="AA133" s="198"/>
      <c r="AB133" s="198"/>
    </row>
    <row r="134" spans="3:28" ht="13.2">
      <c r="C134" s="286"/>
      <c r="D134" s="287"/>
      <c r="E134" s="288"/>
      <c r="K134" s="289"/>
      <c r="U134" s="198"/>
      <c r="V134" s="198"/>
      <c r="AA134" s="198"/>
      <c r="AB134" s="198"/>
    </row>
    <row r="135" spans="3:28" ht="13.2">
      <c r="C135" s="286"/>
      <c r="D135" s="287"/>
      <c r="E135" s="288"/>
      <c r="K135" s="289"/>
      <c r="U135" s="198"/>
      <c r="V135" s="198"/>
      <c r="AA135" s="198"/>
      <c r="AB135" s="198"/>
    </row>
    <row r="136" spans="3:28" ht="13.2">
      <c r="C136" s="286"/>
      <c r="D136" s="287"/>
      <c r="E136" s="288"/>
      <c r="K136" s="289"/>
      <c r="U136" s="198"/>
      <c r="V136" s="198"/>
      <c r="AA136" s="198"/>
      <c r="AB136" s="198"/>
    </row>
    <row r="137" spans="3:28" ht="13.2">
      <c r="C137" s="286"/>
      <c r="D137" s="287"/>
      <c r="E137" s="288"/>
      <c r="K137" s="289"/>
      <c r="U137" s="198"/>
      <c r="V137" s="198"/>
      <c r="AA137" s="198"/>
      <c r="AB137" s="198"/>
    </row>
    <row r="138" spans="3:28" ht="13.2">
      <c r="C138" s="286"/>
      <c r="D138" s="287"/>
      <c r="E138" s="288"/>
      <c r="K138" s="289"/>
      <c r="U138" s="198"/>
      <c r="V138" s="198"/>
      <c r="AA138" s="198"/>
      <c r="AB138" s="198"/>
    </row>
    <row r="139" spans="3:28" ht="13.2">
      <c r="C139" s="286"/>
      <c r="D139" s="287"/>
      <c r="E139" s="288"/>
      <c r="K139" s="289"/>
      <c r="U139" s="198"/>
      <c r="V139" s="198"/>
      <c r="AA139" s="198"/>
      <c r="AB139" s="198"/>
    </row>
    <row r="140" spans="3:28" ht="13.2">
      <c r="C140" s="286"/>
      <c r="D140" s="287"/>
      <c r="E140" s="288"/>
      <c r="K140" s="289"/>
      <c r="U140" s="198"/>
      <c r="V140" s="198"/>
      <c r="AA140" s="198"/>
      <c r="AB140" s="198"/>
    </row>
    <row r="141" spans="3:28" ht="13.2">
      <c r="C141" s="286"/>
      <c r="D141" s="287"/>
      <c r="E141" s="288"/>
      <c r="K141" s="289"/>
      <c r="U141" s="198"/>
      <c r="V141" s="198"/>
      <c r="AA141" s="198"/>
      <c r="AB141" s="198"/>
    </row>
    <row r="142" spans="3:28" ht="13.2">
      <c r="C142" s="286"/>
      <c r="D142" s="287"/>
      <c r="E142" s="288"/>
      <c r="K142" s="289"/>
      <c r="U142" s="198"/>
      <c r="V142" s="198"/>
      <c r="AA142" s="198"/>
      <c r="AB142" s="198"/>
    </row>
    <row r="143" spans="3:28" ht="13.2">
      <c r="C143" s="286"/>
      <c r="D143" s="287"/>
      <c r="E143" s="288"/>
      <c r="K143" s="289"/>
      <c r="U143" s="198"/>
      <c r="V143" s="198"/>
      <c r="AA143" s="198"/>
      <c r="AB143" s="198"/>
    </row>
    <row r="144" spans="3:28" ht="13.2">
      <c r="C144" s="286"/>
      <c r="D144" s="287"/>
      <c r="E144" s="288"/>
      <c r="K144" s="289"/>
      <c r="U144" s="198"/>
      <c r="V144" s="198"/>
      <c r="AA144" s="198"/>
      <c r="AB144" s="198"/>
    </row>
    <row r="145" spans="3:28" ht="13.2">
      <c r="C145" s="286"/>
      <c r="D145" s="287"/>
      <c r="E145" s="288"/>
      <c r="K145" s="289"/>
      <c r="U145" s="198"/>
      <c r="V145" s="198"/>
      <c r="AA145" s="198"/>
      <c r="AB145" s="198"/>
    </row>
    <row r="146" spans="3:28" ht="13.2">
      <c r="C146" s="286"/>
      <c r="D146" s="287"/>
      <c r="E146" s="288"/>
      <c r="K146" s="289"/>
      <c r="U146" s="198"/>
      <c r="V146" s="198"/>
      <c r="AA146" s="198"/>
      <c r="AB146" s="198"/>
    </row>
    <row r="147" spans="3:28" ht="13.2">
      <c r="C147" s="286"/>
      <c r="D147" s="287"/>
      <c r="E147" s="288"/>
      <c r="K147" s="289"/>
      <c r="U147" s="198"/>
      <c r="V147" s="198"/>
      <c r="AA147" s="198"/>
      <c r="AB147" s="198"/>
    </row>
    <row r="148" spans="3:28" ht="13.2">
      <c r="C148" s="286"/>
      <c r="D148" s="287"/>
      <c r="E148" s="288"/>
      <c r="K148" s="289"/>
      <c r="U148" s="198"/>
      <c r="V148" s="198"/>
      <c r="AA148" s="198"/>
      <c r="AB148" s="198"/>
    </row>
    <row r="149" spans="3:28" ht="13.2">
      <c r="C149" s="286"/>
      <c r="D149" s="287"/>
      <c r="E149" s="288"/>
      <c r="K149" s="289"/>
      <c r="U149" s="198"/>
      <c r="V149" s="198"/>
      <c r="AA149" s="198"/>
      <c r="AB149" s="198"/>
    </row>
    <row r="150" spans="3:28" ht="13.2">
      <c r="C150" s="286"/>
      <c r="D150" s="287"/>
      <c r="E150" s="288"/>
      <c r="K150" s="289"/>
      <c r="U150" s="198"/>
      <c r="V150" s="198"/>
      <c r="AA150" s="198"/>
      <c r="AB150" s="198"/>
    </row>
    <row r="151" spans="3:28" ht="13.2">
      <c r="C151" s="286"/>
      <c r="D151" s="287"/>
      <c r="E151" s="288"/>
      <c r="K151" s="289"/>
      <c r="U151" s="198"/>
      <c r="V151" s="198"/>
      <c r="AA151" s="198"/>
      <c r="AB151" s="198"/>
    </row>
    <row r="152" spans="3:28" ht="13.2">
      <c r="C152" s="286"/>
      <c r="D152" s="287"/>
      <c r="E152" s="288"/>
      <c r="K152" s="289"/>
      <c r="U152" s="198"/>
      <c r="V152" s="198"/>
      <c r="AA152" s="198"/>
      <c r="AB152" s="198"/>
    </row>
    <row r="153" spans="3:28" ht="13.2">
      <c r="C153" s="286"/>
      <c r="D153" s="287"/>
      <c r="E153" s="288"/>
      <c r="K153" s="289"/>
      <c r="U153" s="198"/>
      <c r="V153" s="198"/>
      <c r="AA153" s="198"/>
      <c r="AB153" s="198"/>
    </row>
    <row r="154" spans="3:28" ht="13.2">
      <c r="C154" s="286"/>
      <c r="D154" s="287"/>
      <c r="E154" s="288"/>
      <c r="K154" s="289"/>
      <c r="U154" s="198"/>
      <c r="V154" s="198"/>
      <c r="AA154" s="198"/>
      <c r="AB154" s="198"/>
    </row>
    <row r="155" spans="3:28" ht="13.2">
      <c r="C155" s="286"/>
      <c r="D155" s="287"/>
      <c r="E155" s="288"/>
      <c r="K155" s="289"/>
      <c r="U155" s="198"/>
      <c r="V155" s="198"/>
      <c r="AA155" s="198"/>
      <c r="AB155" s="198"/>
    </row>
    <row r="156" spans="3:28" ht="13.2">
      <c r="C156" s="286"/>
      <c r="D156" s="287"/>
      <c r="E156" s="288"/>
      <c r="K156" s="289"/>
      <c r="U156" s="198"/>
      <c r="V156" s="198"/>
      <c r="AA156" s="198"/>
      <c r="AB156" s="198"/>
    </row>
    <row r="157" spans="3:28" ht="13.2">
      <c r="C157" s="286"/>
      <c r="D157" s="287"/>
      <c r="E157" s="288"/>
      <c r="K157" s="289"/>
      <c r="U157" s="198"/>
      <c r="V157" s="198"/>
      <c r="AA157" s="198"/>
      <c r="AB157" s="198"/>
    </row>
    <row r="158" spans="3:28" ht="13.2">
      <c r="C158" s="286"/>
      <c r="D158" s="287"/>
      <c r="E158" s="288"/>
      <c r="K158" s="289"/>
      <c r="U158" s="198"/>
      <c r="V158" s="198"/>
      <c r="AA158" s="198"/>
      <c r="AB158" s="198"/>
    </row>
    <row r="159" spans="3:28" ht="13.2">
      <c r="C159" s="286"/>
      <c r="D159" s="287"/>
      <c r="E159" s="288"/>
      <c r="K159" s="289"/>
      <c r="U159" s="198"/>
      <c r="V159" s="198"/>
      <c r="AA159" s="198"/>
      <c r="AB159" s="198"/>
    </row>
    <row r="160" spans="3:28" ht="13.2">
      <c r="C160" s="286"/>
      <c r="D160" s="287"/>
      <c r="E160" s="288"/>
      <c r="K160" s="289"/>
      <c r="U160" s="198"/>
      <c r="V160" s="198"/>
      <c r="AA160" s="198"/>
      <c r="AB160" s="198"/>
    </row>
    <row r="161" spans="3:28" ht="13.2">
      <c r="C161" s="286"/>
      <c r="D161" s="287"/>
      <c r="E161" s="288"/>
      <c r="K161" s="289"/>
      <c r="U161" s="198"/>
      <c r="V161" s="198"/>
      <c r="AA161" s="198"/>
      <c r="AB161" s="198"/>
    </row>
    <row r="162" spans="3:28" ht="13.2">
      <c r="C162" s="286"/>
      <c r="D162" s="287"/>
      <c r="E162" s="288"/>
      <c r="K162" s="289"/>
      <c r="U162" s="198"/>
      <c r="V162" s="198"/>
      <c r="AA162" s="198"/>
      <c r="AB162" s="198"/>
    </row>
    <row r="163" spans="3:28" ht="13.2">
      <c r="C163" s="286"/>
      <c r="D163" s="287"/>
      <c r="E163" s="288"/>
      <c r="K163" s="289"/>
      <c r="U163" s="198"/>
      <c r="V163" s="198"/>
      <c r="AA163" s="198"/>
      <c r="AB163" s="198"/>
    </row>
    <row r="164" spans="3:28" ht="13.2">
      <c r="C164" s="286"/>
      <c r="D164" s="287"/>
      <c r="E164" s="288"/>
      <c r="K164" s="289"/>
      <c r="U164" s="198"/>
      <c r="V164" s="198"/>
      <c r="AA164" s="198"/>
      <c r="AB164" s="198"/>
    </row>
    <row r="165" spans="3:28" ht="13.2">
      <c r="C165" s="286"/>
      <c r="D165" s="287"/>
      <c r="E165" s="288"/>
      <c r="K165" s="289"/>
      <c r="U165" s="198"/>
      <c r="V165" s="198"/>
      <c r="AA165" s="198"/>
      <c r="AB165" s="198"/>
    </row>
    <row r="166" spans="3:28" ht="13.2">
      <c r="C166" s="286"/>
      <c r="D166" s="287"/>
      <c r="E166" s="288"/>
      <c r="K166" s="289"/>
      <c r="U166" s="198"/>
      <c r="V166" s="198"/>
      <c r="AA166" s="198"/>
      <c r="AB166" s="198"/>
    </row>
    <row r="167" spans="3:28" ht="13.2">
      <c r="C167" s="286"/>
      <c r="D167" s="287"/>
      <c r="E167" s="288"/>
      <c r="K167" s="289"/>
      <c r="U167" s="198"/>
      <c r="V167" s="198"/>
      <c r="AA167" s="198"/>
      <c r="AB167" s="198"/>
    </row>
    <row r="168" spans="3:28" ht="13.2">
      <c r="C168" s="286"/>
      <c r="D168" s="287"/>
      <c r="E168" s="288"/>
      <c r="K168" s="289"/>
      <c r="U168" s="198"/>
      <c r="V168" s="198"/>
      <c r="AA168" s="198"/>
      <c r="AB168" s="198"/>
    </row>
    <row r="169" spans="3:28" ht="13.2">
      <c r="C169" s="286"/>
      <c r="D169" s="287"/>
      <c r="E169" s="288"/>
      <c r="K169" s="289"/>
      <c r="U169" s="198"/>
      <c r="V169" s="198"/>
      <c r="AA169" s="198"/>
      <c r="AB169" s="198"/>
    </row>
    <row r="170" spans="3:28" ht="13.2">
      <c r="C170" s="286"/>
      <c r="D170" s="287"/>
      <c r="E170" s="288"/>
      <c r="K170" s="289"/>
      <c r="U170" s="198"/>
      <c r="V170" s="198"/>
      <c r="AA170" s="198"/>
      <c r="AB170" s="198"/>
    </row>
    <row r="171" spans="3:28" ht="13.2">
      <c r="C171" s="286"/>
      <c r="D171" s="287"/>
      <c r="E171" s="288"/>
      <c r="K171" s="289"/>
      <c r="U171" s="198"/>
      <c r="V171" s="198"/>
      <c r="AA171" s="198"/>
      <c r="AB171" s="198"/>
    </row>
    <row r="172" spans="3:28" ht="13.2">
      <c r="C172" s="286"/>
      <c r="D172" s="287"/>
      <c r="E172" s="288"/>
      <c r="K172" s="289"/>
      <c r="U172" s="198"/>
      <c r="V172" s="198"/>
      <c r="AA172" s="198"/>
      <c r="AB172" s="198"/>
    </row>
    <row r="173" spans="3:28" ht="13.2">
      <c r="C173" s="286"/>
      <c r="D173" s="287"/>
      <c r="E173" s="288"/>
      <c r="K173" s="289"/>
      <c r="U173" s="198"/>
      <c r="V173" s="198"/>
      <c r="AA173" s="198"/>
      <c r="AB173" s="198"/>
    </row>
    <row r="174" spans="3:28" ht="13.2">
      <c r="C174" s="286"/>
      <c r="D174" s="287"/>
      <c r="E174" s="288"/>
      <c r="K174" s="289"/>
      <c r="U174" s="198"/>
      <c r="V174" s="198"/>
      <c r="AA174" s="198"/>
      <c r="AB174" s="198"/>
    </row>
    <row r="175" spans="3:28" ht="13.2">
      <c r="C175" s="286"/>
      <c r="D175" s="287"/>
      <c r="E175" s="288"/>
      <c r="K175" s="289"/>
      <c r="U175" s="198"/>
      <c r="V175" s="198"/>
      <c r="AA175" s="198"/>
      <c r="AB175" s="198"/>
    </row>
    <row r="176" spans="3:28" ht="13.2">
      <c r="C176" s="286"/>
      <c r="D176" s="287"/>
      <c r="E176" s="288"/>
      <c r="K176" s="289"/>
      <c r="U176" s="198"/>
      <c r="V176" s="198"/>
      <c r="AA176" s="198"/>
      <c r="AB176" s="198"/>
    </row>
    <row r="177" spans="3:28" ht="13.2">
      <c r="C177" s="286"/>
      <c r="D177" s="287"/>
      <c r="E177" s="288"/>
      <c r="K177" s="289"/>
      <c r="U177" s="198"/>
      <c r="V177" s="198"/>
      <c r="AA177" s="198"/>
      <c r="AB177" s="198"/>
    </row>
    <row r="178" spans="3:28" ht="13.2">
      <c r="C178" s="286"/>
      <c r="D178" s="287"/>
      <c r="E178" s="288"/>
      <c r="K178" s="289"/>
      <c r="U178" s="198"/>
      <c r="V178" s="198"/>
      <c r="AA178" s="198"/>
      <c r="AB178" s="198"/>
    </row>
    <row r="179" spans="3:28" ht="13.2">
      <c r="C179" s="286"/>
      <c r="D179" s="287"/>
      <c r="E179" s="288"/>
      <c r="K179" s="289"/>
      <c r="U179" s="198"/>
      <c r="V179" s="198"/>
      <c r="AA179" s="198"/>
      <c r="AB179" s="198"/>
    </row>
    <row r="180" spans="3:28" ht="13.2">
      <c r="C180" s="286"/>
      <c r="D180" s="287"/>
      <c r="E180" s="288"/>
      <c r="K180" s="289"/>
      <c r="U180" s="198"/>
      <c r="V180" s="198"/>
      <c r="AA180" s="198"/>
      <c r="AB180" s="198"/>
    </row>
    <row r="181" spans="3:28" ht="13.2">
      <c r="C181" s="286"/>
      <c r="D181" s="287"/>
      <c r="E181" s="288"/>
      <c r="K181" s="289"/>
      <c r="U181" s="198"/>
      <c r="V181" s="198"/>
      <c r="AA181" s="198"/>
      <c r="AB181" s="198"/>
    </row>
    <row r="182" spans="3:28" ht="13.2">
      <c r="C182" s="286"/>
      <c r="D182" s="287"/>
      <c r="E182" s="288"/>
      <c r="K182" s="289"/>
      <c r="U182" s="198"/>
      <c r="V182" s="198"/>
      <c r="AA182" s="198"/>
      <c r="AB182" s="198"/>
    </row>
    <row r="183" spans="3:28" ht="13.2">
      <c r="C183" s="286"/>
      <c r="D183" s="287"/>
      <c r="E183" s="288"/>
      <c r="K183" s="289"/>
      <c r="U183" s="198"/>
      <c r="V183" s="198"/>
      <c r="AA183" s="198"/>
      <c r="AB183" s="198"/>
    </row>
    <row r="184" spans="3:28" ht="13.2">
      <c r="C184" s="286"/>
      <c r="D184" s="287"/>
      <c r="E184" s="288"/>
      <c r="K184" s="289"/>
      <c r="U184" s="198"/>
      <c r="V184" s="198"/>
      <c r="AA184" s="198"/>
      <c r="AB184" s="198"/>
    </row>
    <row r="185" spans="3:28" ht="13.2">
      <c r="C185" s="286"/>
      <c r="D185" s="287"/>
      <c r="E185" s="288"/>
      <c r="K185" s="289"/>
      <c r="U185" s="198"/>
      <c r="V185" s="198"/>
      <c r="AA185" s="198"/>
      <c r="AB185" s="198"/>
    </row>
    <row r="186" spans="3:28" ht="13.2">
      <c r="C186" s="286"/>
      <c r="D186" s="287"/>
      <c r="E186" s="288"/>
      <c r="K186" s="289"/>
      <c r="U186" s="198"/>
      <c r="V186" s="198"/>
      <c r="AA186" s="198"/>
      <c r="AB186" s="198"/>
    </row>
    <row r="187" spans="3:28" ht="13.2">
      <c r="C187" s="286"/>
      <c r="D187" s="287"/>
      <c r="E187" s="288"/>
      <c r="K187" s="289"/>
      <c r="U187" s="198"/>
      <c r="V187" s="198"/>
      <c r="AA187" s="198"/>
      <c r="AB187" s="198"/>
    </row>
    <row r="188" spans="3:28" ht="13.2">
      <c r="C188" s="286"/>
      <c r="D188" s="287"/>
      <c r="E188" s="288"/>
      <c r="K188" s="289"/>
      <c r="U188" s="198"/>
      <c r="V188" s="198"/>
      <c r="AA188" s="198"/>
      <c r="AB188" s="198"/>
    </row>
    <row r="189" spans="3:28" ht="13.2">
      <c r="C189" s="286"/>
      <c r="D189" s="287"/>
      <c r="E189" s="288"/>
      <c r="K189" s="289"/>
      <c r="U189" s="198"/>
      <c r="V189" s="198"/>
      <c r="AA189" s="198"/>
      <c r="AB189" s="198"/>
    </row>
    <row r="190" spans="3:28" ht="13.2">
      <c r="C190" s="286"/>
      <c r="D190" s="287"/>
      <c r="E190" s="288"/>
      <c r="K190" s="289"/>
      <c r="U190" s="198"/>
      <c r="V190" s="198"/>
      <c r="AA190" s="198"/>
      <c r="AB190" s="198"/>
    </row>
    <row r="191" spans="3:28" ht="13.2">
      <c r="C191" s="286"/>
      <c r="D191" s="287"/>
      <c r="E191" s="288"/>
      <c r="K191" s="289"/>
      <c r="U191" s="198"/>
      <c r="V191" s="198"/>
      <c r="AA191" s="198"/>
      <c r="AB191" s="198"/>
    </row>
    <row r="192" spans="3:28" ht="13.2">
      <c r="C192" s="286"/>
      <c r="D192" s="287"/>
      <c r="E192" s="288"/>
      <c r="K192" s="289"/>
      <c r="U192" s="198"/>
      <c r="V192" s="198"/>
      <c r="AA192" s="198"/>
      <c r="AB192" s="198"/>
    </row>
    <row r="193" spans="3:28" ht="13.2">
      <c r="C193" s="286"/>
      <c r="D193" s="287"/>
      <c r="E193" s="288"/>
      <c r="K193" s="289"/>
      <c r="U193" s="198"/>
      <c r="V193" s="198"/>
      <c r="AA193" s="198"/>
      <c r="AB193" s="198"/>
    </row>
    <row r="194" spans="3:28" ht="13.2">
      <c r="C194" s="286"/>
      <c r="D194" s="287"/>
      <c r="E194" s="288"/>
      <c r="K194" s="289"/>
      <c r="U194" s="198"/>
      <c r="V194" s="198"/>
      <c r="AA194" s="198"/>
      <c r="AB194" s="198"/>
    </row>
    <row r="195" spans="3:28" ht="13.2">
      <c r="C195" s="286"/>
      <c r="D195" s="287"/>
      <c r="E195" s="288"/>
      <c r="K195" s="289"/>
      <c r="U195" s="198"/>
      <c r="V195" s="198"/>
      <c r="AA195" s="198"/>
      <c r="AB195" s="198"/>
    </row>
    <row r="196" spans="3:28" ht="13.2">
      <c r="C196" s="286"/>
      <c r="D196" s="287"/>
      <c r="E196" s="288"/>
      <c r="K196" s="289"/>
      <c r="U196" s="198"/>
      <c r="V196" s="198"/>
      <c r="AA196" s="198"/>
      <c r="AB196" s="198"/>
    </row>
    <row r="197" spans="3:28" ht="13.2">
      <c r="C197" s="286"/>
      <c r="D197" s="287"/>
      <c r="E197" s="288"/>
      <c r="K197" s="289"/>
      <c r="U197" s="198"/>
      <c r="V197" s="198"/>
      <c r="AA197" s="198"/>
      <c r="AB197" s="198"/>
    </row>
    <row r="198" spans="3:28" ht="13.2">
      <c r="C198" s="286"/>
      <c r="D198" s="287"/>
      <c r="E198" s="288"/>
      <c r="K198" s="289"/>
      <c r="U198" s="198"/>
      <c r="V198" s="198"/>
      <c r="AA198" s="198"/>
      <c r="AB198" s="198"/>
    </row>
    <row r="199" spans="3:28" ht="13.2">
      <c r="C199" s="286"/>
      <c r="D199" s="287"/>
      <c r="E199" s="288"/>
      <c r="K199" s="289"/>
      <c r="U199" s="198"/>
      <c r="V199" s="198"/>
      <c r="AA199" s="198"/>
      <c r="AB199" s="198"/>
    </row>
    <row r="200" spans="3:28" ht="13.2">
      <c r="C200" s="286"/>
      <c r="D200" s="287"/>
      <c r="E200" s="288"/>
      <c r="K200" s="289"/>
      <c r="U200" s="198"/>
      <c r="V200" s="198"/>
      <c r="AA200" s="198"/>
      <c r="AB200" s="198"/>
    </row>
    <row r="201" spans="3:28" ht="13.2">
      <c r="C201" s="286"/>
      <c r="D201" s="287"/>
      <c r="E201" s="288"/>
      <c r="K201" s="289"/>
      <c r="U201" s="198"/>
      <c r="V201" s="198"/>
      <c r="AA201" s="198"/>
      <c r="AB201" s="198"/>
    </row>
    <row r="202" spans="3:28" ht="13.2">
      <c r="C202" s="286"/>
      <c r="D202" s="287"/>
      <c r="E202" s="288"/>
      <c r="K202" s="289"/>
      <c r="U202" s="198"/>
      <c r="V202" s="198"/>
      <c r="AA202" s="198"/>
      <c r="AB202" s="198"/>
    </row>
    <row r="203" spans="3:28" ht="13.2">
      <c r="C203" s="286"/>
      <c r="D203" s="287"/>
      <c r="E203" s="288"/>
      <c r="K203" s="289"/>
      <c r="U203" s="198"/>
      <c r="V203" s="198"/>
      <c r="AA203" s="198"/>
      <c r="AB203" s="198"/>
    </row>
    <row r="204" spans="3:28" ht="13.2">
      <c r="C204" s="286"/>
      <c r="D204" s="287"/>
      <c r="E204" s="288"/>
      <c r="K204" s="289"/>
      <c r="U204" s="198"/>
      <c r="V204" s="198"/>
      <c r="AA204" s="198"/>
      <c r="AB204" s="198"/>
    </row>
    <row r="205" spans="3:28" ht="13.2">
      <c r="C205" s="286"/>
      <c r="D205" s="287"/>
      <c r="E205" s="288"/>
      <c r="K205" s="289"/>
      <c r="U205" s="198"/>
      <c r="V205" s="198"/>
      <c r="AA205" s="198"/>
      <c r="AB205" s="198"/>
    </row>
    <row r="206" spans="3:28" ht="13.2">
      <c r="C206" s="286"/>
      <c r="D206" s="287"/>
      <c r="E206" s="288"/>
      <c r="K206" s="289"/>
      <c r="U206" s="198"/>
      <c r="V206" s="198"/>
      <c r="AA206" s="198"/>
      <c r="AB206" s="198"/>
    </row>
    <row r="207" spans="3:28" ht="13.2">
      <c r="C207" s="286"/>
      <c r="D207" s="287"/>
      <c r="E207" s="288"/>
      <c r="K207" s="289"/>
      <c r="U207" s="198"/>
      <c r="V207" s="198"/>
      <c r="AA207" s="198"/>
      <c r="AB207" s="198"/>
    </row>
    <row r="208" spans="3:28" ht="13.2">
      <c r="C208" s="286"/>
      <c r="D208" s="287"/>
      <c r="E208" s="288"/>
      <c r="K208" s="289"/>
      <c r="U208" s="198"/>
      <c r="V208" s="198"/>
      <c r="AA208" s="198"/>
      <c r="AB208" s="198"/>
    </row>
    <row r="209" spans="3:28" ht="13.2">
      <c r="C209" s="286"/>
      <c r="D209" s="287"/>
      <c r="E209" s="288"/>
      <c r="K209" s="289"/>
      <c r="U209" s="198"/>
      <c r="V209" s="198"/>
      <c r="AA209" s="198"/>
      <c r="AB209" s="198"/>
    </row>
    <row r="210" spans="3:28" ht="13.2">
      <c r="C210" s="286"/>
      <c r="D210" s="287"/>
      <c r="E210" s="288"/>
      <c r="K210" s="289"/>
      <c r="U210" s="198"/>
      <c r="V210" s="198"/>
      <c r="AA210" s="198"/>
      <c r="AB210" s="198"/>
    </row>
    <row r="211" spans="3:28" ht="13.2">
      <c r="C211" s="286"/>
      <c r="D211" s="287"/>
      <c r="E211" s="288"/>
      <c r="K211" s="289"/>
      <c r="U211" s="198"/>
      <c r="V211" s="198"/>
      <c r="AA211" s="198"/>
      <c r="AB211" s="198"/>
    </row>
    <row r="212" spans="3:28" ht="13.2">
      <c r="C212" s="286"/>
      <c r="D212" s="287"/>
      <c r="E212" s="288"/>
      <c r="K212" s="289"/>
      <c r="U212" s="198"/>
      <c r="V212" s="198"/>
      <c r="AA212" s="198"/>
      <c r="AB212" s="198"/>
    </row>
    <row r="213" spans="3:28" ht="13.2">
      <c r="C213" s="286"/>
      <c r="D213" s="287"/>
      <c r="E213" s="288"/>
      <c r="K213" s="289"/>
      <c r="U213" s="198"/>
      <c r="V213" s="198"/>
      <c r="AA213" s="198"/>
      <c r="AB213" s="198"/>
    </row>
    <row r="214" spans="3:28" ht="13.2">
      <c r="C214" s="286"/>
      <c r="D214" s="287"/>
      <c r="E214" s="288"/>
      <c r="K214" s="289"/>
      <c r="U214" s="198"/>
      <c r="V214" s="198"/>
      <c r="AA214" s="198"/>
      <c r="AB214" s="198"/>
    </row>
    <row r="215" spans="3:28" ht="13.2">
      <c r="C215" s="286"/>
      <c r="D215" s="287"/>
      <c r="E215" s="288"/>
      <c r="K215" s="289"/>
      <c r="U215" s="198"/>
      <c r="V215" s="198"/>
      <c r="AA215" s="198"/>
      <c r="AB215" s="198"/>
    </row>
    <row r="216" spans="3:28" ht="13.2">
      <c r="C216" s="286"/>
      <c r="D216" s="287"/>
      <c r="E216" s="288"/>
      <c r="K216" s="289"/>
      <c r="U216" s="198"/>
      <c r="V216" s="198"/>
      <c r="AA216" s="198"/>
      <c r="AB216" s="198"/>
    </row>
    <row r="217" spans="3:28" ht="13.2">
      <c r="C217" s="286"/>
      <c r="D217" s="287"/>
      <c r="E217" s="288"/>
      <c r="K217" s="289"/>
      <c r="U217" s="198"/>
      <c r="V217" s="198"/>
      <c r="AA217" s="198"/>
      <c r="AB217" s="198"/>
    </row>
    <row r="218" spans="3:28" ht="13.2">
      <c r="C218" s="286"/>
      <c r="D218" s="287"/>
      <c r="E218" s="288"/>
      <c r="K218" s="289"/>
      <c r="U218" s="198"/>
      <c r="V218" s="198"/>
      <c r="AA218" s="198"/>
      <c r="AB218" s="198"/>
    </row>
    <row r="219" spans="3:28" ht="13.2">
      <c r="C219" s="286"/>
      <c r="D219" s="287"/>
      <c r="E219" s="288"/>
      <c r="K219" s="289"/>
      <c r="U219" s="198"/>
      <c r="V219" s="198"/>
      <c r="AA219" s="198"/>
      <c r="AB219" s="198"/>
    </row>
    <row r="220" spans="3:28" ht="13.2">
      <c r="C220" s="286"/>
      <c r="D220" s="287"/>
      <c r="E220" s="288"/>
      <c r="K220" s="289"/>
      <c r="U220" s="198"/>
      <c r="V220" s="198"/>
      <c r="AA220" s="198"/>
      <c r="AB220" s="198"/>
    </row>
    <row r="221" spans="3:28" ht="13.2">
      <c r="C221" s="286"/>
      <c r="D221" s="287"/>
      <c r="E221" s="288"/>
      <c r="K221" s="289"/>
      <c r="U221" s="198"/>
      <c r="V221" s="198"/>
      <c r="AA221" s="198"/>
      <c r="AB221" s="198"/>
    </row>
    <row r="222" spans="3:28" ht="13.2">
      <c r="C222" s="286"/>
      <c r="D222" s="287"/>
      <c r="E222" s="288"/>
      <c r="K222" s="289"/>
      <c r="U222" s="198"/>
      <c r="V222" s="198"/>
      <c r="AA222" s="198"/>
      <c r="AB222" s="198"/>
    </row>
    <row r="223" spans="3:28" ht="13.2">
      <c r="C223" s="286"/>
      <c r="D223" s="287"/>
      <c r="E223" s="288"/>
      <c r="K223" s="289"/>
      <c r="U223" s="198"/>
      <c r="V223" s="198"/>
      <c r="AA223" s="198"/>
      <c r="AB223" s="198"/>
    </row>
    <row r="224" spans="3:28" ht="13.2">
      <c r="C224" s="286"/>
      <c r="D224" s="287"/>
      <c r="E224" s="288"/>
      <c r="K224" s="289"/>
      <c r="U224" s="198"/>
      <c r="V224" s="198"/>
      <c r="AA224" s="198"/>
      <c r="AB224" s="198"/>
    </row>
    <row r="225" spans="3:28" ht="13.2">
      <c r="C225" s="286"/>
      <c r="D225" s="287"/>
      <c r="E225" s="288"/>
      <c r="K225" s="289"/>
      <c r="U225" s="198"/>
      <c r="V225" s="198"/>
      <c r="AA225" s="198"/>
      <c r="AB225" s="198"/>
    </row>
    <row r="226" spans="3:28" ht="13.2">
      <c r="C226" s="286"/>
      <c r="D226" s="287"/>
      <c r="E226" s="288"/>
      <c r="K226" s="289"/>
      <c r="U226" s="198"/>
      <c r="V226" s="198"/>
      <c r="AA226" s="198"/>
      <c r="AB226" s="198"/>
    </row>
    <row r="227" spans="3:28" ht="13.2">
      <c r="C227" s="286"/>
      <c r="D227" s="287"/>
      <c r="E227" s="288"/>
      <c r="K227" s="289"/>
      <c r="U227" s="198"/>
      <c r="V227" s="198"/>
      <c r="AA227" s="198"/>
      <c r="AB227" s="198"/>
    </row>
    <row r="228" spans="3:28" ht="13.2">
      <c r="C228" s="286"/>
      <c r="D228" s="287"/>
      <c r="E228" s="288"/>
      <c r="K228" s="289"/>
      <c r="U228" s="198"/>
      <c r="V228" s="198"/>
      <c r="AA228" s="198"/>
      <c r="AB228" s="198"/>
    </row>
    <row r="229" spans="3:28" ht="13.2">
      <c r="C229" s="286"/>
      <c r="D229" s="287"/>
      <c r="E229" s="288"/>
      <c r="K229" s="289"/>
      <c r="U229" s="198"/>
      <c r="V229" s="198"/>
      <c r="AA229" s="198"/>
      <c r="AB229" s="198"/>
    </row>
    <row r="230" spans="3:28" ht="13.2">
      <c r="C230" s="286"/>
      <c r="D230" s="287"/>
      <c r="E230" s="288"/>
      <c r="K230" s="289"/>
      <c r="U230" s="198"/>
      <c r="V230" s="198"/>
      <c r="AA230" s="198"/>
      <c r="AB230" s="198"/>
    </row>
    <row r="231" spans="3:28" ht="13.2">
      <c r="C231" s="286"/>
      <c r="D231" s="287"/>
      <c r="E231" s="288"/>
      <c r="K231" s="289"/>
      <c r="U231" s="198"/>
      <c r="V231" s="198"/>
      <c r="AA231" s="198"/>
      <c r="AB231" s="198"/>
    </row>
    <row r="232" spans="3:28" ht="13.2">
      <c r="C232" s="286"/>
      <c r="D232" s="287"/>
      <c r="E232" s="288"/>
      <c r="K232" s="289"/>
      <c r="U232" s="198"/>
      <c r="V232" s="198"/>
      <c r="AA232" s="198"/>
      <c r="AB232" s="198"/>
    </row>
    <row r="233" spans="3:28" ht="13.2">
      <c r="C233" s="286"/>
      <c r="D233" s="287"/>
      <c r="E233" s="288"/>
      <c r="K233" s="289"/>
      <c r="U233" s="198"/>
      <c r="V233" s="198"/>
      <c r="AA233" s="198"/>
      <c r="AB233" s="198"/>
    </row>
    <row r="234" spans="3:28" ht="13.2">
      <c r="C234" s="286"/>
      <c r="D234" s="287"/>
      <c r="E234" s="288"/>
      <c r="K234" s="289"/>
      <c r="U234" s="198"/>
      <c r="V234" s="198"/>
      <c r="AA234" s="198"/>
      <c r="AB234" s="198"/>
    </row>
    <row r="235" spans="3:28" ht="13.2">
      <c r="C235" s="286"/>
      <c r="D235" s="287"/>
      <c r="E235" s="288"/>
      <c r="K235" s="289"/>
      <c r="U235" s="198"/>
      <c r="V235" s="198"/>
      <c r="AA235" s="198"/>
      <c r="AB235" s="198"/>
    </row>
    <row r="236" spans="3:28" ht="13.2">
      <c r="C236" s="286"/>
      <c r="D236" s="287"/>
      <c r="E236" s="288"/>
      <c r="K236" s="289"/>
      <c r="U236" s="198"/>
      <c r="V236" s="198"/>
      <c r="AA236" s="198"/>
      <c r="AB236" s="198"/>
    </row>
    <row r="237" spans="3:28" ht="13.2">
      <c r="C237" s="286"/>
      <c r="D237" s="287"/>
      <c r="E237" s="288"/>
      <c r="K237" s="289"/>
      <c r="U237" s="198"/>
      <c r="V237" s="198"/>
      <c r="AA237" s="198"/>
      <c r="AB237" s="198"/>
    </row>
    <row r="238" spans="3:28" ht="13.2">
      <c r="C238" s="286"/>
      <c r="D238" s="287"/>
      <c r="E238" s="288"/>
      <c r="K238" s="289"/>
      <c r="U238" s="198"/>
      <c r="V238" s="198"/>
      <c r="AA238" s="198"/>
      <c r="AB238" s="198"/>
    </row>
    <row r="239" spans="3:28" ht="13.2">
      <c r="C239" s="286"/>
      <c r="D239" s="287"/>
      <c r="E239" s="288"/>
      <c r="K239" s="289"/>
      <c r="U239" s="198"/>
      <c r="V239" s="198"/>
      <c r="AA239" s="198"/>
      <c r="AB239" s="198"/>
    </row>
    <row r="240" spans="3:28" ht="13.2">
      <c r="C240" s="286"/>
      <c r="D240" s="287"/>
      <c r="E240" s="288"/>
      <c r="K240" s="289"/>
      <c r="U240" s="198"/>
      <c r="V240" s="198"/>
      <c r="AA240" s="198"/>
      <c r="AB240" s="198"/>
    </row>
    <row r="241" spans="3:28" ht="13.2">
      <c r="C241" s="286"/>
      <c r="D241" s="287"/>
      <c r="E241" s="288"/>
      <c r="K241" s="289"/>
      <c r="U241" s="198"/>
      <c r="V241" s="198"/>
      <c r="AA241" s="198"/>
      <c r="AB241" s="198"/>
    </row>
    <row r="242" spans="3:28" ht="13.2">
      <c r="C242" s="286"/>
      <c r="D242" s="287"/>
      <c r="E242" s="288"/>
      <c r="K242" s="289"/>
      <c r="U242" s="198"/>
      <c r="V242" s="198"/>
      <c r="AA242" s="198"/>
      <c r="AB242" s="198"/>
    </row>
    <row r="243" spans="3:28" ht="13.2">
      <c r="C243" s="286"/>
      <c r="D243" s="287"/>
      <c r="E243" s="288"/>
      <c r="K243" s="289"/>
      <c r="U243" s="198"/>
      <c r="V243" s="198"/>
      <c r="AA243" s="198"/>
      <c r="AB243" s="198"/>
    </row>
    <row r="244" spans="3:28" ht="13.2">
      <c r="C244" s="286"/>
      <c r="D244" s="287"/>
      <c r="E244" s="288"/>
      <c r="K244" s="289"/>
      <c r="U244" s="198"/>
      <c r="V244" s="198"/>
      <c r="AA244" s="198"/>
      <c r="AB244" s="198"/>
    </row>
    <row r="245" spans="3:28" ht="13.2">
      <c r="C245" s="286"/>
      <c r="D245" s="287"/>
      <c r="E245" s="288"/>
      <c r="K245" s="289"/>
      <c r="U245" s="198"/>
      <c r="V245" s="198"/>
      <c r="AA245" s="198"/>
      <c r="AB245" s="198"/>
    </row>
    <row r="246" spans="3:28" ht="13.2">
      <c r="C246" s="286"/>
      <c r="D246" s="287"/>
      <c r="E246" s="288"/>
      <c r="K246" s="289"/>
      <c r="U246" s="198"/>
      <c r="V246" s="198"/>
      <c r="AA246" s="198"/>
      <c r="AB246" s="198"/>
    </row>
    <row r="247" spans="3:28" ht="13.2">
      <c r="C247" s="286"/>
      <c r="D247" s="287"/>
      <c r="E247" s="288"/>
      <c r="K247" s="289"/>
      <c r="U247" s="198"/>
      <c r="V247" s="198"/>
      <c r="AA247" s="198"/>
      <c r="AB247" s="198"/>
    </row>
    <row r="248" spans="3:28" ht="13.2">
      <c r="C248" s="286"/>
      <c r="D248" s="287"/>
      <c r="E248" s="288"/>
      <c r="K248" s="289"/>
      <c r="U248" s="198"/>
      <c r="V248" s="198"/>
      <c r="AA248" s="198"/>
      <c r="AB248" s="198"/>
    </row>
    <row r="249" spans="3:28" ht="13.2">
      <c r="C249" s="286"/>
      <c r="D249" s="287"/>
      <c r="E249" s="288"/>
      <c r="K249" s="289"/>
      <c r="U249" s="198"/>
      <c r="V249" s="198"/>
      <c r="AA249" s="198"/>
      <c r="AB249" s="198"/>
    </row>
    <row r="250" spans="3:28" ht="13.2">
      <c r="C250" s="286"/>
      <c r="D250" s="287"/>
      <c r="E250" s="288"/>
      <c r="K250" s="289"/>
      <c r="U250" s="198"/>
      <c r="V250" s="198"/>
      <c r="AA250" s="198"/>
      <c r="AB250" s="198"/>
    </row>
    <row r="251" spans="3:28" ht="13.2">
      <c r="C251" s="286"/>
      <c r="D251" s="287"/>
      <c r="E251" s="288"/>
      <c r="K251" s="289"/>
      <c r="U251" s="198"/>
      <c r="V251" s="198"/>
      <c r="AA251" s="198"/>
      <c r="AB251" s="198"/>
    </row>
    <row r="252" spans="3:28" ht="13.2">
      <c r="C252" s="286"/>
      <c r="D252" s="287"/>
      <c r="E252" s="288"/>
      <c r="K252" s="289"/>
      <c r="U252" s="198"/>
      <c r="V252" s="198"/>
      <c r="AA252" s="198"/>
      <c r="AB252" s="198"/>
    </row>
    <row r="253" spans="3:28" ht="13.2">
      <c r="C253" s="286"/>
      <c r="D253" s="287"/>
      <c r="E253" s="288"/>
      <c r="K253" s="289"/>
      <c r="U253" s="198"/>
      <c r="V253" s="198"/>
      <c r="AA253" s="198"/>
      <c r="AB253" s="198"/>
    </row>
    <row r="254" spans="3:28" ht="13.2">
      <c r="C254" s="286"/>
      <c r="D254" s="287"/>
      <c r="E254" s="288"/>
      <c r="K254" s="289"/>
      <c r="U254" s="198"/>
      <c r="V254" s="198"/>
      <c r="AA254" s="198"/>
      <c r="AB254" s="198"/>
    </row>
    <row r="255" spans="3:28" ht="13.2">
      <c r="C255" s="286"/>
      <c r="D255" s="287"/>
      <c r="E255" s="288"/>
      <c r="K255" s="289"/>
      <c r="U255" s="198"/>
      <c r="V255" s="198"/>
      <c r="AA255" s="198"/>
      <c r="AB255" s="198"/>
    </row>
    <row r="256" spans="3:28" ht="13.2">
      <c r="C256" s="286"/>
      <c r="D256" s="287"/>
      <c r="E256" s="288"/>
      <c r="K256" s="289"/>
      <c r="U256" s="198"/>
      <c r="V256" s="198"/>
      <c r="AA256" s="198"/>
      <c r="AB256" s="198"/>
    </row>
    <row r="257" spans="3:28" ht="13.2">
      <c r="C257" s="286"/>
      <c r="D257" s="287"/>
      <c r="E257" s="288"/>
      <c r="K257" s="289"/>
      <c r="U257" s="198"/>
      <c r="V257" s="198"/>
      <c r="AA257" s="198"/>
      <c r="AB257" s="198"/>
    </row>
    <row r="258" spans="3:28" ht="13.2">
      <c r="C258" s="286"/>
      <c r="D258" s="287"/>
      <c r="E258" s="288"/>
      <c r="K258" s="289"/>
      <c r="U258" s="198"/>
      <c r="V258" s="198"/>
      <c r="AA258" s="198"/>
      <c r="AB258" s="198"/>
    </row>
    <row r="259" spans="3:28" ht="13.2">
      <c r="C259" s="286"/>
      <c r="D259" s="287"/>
      <c r="E259" s="288"/>
      <c r="K259" s="289"/>
      <c r="U259" s="198"/>
      <c r="V259" s="198"/>
      <c r="AA259" s="198"/>
      <c r="AB259" s="198"/>
    </row>
    <row r="260" spans="3:28" ht="13.2">
      <c r="C260" s="286"/>
      <c r="D260" s="287"/>
      <c r="E260" s="288"/>
      <c r="K260" s="289"/>
      <c r="U260" s="198"/>
      <c r="V260" s="198"/>
      <c r="AA260" s="198"/>
      <c r="AB260" s="198"/>
    </row>
    <row r="261" spans="3:28" ht="13.2">
      <c r="C261" s="286"/>
      <c r="D261" s="287"/>
      <c r="E261" s="288"/>
      <c r="K261" s="289"/>
      <c r="U261" s="198"/>
      <c r="V261" s="198"/>
      <c r="AA261" s="198"/>
      <c r="AB261" s="198"/>
    </row>
    <row r="262" spans="3:28" ht="13.2">
      <c r="C262" s="286"/>
      <c r="D262" s="287"/>
      <c r="E262" s="288"/>
      <c r="K262" s="289"/>
      <c r="U262" s="198"/>
      <c r="V262" s="198"/>
      <c r="AA262" s="198"/>
      <c r="AB262" s="198"/>
    </row>
    <row r="263" spans="3:28" ht="13.2">
      <c r="C263" s="286"/>
      <c r="D263" s="287"/>
      <c r="E263" s="288"/>
      <c r="K263" s="289"/>
      <c r="U263" s="198"/>
      <c r="V263" s="198"/>
      <c r="AA263" s="198"/>
      <c r="AB263" s="198"/>
    </row>
    <row r="264" spans="3:28" ht="13.2">
      <c r="C264" s="286"/>
      <c r="D264" s="287"/>
      <c r="E264" s="288"/>
      <c r="K264" s="289"/>
      <c r="U264" s="198"/>
      <c r="V264" s="198"/>
      <c r="AA264" s="198"/>
      <c r="AB264" s="198"/>
    </row>
    <row r="265" spans="3:28" ht="13.2">
      <c r="C265" s="286"/>
      <c r="D265" s="287"/>
      <c r="E265" s="288"/>
      <c r="K265" s="289"/>
      <c r="U265" s="198"/>
      <c r="V265" s="198"/>
      <c r="AA265" s="198"/>
      <c r="AB265" s="198"/>
    </row>
    <row r="266" spans="3:28" ht="13.2">
      <c r="C266" s="286"/>
      <c r="D266" s="287"/>
      <c r="E266" s="288"/>
      <c r="K266" s="289"/>
      <c r="U266" s="198"/>
      <c r="V266" s="198"/>
      <c r="AA266" s="198"/>
      <c r="AB266" s="198"/>
    </row>
    <row r="267" spans="3:28" ht="13.2">
      <c r="C267" s="286"/>
      <c r="D267" s="287"/>
      <c r="E267" s="288"/>
      <c r="K267" s="289"/>
      <c r="U267" s="198"/>
      <c r="V267" s="198"/>
      <c r="AA267" s="198"/>
      <c r="AB267" s="198"/>
    </row>
    <row r="268" spans="3:28" ht="13.2">
      <c r="C268" s="286"/>
      <c r="D268" s="287"/>
      <c r="E268" s="288"/>
      <c r="K268" s="289"/>
      <c r="U268" s="198"/>
      <c r="V268" s="198"/>
      <c r="AA268" s="198"/>
      <c r="AB268" s="198"/>
    </row>
    <row r="269" spans="3:28" ht="13.2">
      <c r="C269" s="286"/>
      <c r="D269" s="287"/>
      <c r="E269" s="288"/>
      <c r="K269" s="289"/>
      <c r="U269" s="198"/>
      <c r="V269" s="198"/>
      <c r="AA269" s="198"/>
      <c r="AB269" s="198"/>
    </row>
    <row r="270" spans="3:28" ht="13.2">
      <c r="C270" s="286"/>
      <c r="D270" s="287"/>
      <c r="E270" s="288"/>
      <c r="K270" s="289"/>
      <c r="U270" s="198"/>
      <c r="V270" s="198"/>
      <c r="AA270" s="198"/>
      <c r="AB270" s="198"/>
    </row>
    <row r="271" spans="3:28" ht="13.2">
      <c r="C271" s="286"/>
      <c r="D271" s="287"/>
      <c r="E271" s="288"/>
      <c r="K271" s="289"/>
      <c r="U271" s="198"/>
      <c r="V271" s="198"/>
      <c r="AA271" s="198"/>
      <c r="AB271" s="198"/>
    </row>
    <row r="272" spans="3:28" ht="13.2">
      <c r="C272" s="286"/>
      <c r="D272" s="287"/>
      <c r="E272" s="288"/>
      <c r="K272" s="289"/>
      <c r="U272" s="198"/>
      <c r="V272" s="198"/>
      <c r="AA272" s="198"/>
      <c r="AB272" s="198"/>
    </row>
    <row r="273" spans="3:28" ht="13.2">
      <c r="C273" s="286"/>
      <c r="D273" s="287"/>
      <c r="E273" s="288"/>
      <c r="K273" s="289"/>
      <c r="U273" s="198"/>
      <c r="V273" s="198"/>
      <c r="AA273" s="198"/>
      <c r="AB273" s="198"/>
    </row>
    <row r="274" spans="3:28" ht="13.2">
      <c r="C274" s="286"/>
      <c r="D274" s="287"/>
      <c r="E274" s="288"/>
      <c r="K274" s="289"/>
      <c r="U274" s="198"/>
      <c r="V274" s="198"/>
      <c r="AA274" s="198"/>
      <c r="AB274" s="198"/>
    </row>
    <row r="275" spans="3:28" ht="13.2">
      <c r="C275" s="286"/>
      <c r="D275" s="287"/>
      <c r="E275" s="288"/>
      <c r="K275" s="289"/>
      <c r="U275" s="198"/>
      <c r="V275" s="198"/>
      <c r="AA275" s="198"/>
      <c r="AB275" s="198"/>
    </row>
    <row r="276" spans="3:28" ht="13.2">
      <c r="C276" s="286"/>
      <c r="D276" s="287"/>
      <c r="E276" s="288"/>
      <c r="K276" s="289"/>
      <c r="U276" s="198"/>
      <c r="V276" s="198"/>
      <c r="AA276" s="198"/>
      <c r="AB276" s="198"/>
    </row>
    <row r="277" spans="3:28" ht="13.2">
      <c r="C277" s="286"/>
      <c r="D277" s="287"/>
      <c r="E277" s="288"/>
      <c r="K277" s="289"/>
      <c r="U277" s="198"/>
      <c r="V277" s="198"/>
      <c r="AA277" s="198"/>
      <c r="AB277" s="198"/>
    </row>
    <row r="278" spans="3:28" ht="13.2">
      <c r="C278" s="286"/>
      <c r="D278" s="287"/>
      <c r="E278" s="288"/>
      <c r="K278" s="289"/>
      <c r="U278" s="198"/>
      <c r="V278" s="198"/>
      <c r="AA278" s="198"/>
      <c r="AB278" s="198"/>
    </row>
    <row r="279" spans="3:28" ht="13.2">
      <c r="C279" s="286"/>
      <c r="D279" s="287"/>
      <c r="E279" s="288"/>
      <c r="K279" s="289"/>
      <c r="U279" s="198"/>
      <c r="V279" s="198"/>
      <c r="AA279" s="198"/>
      <c r="AB279" s="198"/>
    </row>
    <row r="280" spans="3:28" ht="13.2">
      <c r="C280" s="286"/>
      <c r="D280" s="287"/>
      <c r="E280" s="288"/>
      <c r="K280" s="289"/>
      <c r="U280" s="198"/>
      <c r="V280" s="198"/>
      <c r="AA280" s="198"/>
      <c r="AB280" s="198"/>
    </row>
    <row r="281" spans="3:28" ht="13.2">
      <c r="C281" s="286"/>
      <c r="D281" s="287"/>
      <c r="E281" s="288"/>
      <c r="K281" s="289"/>
      <c r="U281" s="198"/>
      <c r="V281" s="198"/>
      <c r="AA281" s="198"/>
      <c r="AB281" s="198"/>
    </row>
    <row r="282" spans="3:28" ht="13.2">
      <c r="C282" s="286"/>
      <c r="D282" s="287"/>
      <c r="E282" s="288"/>
      <c r="K282" s="289"/>
      <c r="U282" s="198"/>
      <c r="V282" s="198"/>
      <c r="AA282" s="198"/>
      <c r="AB282" s="198"/>
    </row>
    <row r="283" spans="3:28" ht="13.2">
      <c r="C283" s="286"/>
      <c r="D283" s="287"/>
      <c r="E283" s="288"/>
      <c r="K283" s="289"/>
      <c r="U283" s="198"/>
      <c r="V283" s="198"/>
      <c r="AA283" s="198"/>
      <c r="AB283" s="198"/>
    </row>
    <row r="284" spans="3:28" ht="13.2">
      <c r="C284" s="286"/>
      <c r="D284" s="287"/>
      <c r="E284" s="288"/>
      <c r="K284" s="289"/>
      <c r="U284" s="198"/>
      <c r="V284" s="198"/>
      <c r="AA284" s="198"/>
      <c r="AB284" s="198"/>
    </row>
    <row r="285" spans="3:28" ht="13.2">
      <c r="C285" s="286"/>
      <c r="D285" s="287"/>
      <c r="E285" s="288"/>
      <c r="K285" s="289"/>
      <c r="U285" s="198"/>
      <c r="V285" s="198"/>
      <c r="AA285" s="198"/>
      <c r="AB285" s="198"/>
    </row>
    <row r="286" spans="3:28" ht="13.2">
      <c r="C286" s="286"/>
      <c r="D286" s="287"/>
      <c r="E286" s="288"/>
      <c r="K286" s="289"/>
      <c r="U286" s="198"/>
      <c r="V286" s="198"/>
      <c r="AA286" s="198"/>
      <c r="AB286" s="198"/>
    </row>
    <row r="287" spans="3:28" ht="13.2">
      <c r="C287" s="286"/>
      <c r="D287" s="287"/>
      <c r="E287" s="288"/>
      <c r="K287" s="289"/>
      <c r="U287" s="198"/>
      <c r="V287" s="198"/>
      <c r="AA287" s="198"/>
      <c r="AB287" s="198"/>
    </row>
    <row r="288" spans="3:28" ht="13.2">
      <c r="C288" s="286"/>
      <c r="D288" s="287"/>
      <c r="E288" s="288"/>
      <c r="K288" s="289"/>
      <c r="U288" s="198"/>
      <c r="V288" s="198"/>
      <c r="AA288" s="198"/>
      <c r="AB288" s="198"/>
    </row>
    <row r="289" spans="3:28" ht="13.2">
      <c r="C289" s="286"/>
      <c r="D289" s="287"/>
      <c r="E289" s="288"/>
      <c r="K289" s="289"/>
      <c r="U289" s="198"/>
      <c r="V289" s="198"/>
      <c r="AA289" s="198"/>
      <c r="AB289" s="198"/>
    </row>
    <row r="290" spans="3:28" ht="13.2">
      <c r="C290" s="286"/>
      <c r="D290" s="287"/>
      <c r="E290" s="288"/>
      <c r="K290" s="289"/>
      <c r="U290" s="198"/>
      <c r="V290" s="198"/>
      <c r="AA290" s="198"/>
      <c r="AB290" s="198"/>
    </row>
    <row r="291" spans="3:28" ht="13.2">
      <c r="C291" s="286"/>
      <c r="D291" s="287"/>
      <c r="E291" s="288"/>
      <c r="K291" s="289"/>
      <c r="U291" s="198"/>
      <c r="V291" s="198"/>
      <c r="AA291" s="198"/>
      <c r="AB291" s="198"/>
    </row>
    <row r="292" spans="3:28" ht="13.2">
      <c r="C292" s="286"/>
      <c r="D292" s="287"/>
      <c r="E292" s="288"/>
      <c r="K292" s="289"/>
      <c r="U292" s="198"/>
      <c r="V292" s="198"/>
      <c r="AA292" s="198"/>
      <c r="AB292" s="198"/>
    </row>
    <row r="293" spans="3:28" ht="13.2">
      <c r="C293" s="286"/>
      <c r="D293" s="287"/>
      <c r="E293" s="288"/>
      <c r="K293" s="289"/>
      <c r="U293" s="198"/>
      <c r="V293" s="198"/>
      <c r="AA293" s="198"/>
      <c r="AB293" s="198"/>
    </row>
    <row r="294" spans="3:28" ht="13.2">
      <c r="C294" s="286"/>
      <c r="D294" s="287"/>
      <c r="E294" s="288"/>
      <c r="K294" s="289"/>
      <c r="U294" s="198"/>
      <c r="V294" s="198"/>
      <c r="AA294" s="198"/>
      <c r="AB294" s="198"/>
    </row>
    <row r="295" spans="3:28" ht="13.2">
      <c r="C295" s="286"/>
      <c r="D295" s="287"/>
      <c r="E295" s="288"/>
      <c r="K295" s="289"/>
      <c r="U295" s="198"/>
      <c r="V295" s="198"/>
      <c r="AA295" s="198"/>
      <c r="AB295" s="198"/>
    </row>
    <row r="296" spans="3:28" ht="13.2">
      <c r="C296" s="286"/>
      <c r="D296" s="287"/>
      <c r="E296" s="288"/>
      <c r="K296" s="289"/>
      <c r="U296" s="198"/>
      <c r="V296" s="198"/>
      <c r="AA296" s="198"/>
      <c r="AB296" s="198"/>
    </row>
    <row r="297" spans="3:28" ht="13.2">
      <c r="C297" s="286"/>
      <c r="D297" s="287"/>
      <c r="E297" s="288"/>
      <c r="K297" s="289"/>
      <c r="U297" s="198"/>
      <c r="V297" s="198"/>
      <c r="AA297" s="198"/>
      <c r="AB297" s="198"/>
    </row>
    <row r="298" spans="3:28" ht="13.2">
      <c r="C298" s="286"/>
      <c r="D298" s="287"/>
      <c r="E298" s="288"/>
      <c r="K298" s="289"/>
      <c r="U298" s="198"/>
      <c r="V298" s="198"/>
      <c r="AA298" s="198"/>
      <c r="AB298" s="198"/>
    </row>
    <row r="299" spans="3:28" ht="13.2">
      <c r="C299" s="286"/>
      <c r="D299" s="287"/>
      <c r="E299" s="288"/>
      <c r="K299" s="289"/>
      <c r="U299" s="198"/>
      <c r="V299" s="198"/>
      <c r="AA299" s="198"/>
      <c r="AB299" s="198"/>
    </row>
    <row r="300" spans="3:28" ht="13.2">
      <c r="C300" s="286"/>
      <c r="D300" s="287"/>
      <c r="E300" s="288"/>
      <c r="K300" s="289"/>
      <c r="U300" s="198"/>
      <c r="V300" s="198"/>
      <c r="AA300" s="198"/>
      <c r="AB300" s="198"/>
    </row>
    <row r="301" spans="3:28" ht="13.2">
      <c r="C301" s="286"/>
      <c r="D301" s="287"/>
      <c r="E301" s="288"/>
      <c r="K301" s="289"/>
      <c r="U301" s="198"/>
      <c r="V301" s="198"/>
      <c r="AA301" s="198"/>
      <c r="AB301" s="198"/>
    </row>
    <row r="302" spans="3:28" ht="13.2">
      <c r="C302" s="286"/>
      <c r="D302" s="287"/>
      <c r="E302" s="288"/>
      <c r="K302" s="289"/>
      <c r="U302" s="198"/>
      <c r="V302" s="198"/>
      <c r="AA302" s="198"/>
      <c r="AB302" s="198"/>
    </row>
    <row r="303" spans="3:28" ht="13.2">
      <c r="C303" s="286"/>
      <c r="D303" s="287"/>
      <c r="E303" s="288"/>
      <c r="K303" s="289"/>
      <c r="U303" s="198"/>
      <c r="V303" s="198"/>
      <c r="AA303" s="198"/>
      <c r="AB303" s="198"/>
    </row>
    <row r="304" spans="3:28" ht="13.2">
      <c r="C304" s="286"/>
      <c r="D304" s="287"/>
      <c r="E304" s="288"/>
      <c r="K304" s="289"/>
      <c r="U304" s="198"/>
      <c r="V304" s="198"/>
      <c r="AA304" s="198"/>
      <c r="AB304" s="198"/>
    </row>
    <row r="305" spans="3:28" ht="13.2">
      <c r="C305" s="286"/>
      <c r="D305" s="287"/>
      <c r="E305" s="288"/>
      <c r="K305" s="289"/>
      <c r="U305" s="198"/>
      <c r="V305" s="198"/>
      <c r="AA305" s="198"/>
      <c r="AB305" s="198"/>
    </row>
    <row r="306" spans="3:28" ht="13.2">
      <c r="C306" s="286"/>
      <c r="D306" s="287"/>
      <c r="E306" s="288"/>
      <c r="K306" s="289"/>
      <c r="U306" s="198"/>
      <c r="V306" s="198"/>
      <c r="AA306" s="198"/>
      <c r="AB306" s="198"/>
    </row>
    <row r="307" spans="3:28" ht="13.2">
      <c r="C307" s="286"/>
      <c r="D307" s="287"/>
      <c r="E307" s="288"/>
      <c r="K307" s="289"/>
      <c r="U307" s="198"/>
      <c r="V307" s="198"/>
      <c r="AA307" s="198"/>
      <c r="AB307" s="198"/>
    </row>
    <row r="308" spans="3:28" ht="13.2">
      <c r="C308" s="286"/>
      <c r="D308" s="287"/>
      <c r="E308" s="288"/>
      <c r="K308" s="289"/>
      <c r="U308" s="198"/>
      <c r="V308" s="198"/>
      <c r="AA308" s="198"/>
      <c r="AB308" s="198"/>
    </row>
    <row r="309" spans="3:28" ht="13.2">
      <c r="C309" s="286"/>
      <c r="D309" s="287"/>
      <c r="E309" s="288"/>
      <c r="K309" s="289"/>
      <c r="U309" s="198"/>
      <c r="V309" s="198"/>
      <c r="AA309" s="198"/>
      <c r="AB309" s="198"/>
    </row>
    <row r="310" spans="3:28" ht="13.2">
      <c r="C310" s="286"/>
      <c r="D310" s="287"/>
      <c r="E310" s="288"/>
      <c r="K310" s="289"/>
      <c r="U310" s="198"/>
      <c r="V310" s="198"/>
      <c r="AA310" s="198"/>
      <c r="AB310" s="198"/>
    </row>
    <row r="311" spans="3:28" ht="13.2">
      <c r="C311" s="286"/>
      <c r="D311" s="287"/>
      <c r="E311" s="288"/>
      <c r="K311" s="289"/>
      <c r="U311" s="198"/>
      <c r="V311" s="198"/>
      <c r="AA311" s="198"/>
      <c r="AB311" s="198"/>
    </row>
    <row r="312" spans="3:28" ht="13.2">
      <c r="C312" s="286"/>
      <c r="D312" s="287"/>
      <c r="E312" s="288"/>
      <c r="K312" s="289"/>
      <c r="U312" s="198"/>
      <c r="V312" s="198"/>
      <c r="AA312" s="198"/>
      <c r="AB312" s="198"/>
    </row>
    <row r="313" spans="3:28" ht="13.2">
      <c r="C313" s="286"/>
      <c r="D313" s="287"/>
      <c r="E313" s="288"/>
      <c r="K313" s="289"/>
      <c r="U313" s="198"/>
      <c r="V313" s="198"/>
      <c r="AA313" s="198"/>
      <c r="AB313" s="198"/>
    </row>
    <row r="314" spans="3:28" ht="13.2">
      <c r="C314" s="286"/>
      <c r="D314" s="287"/>
      <c r="E314" s="288"/>
      <c r="K314" s="289"/>
      <c r="U314" s="198"/>
      <c r="V314" s="198"/>
      <c r="AA314" s="198"/>
      <c r="AB314" s="198"/>
    </row>
    <row r="315" spans="3:28" ht="13.2">
      <c r="C315" s="286"/>
      <c r="D315" s="287"/>
      <c r="E315" s="288"/>
      <c r="K315" s="289"/>
      <c r="U315" s="198"/>
      <c r="V315" s="198"/>
      <c r="AA315" s="198"/>
      <c r="AB315" s="198"/>
    </row>
    <row r="316" spans="3:28" ht="13.2">
      <c r="C316" s="286"/>
      <c r="D316" s="287"/>
      <c r="E316" s="288"/>
      <c r="K316" s="289"/>
      <c r="U316" s="198"/>
      <c r="V316" s="198"/>
      <c r="AA316" s="198"/>
      <c r="AB316" s="198"/>
    </row>
    <row r="317" spans="3:28" ht="13.2">
      <c r="C317" s="286"/>
      <c r="D317" s="287"/>
      <c r="E317" s="288"/>
      <c r="K317" s="289"/>
      <c r="U317" s="198"/>
      <c r="V317" s="198"/>
      <c r="AA317" s="198"/>
      <c r="AB317" s="198"/>
    </row>
    <row r="318" spans="3:28" ht="13.2">
      <c r="C318" s="286"/>
      <c r="D318" s="287"/>
      <c r="E318" s="288"/>
      <c r="K318" s="289"/>
      <c r="U318" s="198"/>
      <c r="V318" s="198"/>
      <c r="AA318" s="198"/>
      <c r="AB318" s="198"/>
    </row>
    <row r="319" spans="3:28" ht="13.2">
      <c r="C319" s="286"/>
      <c r="D319" s="287"/>
      <c r="E319" s="288"/>
      <c r="K319" s="289"/>
      <c r="U319" s="198"/>
      <c r="V319" s="198"/>
      <c r="AA319" s="198"/>
      <c r="AB319" s="198"/>
    </row>
    <row r="320" spans="3:28" ht="13.2">
      <c r="C320" s="286"/>
      <c r="D320" s="287"/>
      <c r="E320" s="288"/>
      <c r="K320" s="289"/>
      <c r="U320" s="198"/>
      <c r="V320" s="198"/>
      <c r="AA320" s="198"/>
      <c r="AB320" s="198"/>
    </row>
    <row r="321" spans="3:28" ht="13.2">
      <c r="C321" s="286"/>
      <c r="D321" s="287"/>
      <c r="E321" s="288"/>
      <c r="K321" s="289"/>
      <c r="U321" s="198"/>
      <c r="V321" s="198"/>
      <c r="AA321" s="198"/>
      <c r="AB321" s="198"/>
    </row>
    <row r="322" spans="3:28" ht="13.2">
      <c r="C322" s="286"/>
      <c r="D322" s="287"/>
      <c r="E322" s="288"/>
      <c r="K322" s="289"/>
      <c r="U322" s="198"/>
      <c r="V322" s="198"/>
      <c r="AA322" s="198"/>
      <c r="AB322" s="198"/>
    </row>
    <row r="323" spans="3:28" ht="13.2">
      <c r="C323" s="286"/>
      <c r="D323" s="287"/>
      <c r="E323" s="288"/>
      <c r="K323" s="289"/>
      <c r="U323" s="198"/>
      <c r="V323" s="198"/>
      <c r="AA323" s="198"/>
      <c r="AB323" s="198"/>
    </row>
    <row r="324" spans="3:28" ht="13.2">
      <c r="C324" s="286"/>
      <c r="D324" s="287"/>
      <c r="E324" s="288"/>
      <c r="K324" s="289"/>
      <c r="U324" s="198"/>
      <c r="V324" s="198"/>
      <c r="AA324" s="198"/>
      <c r="AB324" s="198"/>
    </row>
    <row r="325" spans="3:28" ht="13.2">
      <c r="C325" s="286"/>
      <c r="D325" s="287"/>
      <c r="E325" s="288"/>
      <c r="K325" s="289"/>
      <c r="U325" s="198"/>
      <c r="V325" s="198"/>
      <c r="AA325" s="198"/>
      <c r="AB325" s="198"/>
    </row>
    <row r="326" spans="3:28" ht="13.2">
      <c r="C326" s="286"/>
      <c r="D326" s="287"/>
      <c r="E326" s="288"/>
      <c r="K326" s="289"/>
      <c r="U326" s="198"/>
      <c r="V326" s="198"/>
      <c r="AA326" s="198"/>
      <c r="AB326" s="198"/>
    </row>
    <row r="327" spans="3:28" ht="13.2">
      <c r="C327" s="286"/>
      <c r="D327" s="287"/>
      <c r="E327" s="288"/>
      <c r="K327" s="289"/>
      <c r="U327" s="198"/>
      <c r="V327" s="198"/>
      <c r="AA327" s="198"/>
      <c r="AB327" s="198"/>
    </row>
    <row r="328" spans="3:28" ht="13.2">
      <c r="C328" s="286"/>
      <c r="D328" s="287"/>
      <c r="E328" s="288"/>
      <c r="K328" s="289"/>
      <c r="U328" s="198"/>
      <c r="V328" s="198"/>
      <c r="AA328" s="198"/>
      <c r="AB328" s="198"/>
    </row>
    <row r="329" spans="3:28" ht="13.2">
      <c r="C329" s="286"/>
      <c r="D329" s="287"/>
      <c r="E329" s="288"/>
      <c r="K329" s="289"/>
      <c r="U329" s="198"/>
      <c r="V329" s="198"/>
      <c r="AA329" s="198"/>
      <c r="AB329" s="198"/>
    </row>
    <row r="330" spans="3:28" ht="13.2">
      <c r="C330" s="286"/>
      <c r="D330" s="287"/>
      <c r="E330" s="288"/>
      <c r="K330" s="289"/>
      <c r="U330" s="198"/>
      <c r="V330" s="198"/>
      <c r="AA330" s="198"/>
      <c r="AB330" s="198"/>
    </row>
    <row r="331" spans="3:28" ht="13.2">
      <c r="C331" s="286"/>
      <c r="D331" s="287"/>
      <c r="E331" s="288"/>
      <c r="K331" s="289"/>
      <c r="U331" s="198"/>
      <c r="V331" s="198"/>
      <c r="AA331" s="198"/>
      <c r="AB331" s="198"/>
    </row>
    <row r="332" spans="3:28" ht="13.2">
      <c r="C332" s="286"/>
      <c r="D332" s="287"/>
      <c r="E332" s="288"/>
      <c r="K332" s="289"/>
      <c r="U332" s="198"/>
      <c r="V332" s="198"/>
      <c r="AA332" s="198"/>
      <c r="AB332" s="198"/>
    </row>
    <row r="333" spans="3:28" ht="13.2">
      <c r="C333" s="286"/>
      <c r="D333" s="287"/>
      <c r="E333" s="288"/>
      <c r="K333" s="289"/>
      <c r="U333" s="198"/>
      <c r="V333" s="198"/>
      <c r="AA333" s="198"/>
      <c r="AB333" s="198"/>
    </row>
    <row r="334" spans="3:28" ht="13.2">
      <c r="C334" s="286"/>
      <c r="D334" s="287"/>
      <c r="E334" s="288"/>
      <c r="K334" s="289"/>
      <c r="U334" s="198"/>
      <c r="V334" s="198"/>
      <c r="AA334" s="198"/>
      <c r="AB334" s="198"/>
    </row>
    <row r="335" spans="3:28" ht="13.2">
      <c r="C335" s="286"/>
      <c r="D335" s="287"/>
      <c r="E335" s="288"/>
      <c r="K335" s="289"/>
      <c r="U335" s="198"/>
      <c r="V335" s="198"/>
      <c r="AA335" s="198"/>
      <c r="AB335" s="198"/>
    </row>
    <row r="336" spans="3:28" ht="13.2">
      <c r="C336" s="286"/>
      <c r="D336" s="287"/>
      <c r="E336" s="288"/>
      <c r="K336" s="289"/>
      <c r="U336" s="198"/>
      <c r="V336" s="198"/>
      <c r="AA336" s="198"/>
      <c r="AB336" s="198"/>
    </row>
    <row r="337" spans="3:28" ht="13.2">
      <c r="C337" s="286"/>
      <c r="D337" s="287"/>
      <c r="E337" s="288"/>
      <c r="K337" s="289"/>
      <c r="U337" s="198"/>
      <c r="V337" s="198"/>
      <c r="AA337" s="198"/>
      <c r="AB337" s="198"/>
    </row>
    <row r="338" spans="3:28" ht="13.2">
      <c r="C338" s="286"/>
      <c r="D338" s="287"/>
      <c r="E338" s="288"/>
      <c r="K338" s="289"/>
      <c r="U338" s="198"/>
      <c r="V338" s="198"/>
      <c r="AA338" s="198"/>
      <c r="AB338" s="198"/>
    </row>
    <row r="339" spans="3:28" ht="13.2">
      <c r="C339" s="286"/>
      <c r="D339" s="287"/>
      <c r="E339" s="288"/>
      <c r="K339" s="289"/>
      <c r="U339" s="198"/>
      <c r="V339" s="198"/>
      <c r="AA339" s="198"/>
      <c r="AB339" s="198"/>
    </row>
    <row r="340" spans="3:28" ht="13.2">
      <c r="C340" s="286"/>
      <c r="D340" s="287"/>
      <c r="E340" s="288"/>
      <c r="K340" s="289"/>
      <c r="U340" s="198"/>
      <c r="V340" s="198"/>
      <c r="AA340" s="198"/>
      <c r="AB340" s="198"/>
    </row>
    <row r="341" spans="3:28" ht="13.2">
      <c r="C341" s="286"/>
      <c r="D341" s="287"/>
      <c r="E341" s="288"/>
      <c r="K341" s="289"/>
      <c r="U341" s="198"/>
      <c r="V341" s="198"/>
      <c r="AA341" s="198"/>
      <c r="AB341" s="198"/>
    </row>
    <row r="342" spans="3:28" ht="13.2">
      <c r="C342" s="286"/>
      <c r="D342" s="287"/>
      <c r="E342" s="288"/>
      <c r="K342" s="289"/>
      <c r="U342" s="198"/>
      <c r="V342" s="198"/>
      <c r="AA342" s="198"/>
      <c r="AB342" s="198"/>
    </row>
    <row r="343" spans="3:28" ht="13.2">
      <c r="C343" s="286"/>
      <c r="D343" s="287"/>
      <c r="E343" s="288"/>
      <c r="K343" s="289"/>
      <c r="U343" s="198"/>
      <c r="V343" s="198"/>
      <c r="AA343" s="198"/>
      <c r="AB343" s="198"/>
    </row>
    <row r="344" spans="3:28" ht="13.2">
      <c r="C344" s="286"/>
      <c r="D344" s="287"/>
      <c r="E344" s="288"/>
      <c r="K344" s="289"/>
      <c r="U344" s="198"/>
      <c r="V344" s="198"/>
      <c r="AA344" s="198"/>
      <c r="AB344" s="198"/>
    </row>
    <row r="345" spans="3:28" ht="13.2">
      <c r="C345" s="286"/>
      <c r="D345" s="287"/>
      <c r="E345" s="288"/>
      <c r="K345" s="289"/>
      <c r="U345" s="198"/>
      <c r="V345" s="198"/>
      <c r="AA345" s="198"/>
      <c r="AB345" s="198"/>
    </row>
    <row r="346" spans="3:28" ht="13.2">
      <c r="C346" s="286"/>
      <c r="D346" s="287"/>
      <c r="E346" s="288"/>
      <c r="K346" s="289"/>
      <c r="U346" s="198"/>
      <c r="V346" s="198"/>
      <c r="AA346" s="198"/>
      <c r="AB346" s="198"/>
    </row>
    <row r="347" spans="3:28" ht="13.2">
      <c r="C347" s="286"/>
      <c r="D347" s="287"/>
      <c r="E347" s="288"/>
      <c r="K347" s="289"/>
      <c r="U347" s="198"/>
      <c r="V347" s="198"/>
      <c r="AA347" s="198"/>
      <c r="AB347" s="198"/>
    </row>
    <row r="348" spans="3:28" ht="13.2">
      <c r="C348" s="286"/>
      <c r="D348" s="287"/>
      <c r="E348" s="288"/>
      <c r="K348" s="289"/>
      <c r="U348" s="198"/>
      <c r="V348" s="198"/>
      <c r="AA348" s="198"/>
      <c r="AB348" s="198"/>
    </row>
    <row r="349" spans="3:28" ht="13.2">
      <c r="C349" s="286"/>
      <c r="D349" s="287"/>
      <c r="E349" s="288"/>
      <c r="K349" s="289"/>
      <c r="U349" s="198"/>
      <c r="V349" s="198"/>
      <c r="AA349" s="198"/>
      <c r="AB349" s="198"/>
    </row>
    <row r="350" spans="3:28" ht="13.2">
      <c r="C350" s="286"/>
      <c r="D350" s="287"/>
      <c r="E350" s="288"/>
      <c r="K350" s="289"/>
      <c r="U350" s="198"/>
      <c r="V350" s="198"/>
      <c r="AA350" s="198"/>
      <c r="AB350" s="198"/>
    </row>
    <row r="351" spans="3:28" ht="13.2">
      <c r="C351" s="286"/>
      <c r="D351" s="287"/>
      <c r="E351" s="288"/>
      <c r="K351" s="289"/>
      <c r="U351" s="198"/>
      <c r="V351" s="198"/>
      <c r="AA351" s="198"/>
      <c r="AB351" s="198"/>
    </row>
    <row r="352" spans="3:28" ht="13.2">
      <c r="C352" s="286"/>
      <c r="D352" s="287"/>
      <c r="E352" s="288"/>
      <c r="K352" s="289"/>
      <c r="U352" s="198"/>
      <c r="V352" s="198"/>
      <c r="AA352" s="198"/>
      <c r="AB352" s="198"/>
    </row>
    <row r="353" spans="3:28" ht="13.2">
      <c r="C353" s="286"/>
      <c r="D353" s="287"/>
      <c r="E353" s="288"/>
      <c r="K353" s="289"/>
      <c r="U353" s="198"/>
      <c r="V353" s="198"/>
      <c r="AA353" s="198"/>
      <c r="AB353" s="198"/>
    </row>
    <row r="354" spans="3:28" ht="13.2">
      <c r="C354" s="286"/>
      <c r="D354" s="287"/>
      <c r="E354" s="288"/>
      <c r="K354" s="289"/>
      <c r="U354" s="198"/>
      <c r="V354" s="198"/>
      <c r="AA354" s="198"/>
      <c r="AB354" s="198"/>
    </row>
    <row r="355" spans="3:28" ht="13.2">
      <c r="C355" s="286"/>
      <c r="D355" s="287"/>
      <c r="E355" s="288"/>
      <c r="K355" s="289"/>
      <c r="U355" s="198"/>
      <c r="V355" s="198"/>
      <c r="AA355" s="198"/>
      <c r="AB355" s="198"/>
    </row>
    <row r="356" spans="3:28" ht="13.2">
      <c r="C356" s="286"/>
      <c r="D356" s="287"/>
      <c r="E356" s="288"/>
      <c r="K356" s="289"/>
      <c r="U356" s="198"/>
      <c r="V356" s="198"/>
      <c r="AA356" s="198"/>
      <c r="AB356" s="198"/>
    </row>
    <row r="357" spans="3:28" ht="13.2">
      <c r="C357" s="286"/>
      <c r="D357" s="287"/>
      <c r="E357" s="288"/>
      <c r="K357" s="289"/>
      <c r="U357" s="198"/>
      <c r="V357" s="198"/>
      <c r="AA357" s="198"/>
      <c r="AB357" s="198"/>
    </row>
    <row r="358" spans="3:28" ht="13.2">
      <c r="C358" s="286"/>
      <c r="D358" s="287"/>
      <c r="E358" s="288"/>
      <c r="K358" s="289"/>
      <c r="U358" s="198"/>
      <c r="V358" s="198"/>
      <c r="AA358" s="198"/>
      <c r="AB358" s="198"/>
    </row>
    <row r="359" spans="3:28" ht="13.2">
      <c r="C359" s="286"/>
      <c r="D359" s="287"/>
      <c r="E359" s="288"/>
      <c r="K359" s="289"/>
      <c r="U359" s="198"/>
      <c r="V359" s="198"/>
      <c r="AA359" s="198"/>
      <c r="AB359" s="198"/>
    </row>
    <row r="360" spans="3:28" ht="13.2">
      <c r="C360" s="286"/>
      <c r="D360" s="287"/>
      <c r="E360" s="288"/>
      <c r="K360" s="289"/>
      <c r="U360" s="198"/>
      <c r="V360" s="198"/>
      <c r="AA360" s="198"/>
      <c r="AB360" s="198"/>
    </row>
    <row r="361" spans="3:28" ht="13.2">
      <c r="C361" s="286"/>
      <c r="D361" s="287"/>
      <c r="E361" s="288"/>
      <c r="K361" s="289"/>
      <c r="U361" s="198"/>
      <c r="V361" s="198"/>
      <c r="AA361" s="198"/>
      <c r="AB361" s="198"/>
    </row>
    <row r="362" spans="3:28" ht="13.2">
      <c r="C362" s="286"/>
      <c r="D362" s="287"/>
      <c r="E362" s="288"/>
      <c r="K362" s="289"/>
      <c r="U362" s="198"/>
      <c r="V362" s="198"/>
      <c r="AA362" s="198"/>
      <c r="AB362" s="198"/>
    </row>
    <row r="363" spans="3:28" ht="13.2">
      <c r="C363" s="286"/>
      <c r="D363" s="287"/>
      <c r="E363" s="288"/>
      <c r="K363" s="289"/>
      <c r="U363" s="198"/>
      <c r="V363" s="198"/>
      <c r="AA363" s="198"/>
      <c r="AB363" s="198"/>
    </row>
    <row r="364" spans="3:28" ht="13.2">
      <c r="C364" s="286"/>
      <c r="D364" s="287"/>
      <c r="E364" s="288"/>
      <c r="K364" s="289"/>
      <c r="U364" s="198"/>
      <c r="V364" s="198"/>
      <c r="AA364" s="198"/>
      <c r="AB364" s="198"/>
    </row>
    <row r="365" spans="3:28" ht="13.2">
      <c r="C365" s="286"/>
      <c r="D365" s="287"/>
      <c r="E365" s="288"/>
      <c r="K365" s="289"/>
      <c r="U365" s="198"/>
      <c r="V365" s="198"/>
      <c r="AA365" s="198"/>
      <c r="AB365" s="198"/>
    </row>
    <row r="366" spans="3:28" ht="13.2">
      <c r="C366" s="286"/>
      <c r="D366" s="287"/>
      <c r="E366" s="288"/>
      <c r="K366" s="289"/>
      <c r="U366" s="198"/>
      <c r="V366" s="198"/>
      <c r="AA366" s="198"/>
      <c r="AB366" s="198"/>
    </row>
    <row r="367" spans="3:28" ht="13.2">
      <c r="C367" s="286"/>
      <c r="D367" s="287"/>
      <c r="E367" s="288"/>
      <c r="K367" s="289"/>
      <c r="U367" s="198"/>
      <c r="V367" s="198"/>
      <c r="AA367" s="198"/>
      <c r="AB367" s="198"/>
    </row>
    <row r="368" spans="3:28" ht="13.2">
      <c r="C368" s="286"/>
      <c r="D368" s="287"/>
      <c r="E368" s="288"/>
      <c r="K368" s="289"/>
      <c r="U368" s="198"/>
      <c r="V368" s="198"/>
      <c r="AA368" s="198"/>
      <c r="AB368" s="198"/>
    </row>
    <row r="369" spans="3:28" ht="13.2">
      <c r="C369" s="286"/>
      <c r="D369" s="287"/>
      <c r="E369" s="288"/>
      <c r="K369" s="289"/>
      <c r="U369" s="198"/>
      <c r="V369" s="198"/>
      <c r="AA369" s="198"/>
      <c r="AB369" s="198"/>
    </row>
    <row r="370" spans="3:28" ht="13.2">
      <c r="C370" s="286"/>
      <c r="D370" s="287"/>
      <c r="E370" s="288"/>
      <c r="K370" s="289"/>
      <c r="U370" s="198"/>
      <c r="V370" s="198"/>
      <c r="AA370" s="198"/>
      <c r="AB370" s="198"/>
    </row>
    <row r="371" spans="3:28" ht="13.2">
      <c r="C371" s="286"/>
      <c r="D371" s="287"/>
      <c r="E371" s="288"/>
      <c r="K371" s="289"/>
      <c r="U371" s="198"/>
      <c r="V371" s="198"/>
      <c r="AA371" s="198"/>
      <c r="AB371" s="198"/>
    </row>
    <row r="372" spans="3:28" ht="13.2">
      <c r="C372" s="286"/>
      <c r="D372" s="287"/>
      <c r="E372" s="288"/>
      <c r="K372" s="289"/>
      <c r="U372" s="198"/>
      <c r="V372" s="198"/>
      <c r="AA372" s="198"/>
      <c r="AB372" s="198"/>
    </row>
    <row r="373" spans="3:28" ht="13.2">
      <c r="C373" s="286"/>
      <c r="D373" s="287"/>
      <c r="E373" s="288"/>
      <c r="K373" s="289"/>
      <c r="U373" s="198"/>
      <c r="V373" s="198"/>
      <c r="AA373" s="198"/>
      <c r="AB373" s="198"/>
    </row>
    <row r="374" spans="3:28" ht="13.2">
      <c r="C374" s="286"/>
      <c r="D374" s="287"/>
      <c r="E374" s="288"/>
      <c r="K374" s="289"/>
      <c r="U374" s="198"/>
      <c r="V374" s="198"/>
      <c r="AA374" s="198"/>
      <c r="AB374" s="198"/>
    </row>
    <row r="375" spans="3:28" ht="13.2">
      <c r="C375" s="286"/>
      <c r="D375" s="287"/>
      <c r="E375" s="288"/>
      <c r="K375" s="289"/>
      <c r="U375" s="198"/>
      <c r="V375" s="198"/>
      <c r="AA375" s="198"/>
      <c r="AB375" s="198"/>
    </row>
    <row r="376" spans="3:28" ht="13.2">
      <c r="C376" s="286"/>
      <c r="D376" s="287"/>
      <c r="E376" s="288"/>
      <c r="K376" s="289"/>
      <c r="U376" s="198"/>
      <c r="V376" s="198"/>
      <c r="AA376" s="198"/>
      <c r="AB376" s="198"/>
    </row>
    <row r="377" spans="3:28" ht="13.2">
      <c r="C377" s="286"/>
      <c r="D377" s="287"/>
      <c r="E377" s="288"/>
      <c r="K377" s="289"/>
      <c r="U377" s="198"/>
      <c r="V377" s="198"/>
      <c r="AA377" s="198"/>
      <c r="AB377" s="198"/>
    </row>
    <row r="378" spans="3:28" ht="13.2">
      <c r="C378" s="286"/>
      <c r="D378" s="287"/>
      <c r="E378" s="288"/>
      <c r="K378" s="289"/>
      <c r="U378" s="198"/>
      <c r="V378" s="198"/>
      <c r="AA378" s="198"/>
      <c r="AB378" s="198"/>
    </row>
    <row r="379" spans="3:28" ht="13.2">
      <c r="C379" s="286"/>
      <c r="D379" s="287"/>
      <c r="E379" s="288"/>
      <c r="K379" s="289"/>
      <c r="U379" s="198"/>
      <c r="V379" s="198"/>
      <c r="AA379" s="198"/>
      <c r="AB379" s="198"/>
    </row>
    <row r="380" spans="3:28" ht="13.2">
      <c r="C380" s="286"/>
      <c r="D380" s="287"/>
      <c r="E380" s="288"/>
      <c r="K380" s="289"/>
      <c r="U380" s="198"/>
      <c r="V380" s="198"/>
      <c r="AA380" s="198"/>
      <c r="AB380" s="198"/>
    </row>
    <row r="381" spans="3:28" ht="13.2">
      <c r="C381" s="286"/>
      <c r="D381" s="287"/>
      <c r="E381" s="288"/>
      <c r="K381" s="289"/>
      <c r="U381" s="198"/>
      <c r="V381" s="198"/>
      <c r="AA381" s="198"/>
      <c r="AB381" s="198"/>
    </row>
    <row r="382" spans="3:28" ht="13.2">
      <c r="C382" s="286"/>
      <c r="D382" s="287"/>
      <c r="E382" s="288"/>
      <c r="K382" s="289"/>
      <c r="U382" s="198"/>
      <c r="V382" s="198"/>
      <c r="AA382" s="198"/>
      <c r="AB382" s="198"/>
    </row>
    <row r="383" spans="3:28" ht="13.2">
      <c r="C383" s="286"/>
      <c r="D383" s="287"/>
      <c r="E383" s="288"/>
      <c r="K383" s="289"/>
      <c r="U383" s="198"/>
      <c r="V383" s="198"/>
      <c r="AA383" s="198"/>
      <c r="AB383" s="198"/>
    </row>
    <row r="384" spans="3:28" ht="13.2">
      <c r="C384" s="286"/>
      <c r="D384" s="287"/>
      <c r="E384" s="288"/>
      <c r="K384" s="289"/>
      <c r="U384" s="198"/>
      <c r="V384" s="198"/>
      <c r="AA384" s="198"/>
      <c r="AB384" s="198"/>
    </row>
    <row r="385" spans="3:28" ht="13.2">
      <c r="C385" s="286"/>
      <c r="D385" s="287"/>
      <c r="E385" s="288"/>
      <c r="K385" s="289"/>
      <c r="U385" s="198"/>
      <c r="V385" s="198"/>
      <c r="AA385" s="198"/>
      <c r="AB385" s="198"/>
    </row>
    <row r="386" spans="3:28" ht="13.2">
      <c r="C386" s="286"/>
      <c r="D386" s="287"/>
      <c r="E386" s="288"/>
      <c r="K386" s="289"/>
      <c r="U386" s="198"/>
      <c r="V386" s="198"/>
      <c r="AA386" s="198"/>
      <c r="AB386" s="198"/>
    </row>
    <row r="387" spans="3:28" ht="13.2">
      <c r="C387" s="286"/>
      <c r="D387" s="287"/>
      <c r="E387" s="288"/>
      <c r="K387" s="289"/>
      <c r="U387" s="198"/>
      <c r="V387" s="198"/>
      <c r="AA387" s="198"/>
      <c r="AB387" s="198"/>
    </row>
    <row r="388" spans="3:28" ht="13.2">
      <c r="C388" s="286"/>
      <c r="D388" s="287"/>
      <c r="E388" s="288"/>
      <c r="K388" s="289"/>
      <c r="U388" s="198"/>
      <c r="V388" s="198"/>
      <c r="AA388" s="198"/>
      <c r="AB388" s="198"/>
    </row>
    <row r="389" spans="3:28" ht="13.2">
      <c r="C389" s="286"/>
      <c r="D389" s="287"/>
      <c r="E389" s="288"/>
      <c r="K389" s="289"/>
      <c r="U389" s="198"/>
      <c r="V389" s="198"/>
      <c r="AA389" s="198"/>
      <c r="AB389" s="198"/>
    </row>
    <row r="390" spans="3:28" ht="13.2">
      <c r="C390" s="286"/>
      <c r="D390" s="287"/>
      <c r="E390" s="288"/>
      <c r="K390" s="289"/>
      <c r="U390" s="198"/>
      <c r="V390" s="198"/>
      <c r="AA390" s="198"/>
      <c r="AB390" s="198"/>
    </row>
    <row r="391" spans="3:28" ht="13.2">
      <c r="C391" s="286"/>
      <c r="D391" s="287"/>
      <c r="E391" s="288"/>
      <c r="K391" s="289"/>
      <c r="U391" s="198"/>
      <c r="V391" s="198"/>
      <c r="AA391" s="198"/>
      <c r="AB391" s="198"/>
    </row>
    <row r="392" spans="3:28" ht="13.2">
      <c r="C392" s="286"/>
      <c r="D392" s="287"/>
      <c r="E392" s="288"/>
      <c r="K392" s="289"/>
      <c r="U392" s="198"/>
      <c r="V392" s="198"/>
      <c r="AA392" s="198"/>
      <c r="AB392" s="198"/>
    </row>
    <row r="393" spans="3:28" ht="13.2">
      <c r="C393" s="286"/>
      <c r="D393" s="287"/>
      <c r="E393" s="288"/>
      <c r="K393" s="289"/>
      <c r="U393" s="198"/>
      <c r="V393" s="198"/>
      <c r="AA393" s="198"/>
      <c r="AB393" s="198"/>
    </row>
    <row r="394" spans="3:28" ht="13.2">
      <c r="C394" s="286"/>
      <c r="D394" s="287"/>
      <c r="E394" s="288"/>
      <c r="K394" s="289"/>
      <c r="U394" s="198"/>
      <c r="V394" s="198"/>
      <c r="AA394" s="198"/>
      <c r="AB394" s="198"/>
    </row>
    <row r="395" spans="3:28" ht="13.2">
      <c r="C395" s="286"/>
      <c r="D395" s="287"/>
      <c r="E395" s="288"/>
      <c r="K395" s="289"/>
      <c r="U395" s="198"/>
      <c r="V395" s="198"/>
      <c r="AA395" s="198"/>
      <c r="AB395" s="198"/>
    </row>
    <row r="396" spans="3:28" ht="13.2">
      <c r="C396" s="286"/>
      <c r="D396" s="287"/>
      <c r="E396" s="288"/>
      <c r="K396" s="289"/>
      <c r="U396" s="198"/>
      <c r="V396" s="198"/>
      <c r="AA396" s="198"/>
      <c r="AB396" s="198"/>
    </row>
    <row r="397" spans="3:28" ht="13.2">
      <c r="C397" s="286"/>
      <c r="D397" s="287"/>
      <c r="E397" s="288"/>
      <c r="K397" s="289"/>
      <c r="U397" s="198"/>
      <c r="V397" s="198"/>
      <c r="AA397" s="198"/>
      <c r="AB397" s="198"/>
    </row>
    <row r="398" spans="3:28" ht="13.2">
      <c r="C398" s="286"/>
      <c r="D398" s="287"/>
      <c r="E398" s="288"/>
      <c r="K398" s="289"/>
      <c r="U398" s="198"/>
      <c r="V398" s="198"/>
      <c r="AA398" s="198"/>
      <c r="AB398" s="198"/>
    </row>
    <row r="399" spans="3:28" ht="13.2">
      <c r="C399" s="286"/>
      <c r="D399" s="287"/>
      <c r="E399" s="288"/>
      <c r="K399" s="289"/>
      <c r="U399" s="198"/>
      <c r="V399" s="198"/>
      <c r="AA399" s="198"/>
      <c r="AB399" s="198"/>
    </row>
    <row r="400" spans="3:28" ht="13.2">
      <c r="C400" s="286"/>
      <c r="D400" s="287"/>
      <c r="E400" s="288"/>
      <c r="K400" s="289"/>
      <c r="U400" s="198"/>
      <c r="V400" s="198"/>
      <c r="AA400" s="198"/>
      <c r="AB400" s="198"/>
    </row>
    <row r="401" spans="3:28" ht="13.2">
      <c r="C401" s="286"/>
      <c r="D401" s="287"/>
      <c r="E401" s="288"/>
      <c r="K401" s="289"/>
      <c r="U401" s="198"/>
      <c r="V401" s="198"/>
      <c r="AA401" s="198"/>
      <c r="AB401" s="198"/>
    </row>
    <row r="402" spans="3:28" ht="13.2">
      <c r="C402" s="286"/>
      <c r="D402" s="287"/>
      <c r="E402" s="288"/>
      <c r="K402" s="289"/>
      <c r="U402" s="198"/>
      <c r="V402" s="198"/>
      <c r="AA402" s="198"/>
      <c r="AB402" s="198"/>
    </row>
    <row r="403" spans="3:28" ht="13.2">
      <c r="C403" s="286"/>
      <c r="D403" s="287"/>
      <c r="E403" s="288"/>
      <c r="K403" s="289"/>
      <c r="U403" s="198"/>
      <c r="V403" s="198"/>
      <c r="AA403" s="198"/>
      <c r="AB403" s="198"/>
    </row>
    <row r="404" spans="3:28" ht="13.2">
      <c r="C404" s="286"/>
      <c r="D404" s="287"/>
      <c r="E404" s="288"/>
      <c r="K404" s="289"/>
      <c r="U404" s="198"/>
      <c r="V404" s="198"/>
      <c r="AA404" s="198"/>
      <c r="AB404" s="198"/>
    </row>
    <row r="405" spans="3:28" ht="13.2">
      <c r="C405" s="286"/>
      <c r="D405" s="287"/>
      <c r="E405" s="288"/>
      <c r="K405" s="289"/>
      <c r="U405" s="198"/>
      <c r="V405" s="198"/>
      <c r="AA405" s="198"/>
      <c r="AB405" s="198"/>
    </row>
    <row r="406" spans="3:28" ht="13.2">
      <c r="C406" s="286"/>
      <c r="D406" s="287"/>
      <c r="E406" s="288"/>
      <c r="K406" s="289"/>
      <c r="U406" s="198"/>
      <c r="V406" s="198"/>
      <c r="AA406" s="198"/>
      <c r="AB406" s="198"/>
    </row>
    <row r="407" spans="3:28" ht="13.2">
      <c r="C407" s="286"/>
      <c r="D407" s="287"/>
      <c r="E407" s="288"/>
      <c r="K407" s="289"/>
      <c r="U407" s="198"/>
      <c r="V407" s="198"/>
      <c r="AA407" s="198"/>
      <c r="AB407" s="198"/>
    </row>
    <row r="408" spans="3:28" ht="13.2">
      <c r="C408" s="286"/>
      <c r="D408" s="287"/>
      <c r="E408" s="288"/>
      <c r="K408" s="289"/>
      <c r="U408" s="198"/>
      <c r="V408" s="198"/>
      <c r="AA408" s="198"/>
      <c r="AB408" s="198"/>
    </row>
    <row r="409" spans="3:28" ht="13.2">
      <c r="C409" s="286"/>
      <c r="D409" s="287"/>
      <c r="E409" s="288"/>
      <c r="K409" s="289"/>
      <c r="U409" s="198"/>
      <c r="V409" s="198"/>
      <c r="AA409" s="198"/>
      <c r="AB409" s="198"/>
    </row>
    <row r="410" spans="3:28" ht="13.2">
      <c r="C410" s="286"/>
      <c r="D410" s="287"/>
      <c r="E410" s="288"/>
      <c r="K410" s="289"/>
      <c r="U410" s="198"/>
      <c r="V410" s="198"/>
      <c r="AA410" s="198"/>
      <c r="AB410" s="198"/>
    </row>
    <row r="411" spans="3:28" ht="13.2">
      <c r="C411" s="286"/>
      <c r="D411" s="287"/>
      <c r="E411" s="288"/>
      <c r="K411" s="289"/>
      <c r="U411" s="198"/>
      <c r="V411" s="198"/>
      <c r="AA411" s="198"/>
      <c r="AB411" s="198"/>
    </row>
    <row r="412" spans="3:28" ht="13.2">
      <c r="C412" s="286"/>
      <c r="D412" s="287"/>
      <c r="E412" s="288"/>
      <c r="K412" s="289"/>
      <c r="U412" s="198"/>
      <c r="V412" s="198"/>
      <c r="AA412" s="198"/>
      <c r="AB412" s="198"/>
    </row>
    <row r="413" spans="3:28" ht="13.2">
      <c r="C413" s="286"/>
      <c r="D413" s="287"/>
      <c r="E413" s="288"/>
      <c r="K413" s="289"/>
      <c r="U413" s="198"/>
      <c r="V413" s="198"/>
      <c r="AA413" s="198"/>
      <c r="AB413" s="198"/>
    </row>
    <row r="414" spans="3:28" ht="13.2">
      <c r="C414" s="286"/>
      <c r="D414" s="287"/>
      <c r="E414" s="288"/>
      <c r="K414" s="289"/>
      <c r="U414" s="198"/>
      <c r="V414" s="198"/>
      <c r="AA414" s="198"/>
      <c r="AB414" s="198"/>
    </row>
    <row r="415" spans="3:28" ht="13.2">
      <c r="C415" s="286"/>
      <c r="D415" s="287"/>
      <c r="E415" s="288"/>
      <c r="K415" s="289"/>
      <c r="U415" s="198"/>
      <c r="V415" s="198"/>
      <c r="AA415" s="198"/>
      <c r="AB415" s="198"/>
    </row>
    <row r="416" spans="3:28" ht="13.2">
      <c r="C416" s="286"/>
      <c r="D416" s="287"/>
      <c r="E416" s="288"/>
      <c r="K416" s="289"/>
      <c r="U416" s="198"/>
      <c r="V416" s="198"/>
      <c r="AA416" s="198"/>
      <c r="AB416" s="198"/>
    </row>
    <row r="417" spans="3:28" ht="13.2">
      <c r="C417" s="286"/>
      <c r="D417" s="287"/>
      <c r="E417" s="288"/>
      <c r="K417" s="289"/>
      <c r="U417" s="198"/>
      <c r="V417" s="198"/>
      <c r="AA417" s="198"/>
      <c r="AB417" s="198"/>
    </row>
    <row r="418" spans="3:28" ht="13.2">
      <c r="C418" s="286"/>
      <c r="D418" s="287"/>
      <c r="E418" s="288"/>
      <c r="K418" s="289"/>
      <c r="U418" s="198"/>
      <c r="V418" s="198"/>
      <c r="AA418" s="198"/>
      <c r="AB418" s="198"/>
    </row>
    <row r="419" spans="3:28" ht="13.2">
      <c r="C419" s="286"/>
      <c r="D419" s="287"/>
      <c r="E419" s="288"/>
      <c r="K419" s="289"/>
      <c r="U419" s="198"/>
      <c r="V419" s="198"/>
      <c r="AA419" s="198"/>
      <c r="AB419" s="198"/>
    </row>
    <row r="420" spans="3:28" ht="13.2">
      <c r="C420" s="286"/>
      <c r="D420" s="287"/>
      <c r="E420" s="288"/>
      <c r="K420" s="289"/>
      <c r="U420" s="198"/>
      <c r="V420" s="198"/>
      <c r="AA420" s="198"/>
      <c r="AB420" s="198"/>
    </row>
    <row r="421" spans="3:28" ht="13.2">
      <c r="C421" s="286"/>
      <c r="D421" s="287"/>
      <c r="E421" s="288"/>
      <c r="K421" s="289"/>
      <c r="U421" s="198"/>
      <c r="V421" s="198"/>
      <c r="AA421" s="198"/>
      <c r="AB421" s="198"/>
    </row>
    <row r="422" spans="3:28" ht="13.2">
      <c r="C422" s="286"/>
      <c r="D422" s="287"/>
      <c r="E422" s="288"/>
      <c r="K422" s="289"/>
      <c r="U422" s="198"/>
      <c r="V422" s="198"/>
      <c r="AA422" s="198"/>
      <c r="AB422" s="198"/>
    </row>
    <row r="423" spans="3:28" ht="13.2">
      <c r="C423" s="286"/>
      <c r="D423" s="287"/>
      <c r="E423" s="288"/>
      <c r="K423" s="289"/>
      <c r="U423" s="198"/>
      <c r="V423" s="198"/>
      <c r="AA423" s="198"/>
      <c r="AB423" s="198"/>
    </row>
    <row r="424" spans="3:28" ht="13.2">
      <c r="C424" s="286"/>
      <c r="D424" s="287"/>
      <c r="E424" s="288"/>
      <c r="K424" s="289"/>
      <c r="U424" s="198"/>
      <c r="V424" s="198"/>
      <c r="AA424" s="198"/>
      <c r="AB424" s="198"/>
    </row>
    <row r="425" spans="3:28" ht="13.2">
      <c r="C425" s="286"/>
      <c r="D425" s="287"/>
      <c r="E425" s="288"/>
      <c r="K425" s="289"/>
      <c r="U425" s="198"/>
      <c r="V425" s="198"/>
      <c r="AA425" s="198"/>
      <c r="AB425" s="198"/>
    </row>
    <row r="426" spans="3:28" ht="13.2">
      <c r="C426" s="286"/>
      <c r="D426" s="287"/>
      <c r="E426" s="288"/>
      <c r="K426" s="289"/>
      <c r="U426" s="198"/>
      <c r="V426" s="198"/>
      <c r="AA426" s="198"/>
      <c r="AB426" s="198"/>
    </row>
    <row r="427" spans="3:28" ht="13.2">
      <c r="C427" s="286"/>
      <c r="D427" s="287"/>
      <c r="E427" s="288"/>
      <c r="K427" s="289"/>
      <c r="U427" s="198"/>
      <c r="V427" s="198"/>
      <c r="AA427" s="198"/>
      <c r="AB427" s="198"/>
    </row>
    <row r="428" spans="3:28" ht="13.2">
      <c r="C428" s="286"/>
      <c r="D428" s="287"/>
      <c r="E428" s="288"/>
      <c r="K428" s="289"/>
      <c r="U428" s="198"/>
      <c r="V428" s="198"/>
      <c r="AA428" s="198"/>
      <c r="AB428" s="198"/>
    </row>
    <row r="429" spans="3:28" ht="13.2">
      <c r="C429" s="286"/>
      <c r="D429" s="287"/>
      <c r="E429" s="288"/>
      <c r="K429" s="289"/>
      <c r="U429" s="198"/>
      <c r="V429" s="198"/>
      <c r="AA429" s="198"/>
      <c r="AB429" s="198"/>
    </row>
    <row r="430" spans="3:28" ht="13.2">
      <c r="C430" s="286"/>
      <c r="D430" s="287"/>
      <c r="E430" s="288"/>
      <c r="K430" s="289"/>
      <c r="U430" s="198"/>
      <c r="V430" s="198"/>
      <c r="AA430" s="198"/>
      <c r="AB430" s="198"/>
    </row>
    <row r="431" spans="3:28" ht="13.2">
      <c r="C431" s="286"/>
      <c r="D431" s="287"/>
      <c r="E431" s="288"/>
      <c r="K431" s="289"/>
      <c r="U431" s="198"/>
      <c r="V431" s="198"/>
      <c r="AA431" s="198"/>
      <c r="AB431" s="198"/>
    </row>
    <row r="432" spans="3:28" ht="13.2">
      <c r="C432" s="286"/>
      <c r="D432" s="287"/>
      <c r="E432" s="288"/>
      <c r="K432" s="289"/>
      <c r="U432" s="198"/>
      <c r="V432" s="198"/>
      <c r="AA432" s="198"/>
      <c r="AB432" s="198"/>
    </row>
    <row r="433" spans="3:28" ht="13.2">
      <c r="C433" s="286"/>
      <c r="D433" s="287"/>
      <c r="E433" s="288"/>
      <c r="K433" s="289"/>
      <c r="U433" s="198"/>
      <c r="V433" s="198"/>
      <c r="AA433" s="198"/>
      <c r="AB433" s="198"/>
    </row>
    <row r="434" spans="3:28" ht="13.2">
      <c r="C434" s="286"/>
      <c r="D434" s="287"/>
      <c r="E434" s="288"/>
      <c r="K434" s="289"/>
      <c r="U434" s="198"/>
      <c r="V434" s="198"/>
      <c r="AA434" s="198"/>
      <c r="AB434" s="198"/>
    </row>
    <row r="435" spans="3:28" ht="13.2">
      <c r="C435" s="286"/>
      <c r="D435" s="287"/>
      <c r="E435" s="288"/>
      <c r="K435" s="289"/>
      <c r="U435" s="198"/>
      <c r="V435" s="198"/>
      <c r="AA435" s="198"/>
      <c r="AB435" s="198"/>
    </row>
    <row r="436" spans="3:28" ht="13.2">
      <c r="C436" s="286"/>
      <c r="D436" s="287"/>
      <c r="E436" s="288"/>
      <c r="K436" s="289"/>
      <c r="U436" s="198"/>
      <c r="V436" s="198"/>
      <c r="AA436" s="198"/>
      <c r="AB436" s="198"/>
    </row>
    <row r="437" spans="3:28" ht="13.2">
      <c r="C437" s="286"/>
      <c r="D437" s="287"/>
      <c r="E437" s="288"/>
      <c r="K437" s="289"/>
      <c r="U437" s="198"/>
      <c r="V437" s="198"/>
      <c r="AA437" s="198"/>
      <c r="AB437" s="198"/>
    </row>
    <row r="438" spans="3:28" ht="13.2">
      <c r="C438" s="286"/>
      <c r="D438" s="287"/>
      <c r="E438" s="288"/>
      <c r="K438" s="289"/>
      <c r="U438" s="198"/>
      <c r="V438" s="198"/>
      <c r="AA438" s="198"/>
      <c r="AB438" s="198"/>
    </row>
    <row r="439" spans="3:28" ht="13.2">
      <c r="C439" s="286"/>
      <c r="D439" s="287"/>
      <c r="E439" s="288"/>
      <c r="K439" s="289"/>
      <c r="U439" s="198"/>
      <c r="V439" s="198"/>
      <c r="AA439" s="198"/>
      <c r="AB439" s="198"/>
    </row>
    <row r="440" spans="3:28" ht="13.2">
      <c r="C440" s="286"/>
      <c r="D440" s="287"/>
      <c r="E440" s="288"/>
      <c r="K440" s="289"/>
      <c r="U440" s="198"/>
      <c r="V440" s="198"/>
      <c r="AA440" s="198"/>
      <c r="AB440" s="198"/>
    </row>
    <row r="441" spans="3:28" ht="13.2">
      <c r="C441" s="286"/>
      <c r="D441" s="287"/>
      <c r="E441" s="288"/>
      <c r="K441" s="289"/>
      <c r="U441" s="198"/>
      <c r="V441" s="198"/>
      <c r="AA441" s="198"/>
      <c r="AB441" s="198"/>
    </row>
    <row r="442" spans="3:28" ht="13.2">
      <c r="C442" s="286"/>
      <c r="D442" s="287"/>
      <c r="E442" s="288"/>
      <c r="K442" s="289"/>
      <c r="U442" s="198"/>
      <c r="V442" s="198"/>
      <c r="AA442" s="198"/>
      <c r="AB442" s="198"/>
    </row>
    <row r="443" spans="3:28" ht="13.2">
      <c r="C443" s="286"/>
      <c r="D443" s="287"/>
      <c r="E443" s="288"/>
      <c r="K443" s="289"/>
      <c r="U443" s="198"/>
      <c r="V443" s="198"/>
      <c r="AA443" s="198"/>
      <c r="AB443" s="198"/>
    </row>
    <row r="444" spans="3:28" ht="13.2">
      <c r="C444" s="286"/>
      <c r="D444" s="287"/>
      <c r="E444" s="288"/>
      <c r="K444" s="289"/>
      <c r="U444" s="198"/>
      <c r="V444" s="198"/>
      <c r="AA444" s="198"/>
      <c r="AB444" s="198"/>
    </row>
    <row r="445" spans="3:28" ht="13.2">
      <c r="C445" s="286"/>
      <c r="D445" s="287"/>
      <c r="E445" s="288"/>
      <c r="K445" s="289"/>
      <c r="U445" s="198"/>
      <c r="V445" s="198"/>
      <c r="AA445" s="198"/>
      <c r="AB445" s="198"/>
    </row>
    <row r="446" spans="3:28" ht="13.2">
      <c r="C446" s="286"/>
      <c r="D446" s="287"/>
      <c r="E446" s="288"/>
      <c r="K446" s="289"/>
      <c r="U446" s="198"/>
      <c r="V446" s="198"/>
      <c r="AA446" s="198"/>
      <c r="AB446" s="198"/>
    </row>
    <row r="447" spans="3:28" ht="13.2">
      <c r="C447" s="286"/>
      <c r="D447" s="287"/>
      <c r="E447" s="288"/>
      <c r="K447" s="289"/>
      <c r="U447" s="198"/>
      <c r="V447" s="198"/>
      <c r="AA447" s="198"/>
      <c r="AB447" s="198"/>
    </row>
    <row r="448" spans="3:28" ht="13.2">
      <c r="C448" s="286"/>
      <c r="D448" s="287"/>
      <c r="E448" s="288"/>
      <c r="K448" s="289"/>
      <c r="U448" s="198"/>
      <c r="V448" s="198"/>
      <c r="AA448" s="198"/>
      <c r="AB448" s="198"/>
    </row>
    <row r="449" spans="3:28" ht="13.2">
      <c r="C449" s="286"/>
      <c r="D449" s="287"/>
      <c r="E449" s="288"/>
      <c r="K449" s="289"/>
      <c r="U449" s="198"/>
      <c r="V449" s="198"/>
      <c r="AA449" s="198"/>
      <c r="AB449" s="198"/>
    </row>
    <row r="450" spans="3:28" ht="13.2">
      <c r="C450" s="286"/>
      <c r="D450" s="287"/>
      <c r="E450" s="288"/>
      <c r="K450" s="289"/>
      <c r="U450" s="198"/>
      <c r="V450" s="198"/>
      <c r="AA450" s="198"/>
      <c r="AB450" s="198"/>
    </row>
    <row r="451" spans="3:28" ht="13.2">
      <c r="C451" s="286"/>
      <c r="D451" s="287"/>
      <c r="E451" s="288"/>
      <c r="K451" s="289"/>
      <c r="U451" s="198"/>
      <c r="V451" s="198"/>
      <c r="AA451" s="198"/>
      <c r="AB451" s="198"/>
    </row>
    <row r="452" spans="3:28" ht="13.2">
      <c r="C452" s="286"/>
      <c r="D452" s="287"/>
      <c r="E452" s="288"/>
      <c r="K452" s="289"/>
      <c r="U452" s="198"/>
      <c r="V452" s="198"/>
      <c r="AA452" s="198"/>
      <c r="AB452" s="198"/>
    </row>
    <row r="453" spans="3:28" ht="13.2">
      <c r="C453" s="286"/>
      <c r="D453" s="287"/>
      <c r="E453" s="288"/>
      <c r="K453" s="289"/>
      <c r="U453" s="198"/>
      <c r="V453" s="198"/>
      <c r="AA453" s="198"/>
      <c r="AB453" s="198"/>
    </row>
    <row r="454" spans="3:28" ht="13.2">
      <c r="C454" s="286"/>
      <c r="D454" s="287"/>
      <c r="E454" s="288"/>
      <c r="K454" s="289"/>
      <c r="U454" s="198"/>
      <c r="V454" s="198"/>
      <c r="AA454" s="198"/>
      <c r="AB454" s="198"/>
    </row>
    <row r="455" spans="3:28" ht="13.2">
      <c r="C455" s="286"/>
      <c r="D455" s="287"/>
      <c r="E455" s="288"/>
      <c r="K455" s="289"/>
      <c r="U455" s="198"/>
      <c r="V455" s="198"/>
      <c r="AA455" s="198"/>
      <c r="AB455" s="198"/>
    </row>
    <row r="456" spans="3:28" ht="13.2">
      <c r="C456" s="286"/>
      <c r="D456" s="287"/>
      <c r="E456" s="288"/>
      <c r="K456" s="289"/>
      <c r="U456" s="198"/>
      <c r="V456" s="198"/>
      <c r="AA456" s="198"/>
      <c r="AB456" s="198"/>
    </row>
    <row r="457" spans="3:28" ht="13.2">
      <c r="C457" s="286"/>
      <c r="D457" s="287"/>
      <c r="E457" s="288"/>
      <c r="K457" s="289"/>
      <c r="U457" s="198"/>
      <c r="V457" s="198"/>
      <c r="AA457" s="198"/>
      <c r="AB457" s="198"/>
    </row>
    <row r="458" spans="3:28" ht="13.2">
      <c r="C458" s="286"/>
      <c r="D458" s="287"/>
      <c r="E458" s="288"/>
      <c r="K458" s="289"/>
      <c r="U458" s="198"/>
      <c r="V458" s="198"/>
      <c r="AA458" s="198"/>
      <c r="AB458" s="198"/>
    </row>
    <row r="459" spans="3:28" ht="13.2">
      <c r="C459" s="286"/>
      <c r="D459" s="287"/>
      <c r="E459" s="288"/>
      <c r="K459" s="289"/>
      <c r="U459" s="198"/>
      <c r="V459" s="198"/>
      <c r="AA459" s="198"/>
      <c r="AB459" s="198"/>
    </row>
    <row r="460" spans="3:28" ht="13.2">
      <c r="C460" s="286"/>
      <c r="D460" s="287"/>
      <c r="E460" s="288"/>
      <c r="K460" s="289"/>
      <c r="U460" s="198"/>
      <c r="V460" s="198"/>
      <c r="AA460" s="198"/>
      <c r="AB460" s="198"/>
    </row>
    <row r="461" spans="3:28" ht="13.2">
      <c r="C461" s="286"/>
      <c r="D461" s="287"/>
      <c r="E461" s="288"/>
      <c r="K461" s="289"/>
      <c r="U461" s="198"/>
      <c r="V461" s="198"/>
      <c r="AA461" s="198"/>
      <c r="AB461" s="198"/>
    </row>
    <row r="462" spans="3:28" ht="13.2">
      <c r="C462" s="286"/>
      <c r="D462" s="287"/>
      <c r="E462" s="288"/>
      <c r="K462" s="289"/>
      <c r="U462" s="198"/>
      <c r="V462" s="198"/>
      <c r="AA462" s="198"/>
      <c r="AB462" s="198"/>
    </row>
    <row r="463" spans="3:28" ht="13.2">
      <c r="C463" s="286"/>
      <c r="D463" s="287"/>
      <c r="E463" s="288"/>
      <c r="K463" s="289"/>
      <c r="U463" s="198"/>
      <c r="V463" s="198"/>
      <c r="AA463" s="198"/>
      <c r="AB463" s="198"/>
    </row>
    <row r="464" spans="3:28" ht="13.2">
      <c r="C464" s="286"/>
      <c r="D464" s="287"/>
      <c r="E464" s="288"/>
      <c r="K464" s="289"/>
      <c r="U464" s="198"/>
      <c r="V464" s="198"/>
      <c r="AA464" s="198"/>
      <c r="AB464" s="198"/>
    </row>
    <row r="465" spans="3:28" ht="13.2">
      <c r="C465" s="286"/>
      <c r="D465" s="287"/>
      <c r="E465" s="288"/>
      <c r="K465" s="289"/>
      <c r="U465" s="198"/>
      <c r="V465" s="198"/>
      <c r="AA465" s="198"/>
      <c r="AB465" s="198"/>
    </row>
    <row r="466" spans="3:28" ht="13.2">
      <c r="C466" s="286"/>
      <c r="D466" s="287"/>
      <c r="E466" s="288"/>
      <c r="K466" s="289"/>
      <c r="U466" s="198"/>
      <c r="V466" s="198"/>
      <c r="AA466" s="198"/>
      <c r="AB466" s="198"/>
    </row>
    <row r="467" spans="3:28" ht="13.2">
      <c r="C467" s="286"/>
      <c r="D467" s="287"/>
      <c r="E467" s="288"/>
      <c r="K467" s="289"/>
      <c r="U467" s="198"/>
      <c r="V467" s="198"/>
      <c r="AA467" s="198"/>
      <c r="AB467" s="198"/>
    </row>
    <row r="468" spans="3:28" ht="13.2">
      <c r="C468" s="286"/>
      <c r="D468" s="287"/>
      <c r="E468" s="288"/>
      <c r="K468" s="289"/>
      <c r="U468" s="198"/>
      <c r="V468" s="198"/>
      <c r="AA468" s="198"/>
      <c r="AB468" s="198"/>
    </row>
    <row r="469" spans="3:28" ht="13.2">
      <c r="C469" s="286"/>
      <c r="D469" s="287"/>
      <c r="E469" s="288"/>
      <c r="K469" s="289"/>
      <c r="U469" s="198"/>
      <c r="V469" s="198"/>
      <c r="AA469" s="198"/>
      <c r="AB469" s="198"/>
    </row>
    <row r="470" spans="3:28" ht="13.2">
      <c r="C470" s="286"/>
      <c r="D470" s="287"/>
      <c r="E470" s="288"/>
      <c r="K470" s="289"/>
      <c r="U470" s="198"/>
      <c r="V470" s="198"/>
      <c r="AA470" s="198"/>
      <c r="AB470" s="198"/>
    </row>
    <row r="471" spans="3:28" ht="13.2">
      <c r="C471" s="286"/>
      <c r="D471" s="287"/>
      <c r="E471" s="288"/>
      <c r="K471" s="289"/>
      <c r="U471" s="198"/>
      <c r="V471" s="198"/>
      <c r="AA471" s="198"/>
      <c r="AB471" s="198"/>
    </row>
    <row r="472" spans="3:28" ht="13.2">
      <c r="C472" s="286"/>
      <c r="D472" s="287"/>
      <c r="E472" s="288"/>
      <c r="K472" s="289"/>
      <c r="U472" s="198"/>
      <c r="V472" s="198"/>
      <c r="AA472" s="198"/>
      <c r="AB472" s="198"/>
    </row>
    <row r="473" spans="3:28" ht="13.2">
      <c r="C473" s="286"/>
      <c r="D473" s="287"/>
      <c r="E473" s="288"/>
      <c r="K473" s="289"/>
      <c r="U473" s="198"/>
      <c r="V473" s="198"/>
      <c r="AA473" s="198"/>
      <c r="AB473" s="198"/>
    </row>
    <row r="474" spans="3:28" ht="13.2">
      <c r="C474" s="286"/>
      <c r="D474" s="287"/>
      <c r="E474" s="288"/>
      <c r="K474" s="289"/>
      <c r="U474" s="198"/>
      <c r="V474" s="198"/>
      <c r="AA474" s="198"/>
      <c r="AB474" s="198"/>
    </row>
    <row r="475" spans="3:28" ht="13.2">
      <c r="C475" s="286"/>
      <c r="D475" s="287"/>
      <c r="E475" s="288"/>
      <c r="K475" s="289"/>
      <c r="U475" s="198"/>
      <c r="V475" s="198"/>
      <c r="AA475" s="198"/>
      <c r="AB475" s="198"/>
    </row>
    <row r="476" spans="3:28" ht="13.2">
      <c r="C476" s="286"/>
      <c r="D476" s="287"/>
      <c r="E476" s="288"/>
      <c r="K476" s="289"/>
      <c r="U476" s="198"/>
      <c r="V476" s="198"/>
      <c r="AA476" s="198"/>
      <c r="AB476" s="198"/>
    </row>
    <row r="477" spans="3:28" ht="13.2">
      <c r="C477" s="286"/>
      <c r="D477" s="287"/>
      <c r="E477" s="288"/>
      <c r="K477" s="289"/>
      <c r="U477" s="198"/>
      <c r="V477" s="198"/>
      <c r="AA477" s="198"/>
      <c r="AB477" s="198"/>
    </row>
    <row r="478" spans="3:28" ht="13.2">
      <c r="C478" s="286"/>
      <c r="D478" s="287"/>
      <c r="E478" s="288"/>
      <c r="K478" s="289"/>
      <c r="U478" s="198"/>
      <c r="V478" s="198"/>
      <c r="AA478" s="198"/>
      <c r="AB478" s="198"/>
    </row>
    <row r="479" spans="3:28" ht="13.2">
      <c r="C479" s="286"/>
      <c r="D479" s="287"/>
      <c r="E479" s="288"/>
      <c r="K479" s="289"/>
      <c r="U479" s="198"/>
      <c r="V479" s="198"/>
      <c r="AA479" s="198"/>
      <c r="AB479" s="198"/>
    </row>
    <row r="480" spans="3:28" ht="13.2">
      <c r="C480" s="286"/>
      <c r="D480" s="287"/>
      <c r="E480" s="288"/>
      <c r="K480" s="289"/>
      <c r="U480" s="198"/>
      <c r="V480" s="198"/>
      <c r="AA480" s="198"/>
      <c r="AB480" s="198"/>
    </row>
    <row r="481" spans="3:28" ht="13.2">
      <c r="C481" s="286"/>
      <c r="D481" s="287"/>
      <c r="E481" s="288"/>
      <c r="K481" s="289"/>
      <c r="U481" s="198"/>
      <c r="V481" s="198"/>
      <c r="AA481" s="198"/>
      <c r="AB481" s="198"/>
    </row>
    <row r="482" spans="3:28" ht="13.2">
      <c r="C482" s="286"/>
      <c r="D482" s="287"/>
      <c r="E482" s="288"/>
      <c r="K482" s="289"/>
      <c r="U482" s="198"/>
      <c r="V482" s="198"/>
      <c r="AA482" s="198"/>
      <c r="AB482" s="198"/>
    </row>
    <row r="483" spans="3:28" ht="13.2">
      <c r="C483" s="286"/>
      <c r="D483" s="287"/>
      <c r="E483" s="288"/>
      <c r="K483" s="289"/>
      <c r="U483" s="198"/>
      <c r="V483" s="198"/>
      <c r="AA483" s="198"/>
      <c r="AB483" s="198"/>
    </row>
    <row r="484" spans="3:28" ht="13.2">
      <c r="C484" s="286"/>
      <c r="D484" s="287"/>
      <c r="E484" s="288"/>
      <c r="K484" s="289"/>
      <c r="U484" s="198"/>
      <c r="V484" s="198"/>
      <c r="AA484" s="198"/>
      <c r="AB484" s="198"/>
    </row>
    <row r="485" spans="3:28" ht="13.2">
      <c r="C485" s="286"/>
      <c r="D485" s="287"/>
      <c r="E485" s="288"/>
      <c r="K485" s="289"/>
      <c r="U485" s="198"/>
      <c r="V485" s="198"/>
      <c r="AA485" s="198"/>
      <c r="AB485" s="198"/>
    </row>
    <row r="486" spans="3:28" ht="13.2">
      <c r="C486" s="286"/>
      <c r="D486" s="287"/>
      <c r="E486" s="288"/>
      <c r="K486" s="289"/>
      <c r="U486" s="198"/>
      <c r="V486" s="198"/>
      <c r="AA486" s="198"/>
      <c r="AB486" s="198"/>
    </row>
    <row r="487" spans="3:28" ht="13.2">
      <c r="C487" s="286"/>
      <c r="D487" s="287"/>
      <c r="E487" s="288"/>
      <c r="K487" s="289"/>
      <c r="U487" s="198"/>
      <c r="V487" s="198"/>
      <c r="AA487" s="198"/>
      <c r="AB487" s="198"/>
    </row>
    <row r="488" spans="3:28" ht="13.2">
      <c r="C488" s="286"/>
      <c r="D488" s="287"/>
      <c r="E488" s="288"/>
      <c r="K488" s="289"/>
      <c r="U488" s="198"/>
      <c r="V488" s="198"/>
      <c r="AA488" s="198"/>
      <c r="AB488" s="198"/>
    </row>
    <row r="489" spans="3:28" ht="13.2">
      <c r="C489" s="286"/>
      <c r="D489" s="287"/>
      <c r="E489" s="288"/>
      <c r="K489" s="289"/>
      <c r="U489" s="198"/>
      <c r="V489" s="198"/>
      <c r="AA489" s="198"/>
      <c r="AB489" s="198"/>
    </row>
    <row r="490" spans="3:28" ht="13.2">
      <c r="C490" s="286"/>
      <c r="D490" s="287"/>
      <c r="E490" s="288"/>
      <c r="K490" s="289"/>
      <c r="U490" s="198"/>
      <c r="V490" s="198"/>
      <c r="AA490" s="198"/>
      <c r="AB490" s="198"/>
    </row>
    <row r="491" spans="3:28" ht="13.2">
      <c r="C491" s="286"/>
      <c r="D491" s="287"/>
      <c r="E491" s="288"/>
      <c r="K491" s="289"/>
      <c r="U491" s="198"/>
      <c r="V491" s="198"/>
      <c r="AA491" s="198"/>
      <c r="AB491" s="198"/>
    </row>
    <row r="492" spans="3:28" ht="13.2">
      <c r="C492" s="286"/>
      <c r="D492" s="287"/>
      <c r="E492" s="288"/>
      <c r="K492" s="289"/>
      <c r="U492" s="198"/>
      <c r="V492" s="198"/>
      <c r="AA492" s="198"/>
      <c r="AB492" s="198"/>
    </row>
    <row r="493" spans="3:28" ht="13.2">
      <c r="C493" s="286"/>
      <c r="D493" s="287"/>
      <c r="E493" s="288"/>
      <c r="K493" s="289"/>
      <c r="U493" s="198"/>
      <c r="V493" s="198"/>
      <c r="AA493" s="198"/>
      <c r="AB493" s="198"/>
    </row>
    <row r="494" spans="3:28" ht="13.2">
      <c r="C494" s="286"/>
      <c r="D494" s="287"/>
      <c r="E494" s="288"/>
      <c r="K494" s="289"/>
      <c r="U494" s="198"/>
      <c r="V494" s="198"/>
      <c r="AA494" s="198"/>
      <c r="AB494" s="198"/>
    </row>
    <row r="495" spans="3:28" ht="13.2">
      <c r="C495" s="286"/>
      <c r="D495" s="287"/>
      <c r="E495" s="288"/>
      <c r="K495" s="289"/>
      <c r="U495" s="198"/>
      <c r="V495" s="198"/>
      <c r="AA495" s="198"/>
      <c r="AB495" s="198"/>
    </row>
    <row r="496" spans="3:28" ht="13.2">
      <c r="C496" s="286"/>
      <c r="D496" s="287"/>
      <c r="E496" s="288"/>
      <c r="K496" s="289"/>
      <c r="U496" s="198"/>
      <c r="V496" s="198"/>
      <c r="AA496" s="198"/>
      <c r="AB496" s="198"/>
    </row>
    <row r="497" spans="3:28" ht="13.2">
      <c r="C497" s="286"/>
      <c r="D497" s="287"/>
      <c r="E497" s="288"/>
      <c r="K497" s="289"/>
      <c r="U497" s="198"/>
      <c r="V497" s="198"/>
      <c r="AA497" s="198"/>
      <c r="AB497" s="198"/>
    </row>
    <row r="498" spans="3:28" ht="13.2">
      <c r="C498" s="286"/>
      <c r="D498" s="287"/>
      <c r="E498" s="288"/>
      <c r="K498" s="289"/>
      <c r="U498" s="198"/>
      <c r="V498" s="198"/>
      <c r="AA498" s="198"/>
      <c r="AB498" s="198"/>
    </row>
    <row r="499" spans="3:28" ht="13.2">
      <c r="C499" s="286"/>
      <c r="D499" s="287"/>
      <c r="E499" s="288"/>
      <c r="K499" s="289"/>
      <c r="U499" s="198"/>
      <c r="V499" s="198"/>
      <c r="AA499" s="198"/>
      <c r="AB499" s="198"/>
    </row>
    <row r="500" spans="3:28" ht="13.2">
      <c r="C500" s="286"/>
      <c r="D500" s="287"/>
      <c r="E500" s="288"/>
      <c r="K500" s="289"/>
      <c r="U500" s="198"/>
      <c r="V500" s="198"/>
      <c r="AA500" s="198"/>
      <c r="AB500" s="198"/>
    </row>
    <row r="501" spans="3:28" ht="13.2">
      <c r="C501" s="286"/>
      <c r="D501" s="287"/>
      <c r="E501" s="288"/>
      <c r="K501" s="289"/>
      <c r="U501" s="198"/>
      <c r="V501" s="198"/>
      <c r="AA501" s="198"/>
      <c r="AB501" s="198"/>
    </row>
    <row r="502" spans="3:28" ht="13.2">
      <c r="C502" s="286"/>
      <c r="D502" s="287"/>
      <c r="E502" s="288"/>
      <c r="K502" s="289"/>
      <c r="U502" s="198"/>
      <c r="V502" s="198"/>
      <c r="AA502" s="198"/>
      <c r="AB502" s="198"/>
    </row>
    <row r="503" spans="3:28" ht="13.2">
      <c r="C503" s="286"/>
      <c r="D503" s="287"/>
      <c r="E503" s="288"/>
      <c r="K503" s="289"/>
      <c r="U503" s="198"/>
      <c r="V503" s="198"/>
      <c r="AA503" s="198"/>
      <c r="AB503" s="198"/>
    </row>
    <row r="504" spans="3:28" ht="13.2">
      <c r="C504" s="286"/>
      <c r="D504" s="287"/>
      <c r="E504" s="288"/>
      <c r="K504" s="289"/>
      <c r="U504" s="198"/>
      <c r="V504" s="198"/>
      <c r="AA504" s="198"/>
      <c r="AB504" s="198"/>
    </row>
    <row r="505" spans="3:28" ht="13.2">
      <c r="C505" s="286"/>
      <c r="D505" s="287"/>
      <c r="E505" s="288"/>
      <c r="K505" s="289"/>
      <c r="U505" s="198"/>
      <c r="V505" s="198"/>
      <c r="AA505" s="198"/>
      <c r="AB505" s="198"/>
    </row>
    <row r="506" spans="3:28" ht="13.2">
      <c r="C506" s="286"/>
      <c r="D506" s="287"/>
      <c r="E506" s="288"/>
      <c r="K506" s="289"/>
      <c r="U506" s="198"/>
      <c r="V506" s="198"/>
      <c r="AA506" s="198"/>
      <c r="AB506" s="198"/>
    </row>
    <row r="507" spans="3:28" ht="13.2">
      <c r="C507" s="286"/>
      <c r="D507" s="287"/>
      <c r="E507" s="288"/>
      <c r="K507" s="289"/>
      <c r="U507" s="198"/>
      <c r="V507" s="198"/>
      <c r="AA507" s="198"/>
      <c r="AB507" s="198"/>
    </row>
    <row r="508" spans="3:28" ht="13.2">
      <c r="C508" s="286"/>
      <c r="D508" s="287"/>
      <c r="E508" s="288"/>
      <c r="K508" s="289"/>
      <c r="U508" s="198"/>
      <c r="V508" s="198"/>
      <c r="AA508" s="198"/>
      <c r="AB508" s="198"/>
    </row>
    <row r="509" spans="3:28" ht="13.2">
      <c r="C509" s="286"/>
      <c r="D509" s="287"/>
      <c r="E509" s="288"/>
      <c r="K509" s="289"/>
      <c r="U509" s="198"/>
      <c r="V509" s="198"/>
      <c r="AA509" s="198"/>
      <c r="AB509" s="198"/>
    </row>
    <row r="510" spans="3:28" ht="13.2">
      <c r="C510" s="286"/>
      <c r="D510" s="287"/>
      <c r="E510" s="288"/>
      <c r="K510" s="289"/>
      <c r="U510" s="198"/>
      <c r="V510" s="198"/>
      <c r="AA510" s="198"/>
      <c r="AB510" s="198"/>
    </row>
    <row r="511" spans="3:28" ht="13.2">
      <c r="C511" s="286"/>
      <c r="D511" s="287"/>
      <c r="E511" s="288"/>
      <c r="K511" s="289"/>
      <c r="U511" s="198"/>
      <c r="V511" s="198"/>
      <c r="AA511" s="198"/>
      <c r="AB511" s="198"/>
    </row>
    <row r="512" spans="3:28" ht="13.2">
      <c r="C512" s="286"/>
      <c r="D512" s="287"/>
      <c r="E512" s="288"/>
      <c r="K512" s="289"/>
      <c r="U512" s="198"/>
      <c r="V512" s="198"/>
      <c r="AA512" s="198"/>
      <c r="AB512" s="198"/>
    </row>
    <row r="513" spans="3:28" ht="13.2">
      <c r="C513" s="286"/>
      <c r="D513" s="287"/>
      <c r="E513" s="288"/>
      <c r="K513" s="289"/>
      <c r="U513" s="198"/>
      <c r="V513" s="198"/>
      <c r="AA513" s="198"/>
      <c r="AB513" s="198"/>
    </row>
    <row r="514" spans="3:28" ht="13.2">
      <c r="C514" s="286"/>
      <c r="D514" s="287"/>
      <c r="E514" s="288"/>
      <c r="K514" s="289"/>
      <c r="U514" s="198"/>
      <c r="V514" s="198"/>
      <c r="AA514" s="198"/>
      <c r="AB514" s="198"/>
    </row>
    <row r="515" spans="3:28" ht="13.2">
      <c r="C515" s="286"/>
      <c r="D515" s="287"/>
      <c r="E515" s="288"/>
      <c r="K515" s="289"/>
      <c r="U515" s="198"/>
      <c r="V515" s="198"/>
      <c r="AA515" s="198"/>
      <c r="AB515" s="198"/>
    </row>
    <row r="516" spans="3:28" ht="13.2">
      <c r="C516" s="286"/>
      <c r="D516" s="287"/>
      <c r="E516" s="288"/>
      <c r="K516" s="289"/>
      <c r="U516" s="198"/>
      <c r="V516" s="198"/>
      <c r="AA516" s="198"/>
      <c r="AB516" s="198"/>
    </row>
    <row r="517" spans="3:28" ht="13.2">
      <c r="C517" s="286"/>
      <c r="D517" s="287"/>
      <c r="E517" s="288"/>
      <c r="K517" s="289"/>
      <c r="U517" s="198"/>
      <c r="V517" s="198"/>
      <c r="AA517" s="198"/>
      <c r="AB517" s="198"/>
    </row>
    <row r="518" spans="3:28" ht="13.2">
      <c r="C518" s="286"/>
      <c r="D518" s="287"/>
      <c r="E518" s="288"/>
      <c r="K518" s="289"/>
      <c r="U518" s="198"/>
      <c r="V518" s="198"/>
      <c r="AA518" s="198"/>
      <c r="AB518" s="198"/>
    </row>
    <row r="519" spans="3:28" ht="13.2">
      <c r="C519" s="286"/>
      <c r="D519" s="287"/>
      <c r="E519" s="288"/>
      <c r="K519" s="289"/>
      <c r="U519" s="198"/>
      <c r="V519" s="198"/>
      <c r="AA519" s="198"/>
      <c r="AB519" s="198"/>
    </row>
    <row r="520" spans="3:28" ht="13.2">
      <c r="C520" s="286"/>
      <c r="D520" s="287"/>
      <c r="E520" s="288"/>
      <c r="K520" s="289"/>
      <c r="U520" s="198"/>
      <c r="V520" s="198"/>
      <c r="AA520" s="198"/>
      <c r="AB520" s="198"/>
    </row>
    <row r="521" spans="3:28" ht="13.2">
      <c r="C521" s="286"/>
      <c r="D521" s="287"/>
      <c r="E521" s="288"/>
      <c r="K521" s="289"/>
      <c r="U521" s="198"/>
      <c r="V521" s="198"/>
      <c r="AA521" s="198"/>
      <c r="AB521" s="198"/>
    </row>
    <row r="522" spans="3:28" ht="13.2">
      <c r="C522" s="286"/>
      <c r="D522" s="287"/>
      <c r="E522" s="288"/>
      <c r="K522" s="289"/>
      <c r="U522" s="198"/>
      <c r="V522" s="198"/>
      <c r="AA522" s="198"/>
      <c r="AB522" s="198"/>
    </row>
    <row r="523" spans="3:28" ht="13.2">
      <c r="C523" s="286"/>
      <c r="D523" s="287"/>
      <c r="E523" s="288"/>
      <c r="K523" s="289"/>
      <c r="U523" s="198"/>
      <c r="V523" s="198"/>
      <c r="AA523" s="198"/>
      <c r="AB523" s="198"/>
    </row>
    <row r="524" spans="3:28" ht="13.2">
      <c r="C524" s="286"/>
      <c r="D524" s="287"/>
      <c r="E524" s="288"/>
      <c r="K524" s="289"/>
      <c r="U524" s="198"/>
      <c r="V524" s="198"/>
      <c r="AA524" s="198"/>
      <c r="AB524" s="198"/>
    </row>
    <row r="525" spans="3:28" ht="13.2">
      <c r="C525" s="286"/>
      <c r="D525" s="287"/>
      <c r="E525" s="288"/>
      <c r="K525" s="289"/>
      <c r="U525" s="198"/>
      <c r="V525" s="198"/>
      <c r="AA525" s="198"/>
      <c r="AB525" s="198"/>
    </row>
    <row r="526" spans="3:28" ht="13.2">
      <c r="C526" s="286"/>
      <c r="D526" s="287"/>
      <c r="E526" s="288"/>
      <c r="K526" s="289"/>
      <c r="U526" s="198"/>
      <c r="V526" s="198"/>
      <c r="AA526" s="198"/>
      <c r="AB526" s="198"/>
    </row>
    <row r="527" spans="3:28" ht="13.2">
      <c r="C527" s="286"/>
      <c r="D527" s="287"/>
      <c r="E527" s="288"/>
      <c r="K527" s="289"/>
      <c r="U527" s="198"/>
      <c r="V527" s="198"/>
      <c r="AA527" s="198"/>
      <c r="AB527" s="198"/>
    </row>
    <row r="528" spans="3:28" ht="13.2">
      <c r="C528" s="286"/>
      <c r="D528" s="287"/>
      <c r="E528" s="288"/>
      <c r="K528" s="289"/>
      <c r="U528" s="198"/>
      <c r="V528" s="198"/>
      <c r="AA528" s="198"/>
      <c r="AB528" s="198"/>
    </row>
    <row r="529" spans="3:28" ht="13.2">
      <c r="C529" s="286"/>
      <c r="D529" s="287"/>
      <c r="E529" s="288"/>
      <c r="K529" s="289"/>
      <c r="U529" s="198"/>
      <c r="V529" s="198"/>
      <c r="AA529" s="198"/>
      <c r="AB529" s="198"/>
    </row>
    <row r="530" spans="3:28" ht="13.2">
      <c r="C530" s="286"/>
      <c r="D530" s="287"/>
      <c r="E530" s="288"/>
      <c r="K530" s="289"/>
      <c r="U530" s="198"/>
      <c r="V530" s="198"/>
      <c r="AA530" s="198"/>
      <c r="AB530" s="198"/>
    </row>
    <row r="531" spans="3:28" ht="13.2">
      <c r="C531" s="286"/>
      <c r="D531" s="287"/>
      <c r="E531" s="288"/>
      <c r="K531" s="289"/>
      <c r="U531" s="198"/>
      <c r="V531" s="198"/>
      <c r="AA531" s="198"/>
      <c r="AB531" s="198"/>
    </row>
    <row r="532" spans="3:28" ht="13.2">
      <c r="C532" s="286"/>
      <c r="D532" s="287"/>
      <c r="E532" s="288"/>
      <c r="K532" s="289"/>
      <c r="U532" s="198"/>
      <c r="V532" s="198"/>
      <c r="AA532" s="198"/>
      <c r="AB532" s="198"/>
    </row>
    <row r="533" spans="3:28" ht="13.2">
      <c r="C533" s="286"/>
      <c r="D533" s="287"/>
      <c r="E533" s="288"/>
      <c r="K533" s="289"/>
      <c r="U533" s="198"/>
      <c r="V533" s="198"/>
      <c r="AA533" s="198"/>
      <c r="AB533" s="198"/>
    </row>
    <row r="534" spans="3:28" ht="13.2">
      <c r="C534" s="286"/>
      <c r="D534" s="287"/>
      <c r="E534" s="288"/>
      <c r="K534" s="289"/>
      <c r="U534" s="198"/>
      <c r="V534" s="198"/>
      <c r="AA534" s="198"/>
      <c r="AB534" s="198"/>
    </row>
    <row r="535" spans="3:28" ht="13.2">
      <c r="C535" s="286"/>
      <c r="D535" s="287"/>
      <c r="E535" s="288"/>
      <c r="K535" s="289"/>
      <c r="U535" s="198"/>
      <c r="V535" s="198"/>
      <c r="AA535" s="198"/>
      <c r="AB535" s="198"/>
    </row>
    <row r="536" spans="3:28" ht="13.2">
      <c r="C536" s="286"/>
      <c r="D536" s="287"/>
      <c r="E536" s="288"/>
      <c r="K536" s="289"/>
      <c r="U536" s="198"/>
      <c r="V536" s="198"/>
      <c r="AA536" s="198"/>
      <c r="AB536" s="198"/>
    </row>
    <row r="537" spans="3:28" ht="13.2">
      <c r="C537" s="286"/>
      <c r="D537" s="287"/>
      <c r="E537" s="288"/>
      <c r="K537" s="289"/>
      <c r="U537" s="198"/>
      <c r="V537" s="198"/>
      <c r="AA537" s="198"/>
      <c r="AB537" s="198"/>
    </row>
    <row r="538" spans="3:28" ht="13.2">
      <c r="C538" s="286"/>
      <c r="D538" s="287"/>
      <c r="E538" s="288"/>
      <c r="K538" s="289"/>
      <c r="U538" s="198"/>
      <c r="V538" s="198"/>
      <c r="AA538" s="198"/>
      <c r="AB538" s="198"/>
    </row>
    <row r="539" spans="3:28" ht="13.2">
      <c r="C539" s="286"/>
      <c r="D539" s="287"/>
      <c r="E539" s="288"/>
      <c r="K539" s="289"/>
      <c r="U539" s="198"/>
      <c r="V539" s="198"/>
      <c r="AA539" s="198"/>
      <c r="AB539" s="198"/>
    </row>
    <row r="540" spans="3:28" ht="13.2">
      <c r="C540" s="286"/>
      <c r="D540" s="287"/>
      <c r="E540" s="288"/>
      <c r="K540" s="289"/>
      <c r="U540" s="198"/>
      <c r="V540" s="198"/>
      <c r="AA540" s="198"/>
      <c r="AB540" s="198"/>
    </row>
    <row r="541" spans="3:28" ht="13.2">
      <c r="C541" s="286"/>
      <c r="D541" s="287"/>
      <c r="E541" s="288"/>
      <c r="K541" s="289"/>
      <c r="U541" s="198"/>
      <c r="V541" s="198"/>
      <c r="AA541" s="198"/>
      <c r="AB541" s="198"/>
    </row>
    <row r="542" spans="3:28" ht="13.2">
      <c r="C542" s="286"/>
      <c r="D542" s="287"/>
      <c r="E542" s="288"/>
      <c r="K542" s="289"/>
      <c r="U542" s="198"/>
      <c r="V542" s="198"/>
      <c r="AA542" s="198"/>
      <c r="AB542" s="198"/>
    </row>
    <row r="543" spans="3:28" ht="13.2">
      <c r="C543" s="286"/>
      <c r="D543" s="287"/>
      <c r="E543" s="288"/>
      <c r="K543" s="289"/>
      <c r="U543" s="198"/>
      <c r="V543" s="198"/>
      <c r="AA543" s="198"/>
      <c r="AB543" s="198"/>
    </row>
    <row r="544" spans="3:28" ht="13.2">
      <c r="C544" s="286"/>
      <c r="D544" s="287"/>
      <c r="E544" s="288"/>
      <c r="K544" s="289"/>
      <c r="U544" s="198"/>
      <c r="V544" s="198"/>
      <c r="AA544" s="198"/>
      <c r="AB544" s="198"/>
    </row>
    <row r="545" spans="3:28" ht="13.2">
      <c r="C545" s="286"/>
      <c r="D545" s="287"/>
      <c r="E545" s="288"/>
      <c r="K545" s="289"/>
      <c r="U545" s="198"/>
      <c r="V545" s="198"/>
      <c r="AA545" s="198"/>
      <c r="AB545" s="198"/>
    </row>
    <row r="546" spans="3:28" ht="13.2">
      <c r="C546" s="286"/>
      <c r="D546" s="287"/>
      <c r="E546" s="288"/>
      <c r="K546" s="289"/>
      <c r="U546" s="198"/>
      <c r="V546" s="198"/>
      <c r="AA546" s="198"/>
      <c r="AB546" s="198"/>
    </row>
    <row r="547" spans="3:28" ht="13.2">
      <c r="C547" s="286"/>
      <c r="D547" s="287"/>
      <c r="E547" s="288"/>
      <c r="K547" s="289"/>
      <c r="U547" s="198"/>
      <c r="V547" s="198"/>
      <c r="AA547" s="198"/>
      <c r="AB547" s="198"/>
    </row>
    <row r="548" spans="3:28" ht="13.2">
      <c r="C548" s="286"/>
      <c r="D548" s="287"/>
      <c r="E548" s="288"/>
      <c r="K548" s="289"/>
      <c r="U548" s="198"/>
      <c r="V548" s="198"/>
      <c r="AA548" s="198"/>
      <c r="AB548" s="198"/>
    </row>
    <row r="549" spans="3:28" ht="13.2">
      <c r="C549" s="286"/>
      <c r="D549" s="287"/>
      <c r="E549" s="288"/>
      <c r="K549" s="289"/>
      <c r="U549" s="198"/>
      <c r="V549" s="198"/>
      <c r="AA549" s="198"/>
      <c r="AB549" s="198"/>
    </row>
    <row r="550" spans="3:28" ht="13.2">
      <c r="C550" s="286"/>
      <c r="D550" s="287"/>
      <c r="E550" s="288"/>
      <c r="K550" s="289"/>
      <c r="U550" s="198"/>
      <c r="V550" s="198"/>
      <c r="AA550" s="198"/>
      <c r="AB550" s="198"/>
    </row>
    <row r="551" spans="3:28" ht="13.2">
      <c r="C551" s="286"/>
      <c r="D551" s="287"/>
      <c r="E551" s="288"/>
      <c r="K551" s="289"/>
      <c r="U551" s="198"/>
      <c r="V551" s="198"/>
      <c r="AA551" s="198"/>
      <c r="AB551" s="198"/>
    </row>
    <row r="552" spans="3:28" ht="13.2">
      <c r="C552" s="286"/>
      <c r="D552" s="287"/>
      <c r="E552" s="288"/>
      <c r="K552" s="289"/>
      <c r="U552" s="198"/>
      <c r="V552" s="198"/>
      <c r="AA552" s="198"/>
      <c r="AB552" s="198"/>
    </row>
    <row r="553" spans="3:28" ht="13.2">
      <c r="C553" s="286"/>
      <c r="D553" s="287"/>
      <c r="E553" s="288"/>
      <c r="K553" s="289"/>
      <c r="U553" s="198"/>
      <c r="V553" s="198"/>
      <c r="AA553" s="198"/>
      <c r="AB553" s="198"/>
    </row>
    <row r="554" spans="3:28" ht="13.2">
      <c r="C554" s="286"/>
      <c r="D554" s="287"/>
      <c r="E554" s="288"/>
      <c r="K554" s="289"/>
      <c r="U554" s="198"/>
      <c r="V554" s="198"/>
      <c r="AA554" s="198"/>
      <c r="AB554" s="198"/>
    </row>
    <row r="555" spans="3:28" ht="13.2">
      <c r="C555" s="286"/>
      <c r="D555" s="287"/>
      <c r="E555" s="288"/>
      <c r="K555" s="289"/>
      <c r="U555" s="198"/>
      <c r="V555" s="198"/>
      <c r="AA555" s="198"/>
      <c r="AB555" s="198"/>
    </row>
    <row r="556" spans="3:28" ht="13.2">
      <c r="C556" s="286"/>
      <c r="D556" s="287"/>
      <c r="E556" s="288"/>
      <c r="K556" s="289"/>
      <c r="U556" s="198"/>
      <c r="V556" s="198"/>
      <c r="AA556" s="198"/>
      <c r="AB556" s="198"/>
    </row>
    <row r="557" spans="3:28" ht="13.2">
      <c r="C557" s="286"/>
      <c r="D557" s="287"/>
      <c r="E557" s="288"/>
      <c r="K557" s="289"/>
      <c r="U557" s="198"/>
      <c r="V557" s="198"/>
      <c r="AA557" s="198"/>
      <c r="AB557" s="198"/>
    </row>
    <row r="558" spans="3:28" ht="13.2">
      <c r="C558" s="286"/>
      <c r="D558" s="287"/>
      <c r="E558" s="288"/>
      <c r="K558" s="289"/>
      <c r="U558" s="198"/>
      <c r="V558" s="198"/>
      <c r="AA558" s="198"/>
      <c r="AB558" s="198"/>
    </row>
    <row r="559" spans="3:28" ht="13.2">
      <c r="C559" s="286"/>
      <c r="D559" s="287"/>
      <c r="E559" s="288"/>
      <c r="K559" s="289"/>
      <c r="U559" s="198"/>
      <c r="V559" s="198"/>
      <c r="AA559" s="198"/>
      <c r="AB559" s="198"/>
    </row>
    <row r="560" spans="3:28" ht="13.2">
      <c r="C560" s="286"/>
      <c r="D560" s="287"/>
      <c r="E560" s="288"/>
      <c r="K560" s="289"/>
      <c r="U560" s="198"/>
      <c r="V560" s="198"/>
      <c r="AA560" s="198"/>
      <c r="AB560" s="198"/>
    </row>
    <row r="561" spans="3:28" ht="13.2">
      <c r="C561" s="286"/>
      <c r="D561" s="287"/>
      <c r="E561" s="288"/>
      <c r="K561" s="289"/>
      <c r="U561" s="198"/>
      <c r="V561" s="198"/>
      <c r="AA561" s="198"/>
      <c r="AB561" s="198"/>
    </row>
    <row r="562" spans="3:28" ht="13.2">
      <c r="C562" s="286"/>
      <c r="D562" s="287"/>
      <c r="E562" s="288"/>
      <c r="K562" s="289"/>
      <c r="U562" s="198"/>
      <c r="V562" s="198"/>
      <c r="AA562" s="198"/>
      <c r="AB562" s="198"/>
    </row>
    <row r="563" spans="3:28" ht="13.2">
      <c r="C563" s="286"/>
      <c r="D563" s="287"/>
      <c r="E563" s="288"/>
      <c r="K563" s="289"/>
      <c r="U563" s="198"/>
      <c r="V563" s="198"/>
      <c r="AA563" s="198"/>
      <c r="AB563" s="198"/>
    </row>
    <row r="564" spans="3:28" ht="13.2">
      <c r="C564" s="286"/>
      <c r="D564" s="287"/>
      <c r="E564" s="288"/>
      <c r="K564" s="289"/>
      <c r="U564" s="198"/>
      <c r="V564" s="198"/>
      <c r="AA564" s="198"/>
      <c r="AB564" s="198"/>
    </row>
    <row r="565" spans="3:28" ht="13.2">
      <c r="C565" s="286"/>
      <c r="D565" s="287"/>
      <c r="E565" s="288"/>
      <c r="K565" s="289"/>
      <c r="U565" s="198"/>
      <c r="V565" s="198"/>
      <c r="AA565" s="198"/>
      <c r="AB565" s="198"/>
    </row>
    <row r="566" spans="3:28" ht="13.2">
      <c r="C566" s="286"/>
      <c r="D566" s="287"/>
      <c r="E566" s="288"/>
      <c r="K566" s="289"/>
      <c r="U566" s="198"/>
      <c r="V566" s="198"/>
      <c r="AA566" s="198"/>
      <c r="AB566" s="198"/>
    </row>
    <row r="567" spans="3:28" ht="13.2">
      <c r="C567" s="286"/>
      <c r="D567" s="287"/>
      <c r="E567" s="288"/>
      <c r="K567" s="289"/>
      <c r="U567" s="198"/>
      <c r="V567" s="198"/>
      <c r="AA567" s="198"/>
      <c r="AB567" s="198"/>
    </row>
    <row r="568" spans="3:28" ht="13.2">
      <c r="C568" s="286"/>
      <c r="D568" s="287"/>
      <c r="E568" s="288"/>
      <c r="K568" s="289"/>
      <c r="U568" s="198"/>
      <c r="V568" s="198"/>
      <c r="AA568" s="198"/>
      <c r="AB568" s="198"/>
    </row>
    <row r="569" spans="3:28" ht="13.2">
      <c r="C569" s="286"/>
      <c r="D569" s="287"/>
      <c r="E569" s="288"/>
      <c r="K569" s="289"/>
      <c r="U569" s="198"/>
      <c r="V569" s="198"/>
      <c r="AA569" s="198"/>
      <c r="AB569" s="198"/>
    </row>
    <row r="570" spans="3:28" ht="13.2">
      <c r="C570" s="286"/>
      <c r="D570" s="287"/>
      <c r="E570" s="288"/>
      <c r="K570" s="289"/>
      <c r="U570" s="198"/>
      <c r="V570" s="198"/>
      <c r="AA570" s="198"/>
      <c r="AB570" s="198"/>
    </row>
    <row r="571" spans="3:28" ht="13.2">
      <c r="C571" s="286"/>
      <c r="D571" s="287"/>
      <c r="E571" s="288"/>
      <c r="K571" s="289"/>
      <c r="U571" s="198"/>
      <c r="V571" s="198"/>
      <c r="AA571" s="198"/>
      <c r="AB571" s="198"/>
    </row>
    <row r="572" spans="3:28" ht="13.2">
      <c r="C572" s="286"/>
      <c r="D572" s="287"/>
      <c r="E572" s="288"/>
      <c r="K572" s="289"/>
      <c r="U572" s="198"/>
      <c r="V572" s="198"/>
      <c r="AA572" s="198"/>
      <c r="AB572" s="198"/>
    </row>
    <row r="573" spans="3:28" ht="13.2">
      <c r="C573" s="286"/>
      <c r="D573" s="287"/>
      <c r="E573" s="288"/>
      <c r="K573" s="289"/>
      <c r="U573" s="198"/>
      <c r="V573" s="198"/>
      <c r="AA573" s="198"/>
      <c r="AB573" s="198"/>
    </row>
    <row r="574" spans="3:28" ht="13.2">
      <c r="C574" s="286"/>
      <c r="D574" s="287"/>
      <c r="E574" s="288"/>
      <c r="K574" s="289"/>
      <c r="U574" s="198"/>
      <c r="V574" s="198"/>
      <c r="AA574" s="198"/>
      <c r="AB574" s="198"/>
    </row>
    <row r="575" spans="3:28" ht="13.2">
      <c r="C575" s="286"/>
      <c r="D575" s="287"/>
      <c r="E575" s="288"/>
      <c r="K575" s="289"/>
      <c r="U575" s="198"/>
      <c r="V575" s="198"/>
      <c r="AA575" s="198"/>
      <c r="AB575" s="198"/>
    </row>
    <row r="576" spans="3:28" ht="13.2">
      <c r="C576" s="286"/>
      <c r="D576" s="287"/>
      <c r="E576" s="288"/>
      <c r="K576" s="289"/>
      <c r="U576" s="198"/>
      <c r="V576" s="198"/>
      <c r="AA576" s="198"/>
      <c r="AB576" s="198"/>
    </row>
    <row r="577" spans="3:28" ht="13.2">
      <c r="C577" s="286"/>
      <c r="D577" s="287"/>
      <c r="E577" s="288"/>
      <c r="K577" s="289"/>
      <c r="U577" s="198"/>
      <c r="V577" s="198"/>
      <c r="AA577" s="198"/>
      <c r="AB577" s="198"/>
    </row>
    <row r="578" spans="3:28" ht="13.2">
      <c r="C578" s="286"/>
      <c r="D578" s="287"/>
      <c r="E578" s="288"/>
      <c r="K578" s="289"/>
      <c r="U578" s="198"/>
      <c r="V578" s="198"/>
      <c r="AA578" s="198"/>
      <c r="AB578" s="198"/>
    </row>
    <row r="579" spans="3:28" ht="13.2">
      <c r="C579" s="286"/>
      <c r="D579" s="287"/>
      <c r="E579" s="288"/>
      <c r="K579" s="289"/>
      <c r="U579" s="198"/>
      <c r="V579" s="198"/>
      <c r="AA579" s="198"/>
      <c r="AB579" s="198"/>
    </row>
    <row r="580" spans="3:28" ht="13.2">
      <c r="C580" s="286"/>
      <c r="D580" s="287"/>
      <c r="E580" s="288"/>
      <c r="K580" s="289"/>
      <c r="U580" s="198"/>
      <c r="V580" s="198"/>
      <c r="AA580" s="198"/>
      <c r="AB580" s="198"/>
    </row>
    <row r="581" spans="3:28" ht="13.2">
      <c r="C581" s="286"/>
      <c r="D581" s="287"/>
      <c r="E581" s="288"/>
      <c r="K581" s="289"/>
      <c r="U581" s="198"/>
      <c r="V581" s="198"/>
      <c r="AA581" s="198"/>
      <c r="AB581" s="198"/>
    </row>
    <row r="582" spans="3:28" ht="13.2">
      <c r="C582" s="286"/>
      <c r="D582" s="287"/>
      <c r="E582" s="288"/>
      <c r="K582" s="289"/>
      <c r="U582" s="198"/>
      <c r="V582" s="198"/>
      <c r="AA582" s="198"/>
      <c r="AB582" s="198"/>
    </row>
    <row r="583" spans="3:28" ht="13.2">
      <c r="C583" s="286"/>
      <c r="D583" s="287"/>
      <c r="E583" s="288"/>
      <c r="K583" s="289"/>
      <c r="U583" s="198"/>
      <c r="V583" s="198"/>
      <c r="AA583" s="198"/>
      <c r="AB583" s="198"/>
    </row>
    <row r="584" spans="3:28" ht="13.2">
      <c r="C584" s="286"/>
      <c r="D584" s="287"/>
      <c r="E584" s="288"/>
      <c r="K584" s="289"/>
      <c r="U584" s="198"/>
      <c r="V584" s="198"/>
      <c r="AA584" s="198"/>
      <c r="AB584" s="198"/>
    </row>
    <row r="585" spans="3:28" ht="13.2">
      <c r="C585" s="286"/>
      <c r="D585" s="287"/>
      <c r="E585" s="288"/>
      <c r="K585" s="289"/>
      <c r="U585" s="198"/>
      <c r="V585" s="198"/>
      <c r="AA585" s="198"/>
      <c r="AB585" s="198"/>
    </row>
    <row r="586" spans="3:28" ht="13.2">
      <c r="C586" s="286"/>
      <c r="D586" s="287"/>
      <c r="E586" s="288"/>
      <c r="K586" s="289"/>
      <c r="U586" s="198"/>
      <c r="V586" s="198"/>
      <c r="AA586" s="198"/>
      <c r="AB586" s="198"/>
    </row>
    <row r="587" spans="3:28" ht="13.2">
      <c r="C587" s="286"/>
      <c r="D587" s="287"/>
      <c r="E587" s="288"/>
      <c r="K587" s="289"/>
      <c r="U587" s="198"/>
      <c r="V587" s="198"/>
      <c r="AA587" s="198"/>
      <c r="AB587" s="198"/>
    </row>
    <row r="588" spans="3:28" ht="13.2">
      <c r="C588" s="286"/>
      <c r="D588" s="287"/>
      <c r="E588" s="288"/>
      <c r="K588" s="289"/>
      <c r="U588" s="198"/>
      <c r="V588" s="198"/>
      <c r="AA588" s="198"/>
      <c r="AB588" s="198"/>
    </row>
    <row r="589" spans="3:28" ht="13.2">
      <c r="C589" s="286"/>
      <c r="D589" s="287"/>
      <c r="E589" s="288"/>
      <c r="K589" s="289"/>
      <c r="U589" s="198"/>
      <c r="V589" s="198"/>
      <c r="AA589" s="198"/>
      <c r="AB589" s="198"/>
    </row>
    <row r="590" spans="3:28" ht="13.2">
      <c r="C590" s="286"/>
      <c r="D590" s="287"/>
      <c r="E590" s="288"/>
      <c r="K590" s="289"/>
      <c r="U590" s="198"/>
      <c r="V590" s="198"/>
      <c r="AA590" s="198"/>
      <c r="AB590" s="198"/>
    </row>
    <row r="591" spans="3:28" ht="13.2">
      <c r="C591" s="286"/>
      <c r="D591" s="287"/>
      <c r="E591" s="288"/>
      <c r="K591" s="289"/>
      <c r="U591" s="198"/>
      <c r="V591" s="198"/>
      <c r="AA591" s="198"/>
      <c r="AB591" s="198"/>
    </row>
    <row r="592" spans="3:28" ht="13.2">
      <c r="C592" s="286"/>
      <c r="D592" s="287"/>
      <c r="E592" s="288"/>
      <c r="K592" s="289"/>
      <c r="U592" s="198"/>
      <c r="V592" s="198"/>
      <c r="AA592" s="198"/>
      <c r="AB592" s="198"/>
    </row>
    <row r="593" spans="3:28" ht="13.2">
      <c r="C593" s="286"/>
      <c r="D593" s="287"/>
      <c r="E593" s="288"/>
      <c r="K593" s="289"/>
      <c r="U593" s="198"/>
      <c r="V593" s="198"/>
      <c r="AA593" s="198"/>
      <c r="AB593" s="198"/>
    </row>
    <row r="594" spans="3:28" ht="13.2">
      <c r="C594" s="286"/>
      <c r="D594" s="287"/>
      <c r="E594" s="288"/>
      <c r="K594" s="289"/>
      <c r="U594" s="198"/>
      <c r="V594" s="198"/>
      <c r="AA594" s="198"/>
      <c r="AB594" s="198"/>
    </row>
    <row r="595" spans="3:28" ht="13.2">
      <c r="C595" s="286"/>
      <c r="D595" s="287"/>
      <c r="E595" s="288"/>
      <c r="K595" s="289"/>
      <c r="U595" s="198"/>
      <c r="V595" s="198"/>
      <c r="AA595" s="198"/>
      <c r="AB595" s="198"/>
    </row>
    <row r="596" spans="3:28" ht="13.2">
      <c r="C596" s="286"/>
      <c r="D596" s="287"/>
      <c r="E596" s="288"/>
      <c r="K596" s="289"/>
      <c r="U596" s="198"/>
      <c r="V596" s="198"/>
      <c r="AA596" s="198"/>
      <c r="AB596" s="198"/>
    </row>
    <row r="597" spans="3:28" ht="13.2">
      <c r="C597" s="286"/>
      <c r="D597" s="287"/>
      <c r="E597" s="288"/>
      <c r="K597" s="289"/>
      <c r="U597" s="198"/>
      <c r="V597" s="198"/>
      <c r="AA597" s="198"/>
      <c r="AB597" s="198"/>
    </row>
    <row r="598" spans="3:28" ht="13.2">
      <c r="C598" s="286"/>
      <c r="D598" s="287"/>
      <c r="E598" s="288"/>
      <c r="K598" s="289"/>
      <c r="U598" s="198"/>
      <c r="V598" s="198"/>
      <c r="AA598" s="198"/>
      <c r="AB598" s="198"/>
    </row>
    <row r="599" spans="3:28" ht="13.2">
      <c r="C599" s="286"/>
      <c r="D599" s="287"/>
      <c r="E599" s="288"/>
      <c r="K599" s="289"/>
      <c r="U599" s="198"/>
      <c r="V599" s="198"/>
      <c r="AA599" s="198"/>
      <c r="AB599" s="198"/>
    </row>
    <row r="600" spans="3:28" ht="13.2">
      <c r="C600" s="286"/>
      <c r="D600" s="287"/>
      <c r="E600" s="288"/>
      <c r="K600" s="289"/>
      <c r="U600" s="198"/>
      <c r="V600" s="198"/>
      <c r="AA600" s="198"/>
      <c r="AB600" s="198"/>
    </row>
    <row r="601" spans="3:28" ht="13.2">
      <c r="C601" s="286"/>
      <c r="D601" s="287"/>
      <c r="E601" s="288"/>
      <c r="K601" s="289"/>
      <c r="U601" s="198"/>
      <c r="V601" s="198"/>
      <c r="AA601" s="198"/>
      <c r="AB601" s="198"/>
    </row>
    <row r="602" spans="3:28" ht="13.2">
      <c r="C602" s="286"/>
      <c r="D602" s="287"/>
      <c r="E602" s="288"/>
      <c r="K602" s="289"/>
      <c r="U602" s="198"/>
      <c r="V602" s="198"/>
      <c r="AA602" s="198"/>
      <c r="AB602" s="198"/>
    </row>
    <row r="603" spans="3:28" ht="13.2">
      <c r="C603" s="286"/>
      <c r="D603" s="287"/>
      <c r="E603" s="288"/>
      <c r="K603" s="289"/>
      <c r="U603" s="198"/>
      <c r="V603" s="198"/>
      <c r="AA603" s="198"/>
      <c r="AB603" s="198"/>
    </row>
    <row r="604" spans="3:28" ht="13.2">
      <c r="C604" s="286"/>
      <c r="D604" s="287"/>
      <c r="E604" s="288"/>
      <c r="K604" s="289"/>
      <c r="U604" s="198"/>
      <c r="V604" s="198"/>
      <c r="AA604" s="198"/>
      <c r="AB604" s="198"/>
    </row>
    <row r="605" spans="3:28" ht="13.2">
      <c r="C605" s="286"/>
      <c r="D605" s="287"/>
      <c r="E605" s="288"/>
      <c r="K605" s="289"/>
      <c r="U605" s="198"/>
      <c r="V605" s="198"/>
      <c r="AA605" s="198"/>
      <c r="AB605" s="198"/>
    </row>
    <row r="606" spans="3:28" ht="13.2">
      <c r="C606" s="286"/>
      <c r="D606" s="287"/>
      <c r="E606" s="288"/>
      <c r="K606" s="289"/>
      <c r="U606" s="198"/>
      <c r="V606" s="198"/>
      <c r="AA606" s="198"/>
      <c r="AB606" s="198"/>
    </row>
    <row r="607" spans="3:28" ht="13.2">
      <c r="C607" s="286"/>
      <c r="D607" s="287"/>
      <c r="E607" s="288"/>
      <c r="K607" s="289"/>
      <c r="U607" s="198"/>
      <c r="V607" s="198"/>
      <c r="AA607" s="198"/>
      <c r="AB607" s="198"/>
    </row>
    <row r="608" spans="3:28" ht="13.2">
      <c r="C608" s="286"/>
      <c r="D608" s="287"/>
      <c r="E608" s="288"/>
      <c r="K608" s="289"/>
      <c r="U608" s="198"/>
      <c r="V608" s="198"/>
      <c r="AA608" s="198"/>
      <c r="AB608" s="198"/>
    </row>
    <row r="609" spans="3:28" ht="13.2">
      <c r="C609" s="286"/>
      <c r="D609" s="287"/>
      <c r="E609" s="288"/>
      <c r="K609" s="289"/>
      <c r="U609" s="198"/>
      <c r="V609" s="198"/>
      <c r="AA609" s="198"/>
      <c r="AB609" s="198"/>
    </row>
    <row r="610" spans="3:28" ht="13.2">
      <c r="C610" s="286"/>
      <c r="D610" s="287"/>
      <c r="E610" s="288"/>
      <c r="K610" s="289"/>
      <c r="U610" s="198"/>
      <c r="V610" s="198"/>
      <c r="AA610" s="198"/>
      <c r="AB610" s="198"/>
    </row>
    <row r="611" spans="3:28" ht="13.2">
      <c r="C611" s="286"/>
      <c r="D611" s="287"/>
      <c r="E611" s="288"/>
      <c r="K611" s="289"/>
      <c r="U611" s="198"/>
      <c r="V611" s="198"/>
      <c r="AA611" s="198"/>
      <c r="AB611" s="198"/>
    </row>
    <row r="612" spans="3:28" ht="13.2">
      <c r="C612" s="286"/>
      <c r="D612" s="287"/>
      <c r="E612" s="288"/>
      <c r="K612" s="289"/>
      <c r="U612" s="198"/>
      <c r="V612" s="198"/>
      <c r="AA612" s="198"/>
      <c r="AB612" s="198"/>
    </row>
    <row r="613" spans="3:28" ht="13.2">
      <c r="C613" s="286"/>
      <c r="D613" s="287"/>
      <c r="E613" s="288"/>
      <c r="K613" s="289"/>
      <c r="U613" s="198"/>
      <c r="V613" s="198"/>
      <c r="AA613" s="198"/>
      <c r="AB613" s="198"/>
    </row>
    <row r="614" spans="3:28" ht="13.2">
      <c r="C614" s="286"/>
      <c r="D614" s="287"/>
      <c r="E614" s="288"/>
      <c r="K614" s="289"/>
      <c r="U614" s="198"/>
      <c r="V614" s="198"/>
      <c r="AA614" s="198"/>
      <c r="AB614" s="198"/>
    </row>
    <row r="615" spans="3:28" ht="13.2">
      <c r="C615" s="286"/>
      <c r="D615" s="287"/>
      <c r="E615" s="288"/>
      <c r="K615" s="289"/>
      <c r="U615" s="198"/>
      <c r="V615" s="198"/>
      <c r="AA615" s="198"/>
      <c r="AB615" s="198"/>
    </row>
    <row r="616" spans="3:28" ht="13.2">
      <c r="C616" s="286"/>
      <c r="D616" s="287"/>
      <c r="E616" s="288"/>
      <c r="K616" s="289"/>
      <c r="U616" s="198"/>
      <c r="V616" s="198"/>
      <c r="AA616" s="198"/>
      <c r="AB616" s="198"/>
    </row>
    <row r="617" spans="3:28" ht="13.2">
      <c r="C617" s="286"/>
      <c r="D617" s="287"/>
      <c r="E617" s="288"/>
      <c r="K617" s="289"/>
      <c r="U617" s="198"/>
      <c r="V617" s="198"/>
      <c r="AA617" s="198"/>
      <c r="AB617" s="198"/>
    </row>
    <row r="618" spans="3:28" ht="13.2">
      <c r="C618" s="286"/>
      <c r="D618" s="287"/>
      <c r="E618" s="288"/>
      <c r="K618" s="289"/>
      <c r="U618" s="198"/>
      <c r="V618" s="198"/>
      <c r="AA618" s="198"/>
      <c r="AB618" s="198"/>
    </row>
    <row r="619" spans="3:28" ht="13.2">
      <c r="C619" s="286"/>
      <c r="D619" s="287"/>
      <c r="E619" s="288"/>
      <c r="K619" s="289"/>
      <c r="U619" s="198"/>
      <c r="V619" s="198"/>
      <c r="AA619" s="198"/>
      <c r="AB619" s="198"/>
    </row>
    <row r="620" spans="3:28" ht="13.2">
      <c r="C620" s="286"/>
      <c r="D620" s="287"/>
      <c r="E620" s="288"/>
      <c r="K620" s="289"/>
      <c r="U620" s="198"/>
      <c r="V620" s="198"/>
      <c r="AA620" s="198"/>
      <c r="AB620" s="198"/>
    </row>
    <row r="621" spans="3:28" ht="13.2">
      <c r="C621" s="286"/>
      <c r="D621" s="287"/>
      <c r="E621" s="288"/>
      <c r="K621" s="289"/>
      <c r="U621" s="198"/>
      <c r="V621" s="198"/>
      <c r="AA621" s="198"/>
      <c r="AB621" s="198"/>
    </row>
    <row r="622" spans="3:28" ht="13.2">
      <c r="C622" s="286"/>
      <c r="D622" s="287"/>
      <c r="E622" s="288"/>
      <c r="K622" s="289"/>
      <c r="U622" s="198"/>
      <c r="V622" s="198"/>
      <c r="AA622" s="198"/>
      <c r="AB622" s="198"/>
    </row>
    <row r="623" spans="3:28" ht="13.2">
      <c r="C623" s="286"/>
      <c r="D623" s="287"/>
      <c r="E623" s="288"/>
      <c r="K623" s="289"/>
      <c r="U623" s="198"/>
      <c r="V623" s="198"/>
      <c r="AA623" s="198"/>
      <c r="AB623" s="198"/>
    </row>
    <row r="624" spans="3:28" ht="13.2">
      <c r="C624" s="286"/>
      <c r="D624" s="287"/>
      <c r="E624" s="288"/>
      <c r="K624" s="289"/>
      <c r="U624" s="198"/>
      <c r="V624" s="198"/>
      <c r="AA624" s="198"/>
      <c r="AB624" s="198"/>
    </row>
    <row r="625" spans="3:28" ht="13.2">
      <c r="C625" s="286"/>
      <c r="D625" s="287"/>
      <c r="E625" s="288"/>
      <c r="K625" s="289"/>
      <c r="U625" s="198"/>
      <c r="V625" s="198"/>
      <c r="AA625" s="198"/>
      <c r="AB625" s="198"/>
    </row>
    <row r="626" spans="3:28" ht="13.2">
      <c r="C626" s="286"/>
      <c r="D626" s="287"/>
      <c r="E626" s="288"/>
      <c r="K626" s="289"/>
      <c r="U626" s="198"/>
      <c r="V626" s="198"/>
      <c r="AA626" s="198"/>
      <c r="AB626" s="198"/>
    </row>
    <row r="627" spans="3:28" ht="13.2">
      <c r="C627" s="286"/>
      <c r="D627" s="287"/>
      <c r="E627" s="288"/>
      <c r="K627" s="289"/>
      <c r="U627" s="198"/>
      <c r="V627" s="198"/>
      <c r="AA627" s="198"/>
      <c r="AB627" s="198"/>
    </row>
    <row r="628" spans="3:28" ht="13.2">
      <c r="C628" s="286"/>
      <c r="D628" s="287"/>
      <c r="E628" s="288"/>
      <c r="K628" s="289"/>
      <c r="U628" s="198"/>
      <c r="V628" s="198"/>
      <c r="AA628" s="198"/>
      <c r="AB628" s="198"/>
    </row>
    <row r="629" spans="3:28" ht="13.2">
      <c r="C629" s="286"/>
      <c r="D629" s="287"/>
      <c r="E629" s="288"/>
      <c r="K629" s="289"/>
      <c r="U629" s="198"/>
      <c r="V629" s="198"/>
      <c r="AA629" s="198"/>
      <c r="AB629" s="198"/>
    </row>
    <row r="630" spans="3:28" ht="13.2">
      <c r="C630" s="286"/>
      <c r="D630" s="287"/>
      <c r="E630" s="288"/>
      <c r="K630" s="289"/>
      <c r="U630" s="198"/>
      <c r="V630" s="198"/>
      <c r="AA630" s="198"/>
      <c r="AB630" s="198"/>
    </row>
    <row r="631" spans="3:28" ht="13.2">
      <c r="C631" s="286"/>
      <c r="D631" s="287"/>
      <c r="E631" s="288"/>
      <c r="K631" s="289"/>
      <c r="U631" s="198"/>
      <c r="V631" s="198"/>
      <c r="AA631" s="198"/>
      <c r="AB631" s="198"/>
    </row>
    <row r="632" spans="3:28" ht="13.2">
      <c r="C632" s="286"/>
      <c r="D632" s="287"/>
      <c r="E632" s="288"/>
      <c r="K632" s="289"/>
      <c r="U632" s="198"/>
      <c r="V632" s="198"/>
      <c r="AA632" s="198"/>
      <c r="AB632" s="198"/>
    </row>
    <row r="633" spans="3:28" ht="13.2">
      <c r="C633" s="286"/>
      <c r="D633" s="287"/>
      <c r="E633" s="288"/>
      <c r="K633" s="289"/>
      <c r="U633" s="198"/>
      <c r="V633" s="198"/>
      <c r="AA633" s="198"/>
      <c r="AB633" s="198"/>
    </row>
    <row r="634" spans="3:28" ht="13.2">
      <c r="C634" s="286"/>
      <c r="D634" s="287"/>
      <c r="E634" s="288"/>
      <c r="K634" s="289"/>
      <c r="U634" s="198"/>
      <c r="V634" s="198"/>
      <c r="AA634" s="198"/>
      <c r="AB634" s="198"/>
    </row>
    <row r="635" spans="3:28" ht="13.2">
      <c r="C635" s="286"/>
      <c r="D635" s="287"/>
      <c r="E635" s="288"/>
      <c r="K635" s="289"/>
      <c r="U635" s="198"/>
      <c r="V635" s="198"/>
      <c r="AA635" s="198"/>
      <c r="AB635" s="198"/>
    </row>
    <row r="636" spans="3:28" ht="13.2">
      <c r="C636" s="286"/>
      <c r="D636" s="287"/>
      <c r="E636" s="288"/>
      <c r="K636" s="289"/>
      <c r="U636" s="198"/>
      <c r="V636" s="198"/>
      <c r="AA636" s="198"/>
      <c r="AB636" s="198"/>
    </row>
    <row r="637" spans="3:28" ht="13.2">
      <c r="C637" s="286"/>
      <c r="D637" s="287"/>
      <c r="E637" s="288"/>
      <c r="K637" s="289"/>
      <c r="U637" s="198"/>
      <c r="V637" s="198"/>
      <c r="AA637" s="198"/>
      <c r="AB637" s="198"/>
    </row>
    <row r="638" spans="3:28" ht="13.2">
      <c r="C638" s="286"/>
      <c r="D638" s="287"/>
      <c r="E638" s="288"/>
      <c r="K638" s="289"/>
      <c r="U638" s="198"/>
      <c r="V638" s="198"/>
      <c r="AA638" s="198"/>
      <c r="AB638" s="198"/>
    </row>
    <row r="639" spans="3:28" ht="13.2">
      <c r="C639" s="286"/>
      <c r="D639" s="287"/>
      <c r="E639" s="288"/>
      <c r="K639" s="289"/>
      <c r="U639" s="198"/>
      <c r="V639" s="198"/>
      <c r="AA639" s="198"/>
      <c r="AB639" s="198"/>
    </row>
    <row r="640" spans="3:28" ht="13.2">
      <c r="C640" s="286"/>
      <c r="D640" s="287"/>
      <c r="E640" s="288"/>
      <c r="K640" s="289"/>
      <c r="U640" s="198"/>
      <c r="V640" s="198"/>
      <c r="AA640" s="198"/>
      <c r="AB640" s="198"/>
    </row>
    <row r="641" spans="3:28" ht="13.2">
      <c r="C641" s="286"/>
      <c r="D641" s="287"/>
      <c r="E641" s="288"/>
      <c r="K641" s="289"/>
      <c r="U641" s="198"/>
      <c r="V641" s="198"/>
      <c r="AA641" s="198"/>
      <c r="AB641" s="198"/>
    </row>
    <row r="642" spans="3:28" ht="13.2">
      <c r="C642" s="286"/>
      <c r="D642" s="287"/>
      <c r="E642" s="288"/>
      <c r="K642" s="289"/>
      <c r="U642" s="198"/>
      <c r="V642" s="198"/>
      <c r="AA642" s="198"/>
      <c r="AB642" s="198"/>
    </row>
    <row r="643" spans="3:28" ht="13.2">
      <c r="C643" s="286"/>
      <c r="D643" s="287"/>
      <c r="E643" s="288"/>
      <c r="K643" s="289"/>
      <c r="U643" s="198"/>
      <c r="V643" s="198"/>
      <c r="AA643" s="198"/>
      <c r="AB643" s="198"/>
    </row>
    <row r="644" spans="3:28" ht="13.2">
      <c r="C644" s="286"/>
      <c r="D644" s="287"/>
      <c r="E644" s="288"/>
      <c r="K644" s="289"/>
      <c r="U644" s="198"/>
      <c r="V644" s="198"/>
      <c r="AA644" s="198"/>
      <c r="AB644" s="198"/>
    </row>
    <row r="645" spans="3:28" ht="13.2">
      <c r="C645" s="286"/>
      <c r="D645" s="287"/>
      <c r="E645" s="288"/>
      <c r="K645" s="289"/>
      <c r="U645" s="198"/>
      <c r="V645" s="198"/>
      <c r="AA645" s="198"/>
      <c r="AB645" s="198"/>
    </row>
    <row r="646" spans="3:28" ht="13.2">
      <c r="C646" s="286"/>
      <c r="D646" s="287"/>
      <c r="E646" s="288"/>
      <c r="K646" s="289"/>
      <c r="U646" s="198"/>
      <c r="V646" s="198"/>
      <c r="AA646" s="198"/>
      <c r="AB646" s="198"/>
    </row>
    <row r="647" spans="3:28" ht="13.2">
      <c r="C647" s="286"/>
      <c r="D647" s="287"/>
      <c r="E647" s="288"/>
      <c r="K647" s="289"/>
      <c r="U647" s="198"/>
      <c r="V647" s="198"/>
      <c r="AA647" s="198"/>
      <c r="AB647" s="198"/>
    </row>
    <row r="648" spans="3:28" ht="13.2">
      <c r="C648" s="286"/>
      <c r="D648" s="287"/>
      <c r="E648" s="288"/>
      <c r="K648" s="289"/>
      <c r="U648" s="198"/>
      <c r="V648" s="198"/>
      <c r="AA648" s="198"/>
      <c r="AB648" s="198"/>
    </row>
    <row r="649" spans="3:28" ht="13.2">
      <c r="C649" s="286"/>
      <c r="D649" s="287"/>
      <c r="E649" s="288"/>
      <c r="K649" s="289"/>
      <c r="U649" s="198"/>
      <c r="V649" s="198"/>
      <c r="AA649" s="198"/>
      <c r="AB649" s="198"/>
    </row>
    <row r="650" spans="3:28" ht="13.2">
      <c r="C650" s="286"/>
      <c r="D650" s="287"/>
      <c r="E650" s="288"/>
      <c r="K650" s="289"/>
      <c r="U650" s="198"/>
      <c r="V650" s="198"/>
      <c r="AA650" s="198"/>
      <c r="AB650" s="198"/>
    </row>
    <row r="651" spans="3:28" ht="13.2">
      <c r="C651" s="286"/>
      <c r="D651" s="287"/>
      <c r="E651" s="288"/>
      <c r="K651" s="289"/>
      <c r="U651" s="198"/>
      <c r="V651" s="198"/>
      <c r="AA651" s="198"/>
      <c r="AB651" s="198"/>
    </row>
    <row r="652" spans="3:28" ht="13.2">
      <c r="C652" s="286"/>
      <c r="D652" s="287"/>
      <c r="E652" s="288"/>
      <c r="K652" s="289"/>
      <c r="U652" s="198"/>
      <c r="V652" s="198"/>
      <c r="AA652" s="198"/>
      <c r="AB652" s="198"/>
    </row>
    <row r="653" spans="3:28" ht="13.2">
      <c r="C653" s="286"/>
      <c r="D653" s="287"/>
      <c r="E653" s="288"/>
      <c r="K653" s="289"/>
      <c r="U653" s="198"/>
      <c r="V653" s="198"/>
      <c r="AA653" s="198"/>
      <c r="AB653" s="198"/>
    </row>
    <row r="654" spans="3:28" ht="13.2">
      <c r="C654" s="286"/>
      <c r="D654" s="287"/>
      <c r="E654" s="288"/>
      <c r="K654" s="289"/>
      <c r="U654" s="198"/>
      <c r="V654" s="198"/>
      <c r="AA654" s="198"/>
      <c r="AB654" s="198"/>
    </row>
    <row r="655" spans="3:28" ht="13.2">
      <c r="C655" s="286"/>
      <c r="D655" s="287"/>
      <c r="E655" s="288"/>
      <c r="K655" s="289"/>
      <c r="U655" s="198"/>
      <c r="V655" s="198"/>
      <c r="AA655" s="198"/>
      <c r="AB655" s="198"/>
    </row>
    <row r="656" spans="3:28" ht="13.2">
      <c r="C656" s="286"/>
      <c r="D656" s="287"/>
      <c r="E656" s="288"/>
      <c r="K656" s="289"/>
      <c r="U656" s="198"/>
      <c r="V656" s="198"/>
      <c r="AA656" s="198"/>
      <c r="AB656" s="198"/>
    </row>
    <row r="657" spans="3:28" ht="13.2">
      <c r="C657" s="286"/>
      <c r="D657" s="287"/>
      <c r="E657" s="288"/>
      <c r="K657" s="289"/>
      <c r="U657" s="198"/>
      <c r="V657" s="198"/>
      <c r="AA657" s="198"/>
      <c r="AB657" s="198"/>
    </row>
    <row r="658" spans="3:28" ht="13.2">
      <c r="C658" s="286"/>
      <c r="D658" s="287"/>
      <c r="E658" s="288"/>
      <c r="K658" s="289"/>
      <c r="U658" s="198"/>
      <c r="V658" s="198"/>
      <c r="AA658" s="198"/>
      <c r="AB658" s="198"/>
    </row>
    <row r="659" spans="3:28" ht="13.2">
      <c r="C659" s="286"/>
      <c r="D659" s="287"/>
      <c r="E659" s="288"/>
      <c r="K659" s="289"/>
      <c r="U659" s="198"/>
      <c r="V659" s="198"/>
      <c r="AA659" s="198"/>
      <c r="AB659" s="198"/>
    </row>
    <row r="660" spans="3:28" ht="13.2">
      <c r="C660" s="286"/>
      <c r="D660" s="287"/>
      <c r="E660" s="288"/>
      <c r="K660" s="289"/>
      <c r="U660" s="198"/>
      <c r="V660" s="198"/>
      <c r="AA660" s="198"/>
      <c r="AB660" s="198"/>
    </row>
    <row r="661" spans="3:28" ht="13.2">
      <c r="C661" s="286"/>
      <c r="D661" s="287"/>
      <c r="E661" s="288"/>
      <c r="K661" s="289"/>
      <c r="U661" s="198"/>
      <c r="V661" s="198"/>
      <c r="AA661" s="198"/>
      <c r="AB661" s="198"/>
    </row>
    <row r="662" spans="3:28" ht="13.2">
      <c r="C662" s="286"/>
      <c r="D662" s="287"/>
      <c r="E662" s="288"/>
      <c r="K662" s="289"/>
      <c r="U662" s="198"/>
      <c r="V662" s="198"/>
      <c r="AA662" s="198"/>
      <c r="AB662" s="198"/>
    </row>
    <row r="663" spans="3:28" ht="13.2">
      <c r="C663" s="286"/>
      <c r="D663" s="287"/>
      <c r="E663" s="288"/>
      <c r="K663" s="289"/>
      <c r="U663" s="198"/>
      <c r="V663" s="198"/>
      <c r="AA663" s="198"/>
      <c r="AB663" s="198"/>
    </row>
    <row r="664" spans="3:28" ht="13.2">
      <c r="C664" s="286"/>
      <c r="D664" s="287"/>
      <c r="E664" s="288"/>
      <c r="K664" s="289"/>
      <c r="U664" s="198"/>
      <c r="V664" s="198"/>
      <c r="AA664" s="198"/>
      <c r="AB664" s="198"/>
    </row>
    <row r="665" spans="3:28" ht="13.2">
      <c r="C665" s="286"/>
      <c r="D665" s="287"/>
      <c r="E665" s="288"/>
      <c r="K665" s="289"/>
      <c r="U665" s="198"/>
      <c r="V665" s="198"/>
      <c r="AA665" s="198"/>
      <c r="AB665" s="198"/>
    </row>
    <row r="666" spans="3:28" ht="13.2">
      <c r="C666" s="286"/>
      <c r="D666" s="287"/>
      <c r="E666" s="288"/>
      <c r="K666" s="289"/>
      <c r="U666" s="198"/>
      <c r="V666" s="198"/>
      <c r="AA666" s="198"/>
      <c r="AB666" s="198"/>
    </row>
    <row r="667" spans="3:28" ht="13.2">
      <c r="C667" s="286"/>
      <c r="D667" s="287"/>
      <c r="E667" s="288"/>
      <c r="K667" s="289"/>
      <c r="U667" s="198"/>
      <c r="V667" s="198"/>
      <c r="AA667" s="198"/>
      <c r="AB667" s="198"/>
    </row>
    <row r="668" spans="3:28" ht="13.2">
      <c r="C668" s="286"/>
      <c r="D668" s="287"/>
      <c r="E668" s="288"/>
      <c r="K668" s="289"/>
      <c r="U668" s="198"/>
      <c r="V668" s="198"/>
      <c r="AA668" s="198"/>
      <c r="AB668" s="198"/>
    </row>
    <row r="669" spans="3:28" ht="13.2">
      <c r="C669" s="286"/>
      <c r="D669" s="287"/>
      <c r="E669" s="288"/>
      <c r="K669" s="289"/>
      <c r="U669" s="198"/>
      <c r="V669" s="198"/>
      <c r="AA669" s="198"/>
      <c r="AB669" s="198"/>
    </row>
    <row r="670" spans="3:28" ht="13.2">
      <c r="C670" s="286"/>
      <c r="D670" s="287"/>
      <c r="E670" s="288"/>
      <c r="K670" s="289"/>
      <c r="U670" s="198"/>
      <c r="V670" s="198"/>
      <c r="AA670" s="198"/>
      <c r="AB670" s="198"/>
    </row>
    <row r="671" spans="3:28" ht="13.2">
      <c r="C671" s="286"/>
      <c r="D671" s="287"/>
      <c r="E671" s="288"/>
      <c r="K671" s="289"/>
      <c r="U671" s="198"/>
      <c r="V671" s="198"/>
      <c r="AA671" s="198"/>
      <c r="AB671" s="198"/>
    </row>
    <row r="672" spans="3:28" ht="13.2">
      <c r="C672" s="286"/>
      <c r="D672" s="287"/>
      <c r="E672" s="288"/>
      <c r="K672" s="289"/>
      <c r="U672" s="198"/>
      <c r="V672" s="198"/>
      <c r="AA672" s="198"/>
      <c r="AB672" s="198"/>
    </row>
    <row r="673" spans="3:28" ht="13.2">
      <c r="C673" s="286"/>
      <c r="D673" s="287"/>
      <c r="E673" s="288"/>
      <c r="K673" s="289"/>
      <c r="U673" s="198"/>
      <c r="V673" s="198"/>
      <c r="AA673" s="198"/>
      <c r="AB673" s="198"/>
    </row>
    <row r="674" spans="3:28" ht="13.2">
      <c r="C674" s="286"/>
      <c r="D674" s="287"/>
      <c r="E674" s="288"/>
      <c r="K674" s="289"/>
      <c r="U674" s="198"/>
      <c r="V674" s="198"/>
      <c r="AA674" s="198"/>
      <c r="AB674" s="198"/>
    </row>
    <row r="675" spans="3:28" ht="13.2">
      <c r="C675" s="286"/>
      <c r="D675" s="287"/>
      <c r="E675" s="288"/>
      <c r="K675" s="289"/>
      <c r="U675" s="198"/>
      <c r="V675" s="198"/>
      <c r="AA675" s="198"/>
      <c r="AB675" s="198"/>
    </row>
    <row r="676" spans="3:28" ht="13.2">
      <c r="C676" s="286"/>
      <c r="D676" s="287"/>
      <c r="E676" s="288"/>
      <c r="K676" s="289"/>
      <c r="U676" s="198"/>
      <c r="V676" s="198"/>
      <c r="AA676" s="198"/>
      <c r="AB676" s="198"/>
    </row>
    <row r="677" spans="3:28" ht="13.2">
      <c r="C677" s="286"/>
      <c r="D677" s="287"/>
      <c r="E677" s="288"/>
      <c r="K677" s="289"/>
      <c r="U677" s="198"/>
      <c r="V677" s="198"/>
      <c r="AA677" s="198"/>
      <c r="AB677" s="198"/>
    </row>
    <row r="678" spans="3:28" ht="13.2">
      <c r="C678" s="286"/>
      <c r="D678" s="287"/>
      <c r="E678" s="288"/>
      <c r="K678" s="289"/>
      <c r="U678" s="198"/>
      <c r="V678" s="198"/>
      <c r="AA678" s="198"/>
      <c r="AB678" s="198"/>
    </row>
    <row r="679" spans="3:28" ht="13.2">
      <c r="C679" s="286"/>
      <c r="D679" s="287"/>
      <c r="E679" s="288"/>
      <c r="K679" s="289"/>
      <c r="U679" s="198"/>
      <c r="V679" s="198"/>
      <c r="AA679" s="198"/>
      <c r="AB679" s="198"/>
    </row>
    <row r="680" spans="3:28" ht="13.2">
      <c r="C680" s="286"/>
      <c r="D680" s="287"/>
      <c r="E680" s="288"/>
      <c r="K680" s="289"/>
      <c r="U680" s="198"/>
      <c r="V680" s="198"/>
      <c r="AA680" s="198"/>
      <c r="AB680" s="198"/>
    </row>
    <row r="681" spans="3:28" ht="13.2">
      <c r="C681" s="286"/>
      <c r="D681" s="287"/>
      <c r="E681" s="288"/>
      <c r="K681" s="289"/>
      <c r="U681" s="198"/>
      <c r="V681" s="198"/>
      <c r="AA681" s="198"/>
      <c r="AB681" s="198"/>
    </row>
    <row r="682" spans="3:28" ht="13.2">
      <c r="C682" s="286"/>
      <c r="D682" s="287"/>
      <c r="E682" s="288"/>
      <c r="K682" s="289"/>
      <c r="U682" s="198"/>
      <c r="V682" s="198"/>
      <c r="AA682" s="198"/>
      <c r="AB682" s="198"/>
    </row>
    <row r="683" spans="3:28" ht="13.2">
      <c r="C683" s="286"/>
      <c r="D683" s="287"/>
      <c r="E683" s="288"/>
      <c r="K683" s="289"/>
      <c r="U683" s="198"/>
      <c r="V683" s="198"/>
      <c r="AA683" s="198"/>
      <c r="AB683" s="198"/>
    </row>
    <row r="684" spans="3:28" ht="13.2">
      <c r="C684" s="286"/>
      <c r="D684" s="287"/>
      <c r="E684" s="288"/>
      <c r="K684" s="289"/>
      <c r="U684" s="198"/>
      <c r="V684" s="198"/>
      <c r="AA684" s="198"/>
      <c r="AB684" s="198"/>
    </row>
    <row r="685" spans="3:28" ht="13.2">
      <c r="C685" s="286"/>
      <c r="D685" s="287"/>
      <c r="E685" s="288"/>
      <c r="K685" s="289"/>
      <c r="U685" s="198"/>
      <c r="V685" s="198"/>
      <c r="AA685" s="198"/>
      <c r="AB685" s="198"/>
    </row>
    <row r="686" spans="3:28" ht="13.2">
      <c r="C686" s="286"/>
      <c r="D686" s="287"/>
      <c r="E686" s="288"/>
      <c r="K686" s="289"/>
      <c r="U686" s="198"/>
      <c r="V686" s="198"/>
      <c r="AA686" s="198"/>
      <c r="AB686" s="198"/>
    </row>
    <row r="687" spans="3:28" ht="13.2">
      <c r="C687" s="286"/>
      <c r="D687" s="287"/>
      <c r="E687" s="288"/>
      <c r="K687" s="289"/>
      <c r="U687" s="198"/>
      <c r="V687" s="198"/>
      <c r="AA687" s="198"/>
      <c r="AB687" s="198"/>
    </row>
    <row r="688" spans="3:28" ht="13.2">
      <c r="C688" s="286"/>
      <c r="D688" s="287"/>
      <c r="E688" s="288"/>
      <c r="K688" s="289"/>
      <c r="U688" s="198"/>
      <c r="V688" s="198"/>
      <c r="AA688" s="198"/>
      <c r="AB688" s="198"/>
    </row>
    <row r="689" spans="3:28" ht="13.2">
      <c r="C689" s="286"/>
      <c r="D689" s="287"/>
      <c r="E689" s="288"/>
      <c r="K689" s="289"/>
      <c r="U689" s="198"/>
      <c r="V689" s="198"/>
      <c r="AA689" s="198"/>
      <c r="AB689" s="198"/>
    </row>
    <row r="690" spans="3:28" ht="13.2">
      <c r="C690" s="286"/>
      <c r="D690" s="287"/>
      <c r="E690" s="288"/>
      <c r="K690" s="289"/>
      <c r="U690" s="198"/>
      <c r="V690" s="198"/>
      <c r="AA690" s="198"/>
      <c r="AB690" s="198"/>
    </row>
    <row r="691" spans="3:28" ht="13.2">
      <c r="C691" s="286"/>
      <c r="D691" s="287"/>
      <c r="E691" s="288"/>
      <c r="K691" s="289"/>
      <c r="U691" s="198"/>
      <c r="V691" s="198"/>
      <c r="AA691" s="198"/>
      <c r="AB691" s="198"/>
    </row>
    <row r="692" spans="3:28" ht="13.2">
      <c r="C692" s="286"/>
      <c r="D692" s="287"/>
      <c r="E692" s="288"/>
      <c r="K692" s="289"/>
      <c r="U692" s="198"/>
      <c r="V692" s="198"/>
      <c r="AA692" s="198"/>
      <c r="AB692" s="198"/>
    </row>
    <row r="693" spans="3:28" ht="13.2">
      <c r="C693" s="286"/>
      <c r="D693" s="287"/>
      <c r="E693" s="288"/>
      <c r="K693" s="289"/>
      <c r="U693" s="198"/>
      <c r="V693" s="198"/>
      <c r="AA693" s="198"/>
      <c r="AB693" s="198"/>
    </row>
    <row r="694" spans="3:28" ht="13.2">
      <c r="C694" s="286"/>
      <c r="D694" s="287"/>
      <c r="E694" s="288"/>
      <c r="K694" s="289"/>
      <c r="U694" s="198"/>
      <c r="V694" s="198"/>
      <c r="AA694" s="198"/>
      <c r="AB694" s="198"/>
    </row>
    <row r="695" spans="3:28" ht="13.2">
      <c r="C695" s="286"/>
      <c r="D695" s="287"/>
      <c r="E695" s="288"/>
      <c r="K695" s="289"/>
      <c r="U695" s="198"/>
      <c r="V695" s="198"/>
      <c r="AA695" s="198"/>
      <c r="AB695" s="198"/>
    </row>
    <row r="696" spans="3:28" ht="13.2">
      <c r="C696" s="286"/>
      <c r="D696" s="287"/>
      <c r="E696" s="288"/>
      <c r="K696" s="289"/>
      <c r="U696" s="198"/>
      <c r="V696" s="198"/>
      <c r="AA696" s="198"/>
      <c r="AB696" s="198"/>
    </row>
    <row r="697" spans="3:28" ht="13.2">
      <c r="C697" s="286"/>
      <c r="D697" s="287"/>
      <c r="E697" s="288"/>
      <c r="K697" s="289"/>
      <c r="U697" s="198"/>
      <c r="V697" s="198"/>
      <c r="AA697" s="198"/>
      <c r="AB697" s="198"/>
    </row>
    <row r="698" spans="3:28" ht="13.2">
      <c r="C698" s="286"/>
      <c r="D698" s="287"/>
      <c r="E698" s="288"/>
      <c r="K698" s="289"/>
      <c r="U698" s="198"/>
      <c r="V698" s="198"/>
      <c r="AA698" s="198"/>
      <c r="AB698" s="198"/>
    </row>
    <row r="699" spans="3:28" ht="13.2">
      <c r="C699" s="286"/>
      <c r="D699" s="287"/>
      <c r="E699" s="288"/>
      <c r="K699" s="289"/>
      <c r="U699" s="198"/>
      <c r="V699" s="198"/>
      <c r="AA699" s="198"/>
      <c r="AB699" s="198"/>
    </row>
    <row r="700" spans="3:28" ht="13.2">
      <c r="C700" s="286"/>
      <c r="D700" s="287"/>
      <c r="E700" s="288"/>
      <c r="K700" s="289"/>
      <c r="U700" s="198"/>
      <c r="V700" s="198"/>
      <c r="AA700" s="198"/>
      <c r="AB700" s="198"/>
    </row>
    <row r="701" spans="3:28" ht="13.2">
      <c r="C701" s="286"/>
      <c r="D701" s="287"/>
      <c r="E701" s="288"/>
      <c r="K701" s="289"/>
      <c r="U701" s="198"/>
      <c r="V701" s="198"/>
      <c r="AA701" s="198"/>
      <c r="AB701" s="198"/>
    </row>
    <row r="702" spans="3:28" ht="13.2">
      <c r="C702" s="286"/>
      <c r="D702" s="287"/>
      <c r="E702" s="288"/>
      <c r="K702" s="289"/>
      <c r="U702" s="198"/>
      <c r="V702" s="198"/>
      <c r="AA702" s="198"/>
      <c r="AB702" s="198"/>
    </row>
    <row r="703" spans="3:28" ht="13.2">
      <c r="C703" s="286"/>
      <c r="D703" s="287"/>
      <c r="E703" s="288"/>
      <c r="K703" s="289"/>
      <c r="U703" s="198"/>
      <c r="V703" s="198"/>
      <c r="AA703" s="198"/>
      <c r="AB703" s="198"/>
    </row>
    <row r="704" spans="3:28" ht="13.2">
      <c r="C704" s="286"/>
      <c r="D704" s="287"/>
      <c r="E704" s="288"/>
      <c r="K704" s="289"/>
      <c r="U704" s="198"/>
      <c r="V704" s="198"/>
      <c r="AA704" s="198"/>
      <c r="AB704" s="198"/>
    </row>
    <row r="705" spans="3:28" ht="13.2">
      <c r="C705" s="286"/>
      <c r="D705" s="287"/>
      <c r="E705" s="288"/>
      <c r="K705" s="289"/>
      <c r="U705" s="198"/>
      <c r="V705" s="198"/>
      <c r="AA705" s="198"/>
      <c r="AB705" s="198"/>
    </row>
    <row r="706" spans="3:28" ht="13.2">
      <c r="C706" s="286"/>
      <c r="D706" s="287"/>
      <c r="E706" s="288"/>
      <c r="K706" s="289"/>
      <c r="U706" s="198"/>
      <c r="V706" s="198"/>
      <c r="AA706" s="198"/>
      <c r="AB706" s="198"/>
    </row>
    <row r="707" spans="3:28" ht="13.2">
      <c r="C707" s="286"/>
      <c r="D707" s="287"/>
      <c r="E707" s="288"/>
      <c r="K707" s="289"/>
      <c r="U707" s="198"/>
      <c r="V707" s="198"/>
      <c r="AA707" s="198"/>
      <c r="AB707" s="198"/>
    </row>
    <row r="708" spans="3:28" ht="13.2">
      <c r="C708" s="286"/>
      <c r="D708" s="287"/>
      <c r="E708" s="288"/>
      <c r="K708" s="289"/>
      <c r="U708" s="198"/>
      <c r="V708" s="198"/>
      <c r="AA708" s="198"/>
      <c r="AB708" s="198"/>
    </row>
    <row r="709" spans="3:28" ht="13.2">
      <c r="C709" s="286"/>
      <c r="D709" s="287"/>
      <c r="E709" s="288"/>
      <c r="K709" s="289"/>
      <c r="U709" s="198"/>
      <c r="V709" s="198"/>
      <c r="AA709" s="198"/>
      <c r="AB709" s="198"/>
    </row>
    <row r="710" spans="3:28" ht="13.2">
      <c r="C710" s="286"/>
      <c r="D710" s="287"/>
      <c r="E710" s="288"/>
      <c r="K710" s="289"/>
      <c r="U710" s="198"/>
      <c r="V710" s="198"/>
      <c r="AA710" s="198"/>
      <c r="AB710" s="198"/>
    </row>
    <row r="711" spans="3:28" ht="13.2">
      <c r="C711" s="286"/>
      <c r="D711" s="287"/>
      <c r="E711" s="288"/>
      <c r="K711" s="289"/>
      <c r="U711" s="198"/>
      <c r="V711" s="198"/>
      <c r="AA711" s="198"/>
      <c r="AB711" s="198"/>
    </row>
    <row r="712" spans="3:28" ht="13.2">
      <c r="C712" s="286"/>
      <c r="D712" s="287"/>
      <c r="E712" s="288"/>
      <c r="K712" s="289"/>
      <c r="U712" s="198"/>
      <c r="V712" s="198"/>
      <c r="AA712" s="198"/>
      <c r="AB712" s="198"/>
    </row>
    <row r="713" spans="3:28" ht="13.2">
      <c r="C713" s="286"/>
      <c r="D713" s="287"/>
      <c r="E713" s="288"/>
      <c r="K713" s="289"/>
      <c r="U713" s="198"/>
      <c r="V713" s="198"/>
      <c r="AA713" s="198"/>
      <c r="AB713" s="198"/>
    </row>
    <row r="714" spans="3:28" ht="13.2">
      <c r="C714" s="286"/>
      <c r="D714" s="287"/>
      <c r="E714" s="288"/>
      <c r="K714" s="289"/>
      <c r="U714" s="198"/>
      <c r="V714" s="198"/>
      <c r="AA714" s="198"/>
      <c r="AB714" s="198"/>
    </row>
    <row r="715" spans="3:28" ht="13.2">
      <c r="C715" s="286"/>
      <c r="D715" s="287"/>
      <c r="E715" s="288"/>
      <c r="K715" s="289"/>
      <c r="U715" s="198"/>
      <c r="V715" s="198"/>
      <c r="AA715" s="198"/>
      <c r="AB715" s="198"/>
    </row>
    <row r="716" spans="3:28" ht="13.2">
      <c r="C716" s="286"/>
      <c r="D716" s="287"/>
      <c r="E716" s="288"/>
      <c r="K716" s="289"/>
      <c r="U716" s="198"/>
      <c r="V716" s="198"/>
      <c r="AA716" s="198"/>
      <c r="AB716" s="198"/>
    </row>
    <row r="717" spans="3:28" ht="13.2">
      <c r="C717" s="286"/>
      <c r="D717" s="287"/>
      <c r="E717" s="288"/>
      <c r="K717" s="289"/>
      <c r="U717" s="198"/>
      <c r="V717" s="198"/>
      <c r="AA717" s="198"/>
      <c r="AB717" s="198"/>
    </row>
    <row r="718" spans="3:28" ht="13.2">
      <c r="C718" s="286"/>
      <c r="D718" s="287"/>
      <c r="E718" s="288"/>
      <c r="K718" s="289"/>
      <c r="U718" s="198"/>
      <c r="V718" s="198"/>
      <c r="AA718" s="198"/>
      <c r="AB718" s="198"/>
    </row>
    <row r="719" spans="3:28" ht="13.2">
      <c r="C719" s="286"/>
      <c r="D719" s="287"/>
      <c r="E719" s="288"/>
      <c r="K719" s="289"/>
      <c r="U719" s="198"/>
      <c r="V719" s="198"/>
      <c r="AA719" s="198"/>
      <c r="AB719" s="198"/>
    </row>
    <row r="720" spans="3:28" ht="13.2">
      <c r="C720" s="286"/>
      <c r="D720" s="287"/>
      <c r="E720" s="288"/>
      <c r="K720" s="289"/>
      <c r="U720" s="198"/>
      <c r="V720" s="198"/>
      <c r="AA720" s="198"/>
      <c r="AB720" s="198"/>
    </row>
    <row r="721" spans="3:28" ht="13.2">
      <c r="C721" s="286"/>
      <c r="D721" s="287"/>
      <c r="E721" s="288"/>
      <c r="K721" s="289"/>
      <c r="U721" s="198"/>
      <c r="V721" s="198"/>
      <c r="AA721" s="198"/>
      <c r="AB721" s="198"/>
    </row>
    <row r="722" spans="3:28" ht="13.2">
      <c r="C722" s="286"/>
      <c r="D722" s="287"/>
      <c r="E722" s="288"/>
      <c r="K722" s="289"/>
      <c r="U722" s="198"/>
      <c r="V722" s="198"/>
      <c r="AA722" s="198"/>
      <c r="AB722" s="198"/>
    </row>
    <row r="723" spans="3:28" ht="13.2">
      <c r="C723" s="286"/>
      <c r="D723" s="287"/>
      <c r="E723" s="288"/>
      <c r="K723" s="289"/>
      <c r="U723" s="198"/>
      <c r="V723" s="198"/>
      <c r="AA723" s="198"/>
      <c r="AB723" s="198"/>
    </row>
    <row r="724" spans="3:28" ht="13.2">
      <c r="C724" s="286"/>
      <c r="D724" s="287"/>
      <c r="E724" s="288"/>
      <c r="K724" s="289"/>
      <c r="U724" s="198"/>
      <c r="V724" s="198"/>
      <c r="AA724" s="198"/>
      <c r="AB724" s="198"/>
    </row>
    <row r="725" spans="3:28" ht="13.2">
      <c r="C725" s="286"/>
      <c r="D725" s="287"/>
      <c r="E725" s="288"/>
      <c r="K725" s="289"/>
      <c r="U725" s="198"/>
      <c r="V725" s="198"/>
      <c r="AA725" s="198"/>
      <c r="AB725" s="198"/>
    </row>
    <row r="726" spans="3:28" ht="13.2">
      <c r="C726" s="286"/>
      <c r="D726" s="287"/>
      <c r="E726" s="288"/>
      <c r="K726" s="289"/>
      <c r="U726" s="198"/>
      <c r="V726" s="198"/>
      <c r="AA726" s="198"/>
      <c r="AB726" s="198"/>
    </row>
    <row r="727" spans="3:28" ht="13.2">
      <c r="C727" s="286"/>
      <c r="D727" s="287"/>
      <c r="E727" s="288"/>
      <c r="K727" s="289"/>
      <c r="U727" s="198"/>
      <c r="V727" s="198"/>
      <c r="AA727" s="198"/>
      <c r="AB727" s="198"/>
    </row>
    <row r="728" spans="3:28" ht="13.2">
      <c r="C728" s="286"/>
      <c r="D728" s="287"/>
      <c r="E728" s="288"/>
      <c r="K728" s="289"/>
      <c r="U728" s="198"/>
      <c r="V728" s="198"/>
      <c r="AA728" s="198"/>
      <c r="AB728" s="198"/>
    </row>
    <row r="729" spans="3:28" ht="13.2">
      <c r="C729" s="286"/>
      <c r="D729" s="287"/>
      <c r="E729" s="288"/>
      <c r="K729" s="289"/>
      <c r="U729" s="198"/>
      <c r="V729" s="198"/>
      <c r="AA729" s="198"/>
      <c r="AB729" s="198"/>
    </row>
    <row r="730" spans="3:28" ht="13.2">
      <c r="C730" s="286"/>
      <c r="D730" s="287"/>
      <c r="E730" s="288"/>
      <c r="K730" s="289"/>
      <c r="U730" s="198"/>
      <c r="V730" s="198"/>
      <c r="AA730" s="198"/>
      <c r="AB730" s="198"/>
    </row>
    <row r="731" spans="3:28" ht="13.2">
      <c r="C731" s="286"/>
      <c r="D731" s="287"/>
      <c r="E731" s="288"/>
      <c r="K731" s="289"/>
      <c r="U731" s="198"/>
      <c r="V731" s="198"/>
      <c r="AA731" s="198"/>
      <c r="AB731" s="198"/>
    </row>
    <row r="732" spans="3:28" ht="13.2">
      <c r="C732" s="286"/>
      <c r="D732" s="287"/>
      <c r="E732" s="288"/>
      <c r="K732" s="289"/>
      <c r="U732" s="198"/>
      <c r="V732" s="198"/>
      <c r="AA732" s="198"/>
      <c r="AB732" s="198"/>
    </row>
    <row r="733" spans="3:28" ht="13.2">
      <c r="C733" s="286"/>
      <c r="D733" s="287"/>
      <c r="E733" s="288"/>
      <c r="K733" s="289"/>
      <c r="U733" s="198"/>
      <c r="V733" s="198"/>
      <c r="AA733" s="198"/>
      <c r="AB733" s="198"/>
    </row>
    <row r="734" spans="3:28" ht="13.2">
      <c r="C734" s="286"/>
      <c r="D734" s="287"/>
      <c r="E734" s="288"/>
      <c r="K734" s="289"/>
      <c r="U734" s="198"/>
      <c r="V734" s="198"/>
      <c r="AA734" s="198"/>
      <c r="AB734" s="198"/>
    </row>
    <row r="735" spans="3:28" ht="13.2">
      <c r="C735" s="286"/>
      <c r="D735" s="287"/>
      <c r="E735" s="288"/>
      <c r="K735" s="289"/>
      <c r="U735" s="198"/>
      <c r="V735" s="198"/>
      <c r="AA735" s="198"/>
      <c r="AB735" s="198"/>
    </row>
    <row r="736" spans="3:28" ht="13.2">
      <c r="C736" s="286"/>
      <c r="D736" s="287"/>
      <c r="E736" s="288"/>
      <c r="K736" s="289"/>
      <c r="U736" s="198"/>
      <c r="V736" s="198"/>
      <c r="AA736" s="198"/>
      <c r="AB736" s="198"/>
    </row>
    <row r="737" spans="3:28" ht="13.2">
      <c r="C737" s="286"/>
      <c r="D737" s="287"/>
      <c r="E737" s="288"/>
      <c r="K737" s="289"/>
      <c r="U737" s="198"/>
      <c r="V737" s="198"/>
      <c r="AA737" s="198"/>
      <c r="AB737" s="198"/>
    </row>
    <row r="738" spans="3:28" ht="13.2">
      <c r="C738" s="286"/>
      <c r="D738" s="287"/>
      <c r="E738" s="288"/>
      <c r="K738" s="289"/>
      <c r="U738" s="198"/>
      <c r="V738" s="198"/>
      <c r="AA738" s="198"/>
      <c r="AB738" s="198"/>
    </row>
    <row r="739" spans="3:28" ht="13.2">
      <c r="C739" s="286"/>
      <c r="D739" s="287"/>
      <c r="E739" s="288"/>
      <c r="K739" s="289"/>
      <c r="U739" s="198"/>
      <c r="V739" s="198"/>
      <c r="AA739" s="198"/>
      <c r="AB739" s="198"/>
    </row>
    <row r="740" spans="3:28" ht="13.2">
      <c r="C740" s="286"/>
      <c r="D740" s="287"/>
      <c r="E740" s="288"/>
      <c r="K740" s="289"/>
      <c r="U740" s="198"/>
      <c r="V740" s="198"/>
      <c r="AA740" s="198"/>
      <c r="AB740" s="198"/>
    </row>
    <row r="741" spans="3:28" ht="13.2">
      <c r="C741" s="286"/>
      <c r="D741" s="287"/>
      <c r="E741" s="288"/>
      <c r="K741" s="289"/>
      <c r="U741" s="198"/>
      <c r="V741" s="198"/>
      <c r="AA741" s="198"/>
      <c r="AB741" s="198"/>
    </row>
    <row r="742" spans="3:28" ht="13.2">
      <c r="C742" s="286"/>
      <c r="D742" s="287"/>
      <c r="E742" s="288"/>
      <c r="K742" s="289"/>
      <c r="U742" s="198"/>
      <c r="V742" s="198"/>
      <c r="AA742" s="198"/>
      <c r="AB742" s="198"/>
    </row>
    <row r="743" spans="3:28" ht="13.2">
      <c r="C743" s="286"/>
      <c r="D743" s="287"/>
      <c r="E743" s="288"/>
      <c r="K743" s="289"/>
      <c r="U743" s="198"/>
      <c r="V743" s="198"/>
      <c r="AA743" s="198"/>
      <c r="AB743" s="198"/>
    </row>
    <row r="744" spans="3:28" ht="13.2">
      <c r="C744" s="286"/>
      <c r="D744" s="287"/>
      <c r="E744" s="288"/>
      <c r="K744" s="289"/>
      <c r="U744" s="198"/>
      <c r="V744" s="198"/>
      <c r="AA744" s="198"/>
      <c r="AB744" s="198"/>
    </row>
    <row r="745" spans="3:28" ht="13.2">
      <c r="C745" s="286"/>
      <c r="D745" s="287"/>
      <c r="E745" s="288"/>
      <c r="K745" s="289"/>
      <c r="U745" s="198"/>
      <c r="V745" s="198"/>
      <c r="AA745" s="198"/>
      <c r="AB745" s="198"/>
    </row>
    <row r="746" spans="3:28" ht="13.2">
      <c r="C746" s="286"/>
      <c r="D746" s="287"/>
      <c r="E746" s="288"/>
      <c r="K746" s="289"/>
      <c r="U746" s="198"/>
      <c r="V746" s="198"/>
      <c r="AA746" s="198"/>
      <c r="AB746" s="198"/>
    </row>
    <row r="747" spans="3:28" ht="13.2">
      <c r="C747" s="286"/>
      <c r="D747" s="287"/>
      <c r="E747" s="288"/>
      <c r="K747" s="289"/>
      <c r="U747" s="198"/>
      <c r="V747" s="198"/>
      <c r="AA747" s="198"/>
      <c r="AB747" s="198"/>
    </row>
    <row r="748" spans="3:28" ht="13.2">
      <c r="C748" s="286"/>
      <c r="D748" s="287"/>
      <c r="E748" s="288"/>
      <c r="K748" s="289"/>
      <c r="U748" s="198"/>
      <c r="V748" s="198"/>
      <c r="AA748" s="198"/>
      <c r="AB748" s="198"/>
    </row>
    <row r="749" spans="3:28" ht="13.2">
      <c r="C749" s="286"/>
      <c r="D749" s="287"/>
      <c r="E749" s="288"/>
      <c r="K749" s="289"/>
      <c r="U749" s="198"/>
      <c r="V749" s="198"/>
      <c r="AA749" s="198"/>
      <c r="AB749" s="198"/>
    </row>
    <row r="750" spans="3:28" ht="13.2">
      <c r="C750" s="286"/>
      <c r="D750" s="287"/>
      <c r="E750" s="288"/>
      <c r="K750" s="289"/>
      <c r="U750" s="198"/>
      <c r="V750" s="198"/>
      <c r="AA750" s="198"/>
      <c r="AB750" s="198"/>
    </row>
    <row r="751" spans="3:28" ht="13.2">
      <c r="C751" s="286"/>
      <c r="D751" s="287"/>
      <c r="E751" s="288"/>
      <c r="K751" s="289"/>
      <c r="U751" s="198"/>
      <c r="V751" s="198"/>
      <c r="AA751" s="198"/>
      <c r="AB751" s="198"/>
    </row>
    <row r="752" spans="3:28" ht="13.2">
      <c r="C752" s="286"/>
      <c r="D752" s="287"/>
      <c r="E752" s="288"/>
      <c r="K752" s="289"/>
      <c r="U752" s="198"/>
      <c r="V752" s="198"/>
      <c r="AA752" s="198"/>
      <c r="AB752" s="198"/>
    </row>
    <row r="753" spans="3:28" ht="13.2">
      <c r="C753" s="286"/>
      <c r="D753" s="287"/>
      <c r="E753" s="288"/>
      <c r="K753" s="289"/>
      <c r="U753" s="198"/>
      <c r="V753" s="198"/>
      <c r="AA753" s="198"/>
      <c r="AB753" s="198"/>
    </row>
    <row r="754" spans="3:28" ht="13.2">
      <c r="C754" s="286"/>
      <c r="D754" s="287"/>
      <c r="E754" s="288"/>
      <c r="K754" s="289"/>
      <c r="U754" s="198"/>
      <c r="V754" s="198"/>
      <c r="AA754" s="198"/>
      <c r="AB754" s="198"/>
    </row>
    <row r="755" spans="3:28" ht="13.2">
      <c r="C755" s="286"/>
      <c r="D755" s="287"/>
      <c r="E755" s="288"/>
      <c r="K755" s="289"/>
      <c r="U755" s="198"/>
      <c r="V755" s="198"/>
      <c r="AA755" s="198"/>
      <c r="AB755" s="198"/>
    </row>
    <row r="756" spans="3:28" ht="13.2">
      <c r="C756" s="286"/>
      <c r="D756" s="287"/>
      <c r="E756" s="288"/>
      <c r="K756" s="289"/>
      <c r="U756" s="198"/>
      <c r="V756" s="198"/>
      <c r="AA756" s="198"/>
      <c r="AB756" s="198"/>
    </row>
    <row r="757" spans="3:28" ht="13.2">
      <c r="C757" s="286"/>
      <c r="D757" s="287"/>
      <c r="E757" s="288"/>
      <c r="K757" s="289"/>
      <c r="U757" s="198"/>
      <c r="V757" s="198"/>
      <c r="AA757" s="198"/>
      <c r="AB757" s="198"/>
    </row>
    <row r="758" spans="3:28" ht="13.2">
      <c r="C758" s="286"/>
      <c r="D758" s="287"/>
      <c r="E758" s="288"/>
      <c r="K758" s="289"/>
      <c r="U758" s="198"/>
      <c r="V758" s="198"/>
      <c r="AA758" s="198"/>
      <c r="AB758" s="198"/>
    </row>
    <row r="759" spans="3:28" ht="13.2">
      <c r="C759" s="286"/>
      <c r="D759" s="287"/>
      <c r="E759" s="288"/>
      <c r="K759" s="289"/>
      <c r="U759" s="198"/>
      <c r="V759" s="198"/>
      <c r="AA759" s="198"/>
      <c r="AB759" s="198"/>
    </row>
    <row r="760" spans="3:28" ht="13.2">
      <c r="C760" s="286"/>
      <c r="D760" s="287"/>
      <c r="E760" s="288"/>
      <c r="K760" s="289"/>
      <c r="U760" s="198"/>
      <c r="V760" s="198"/>
      <c r="AA760" s="198"/>
      <c r="AB760" s="198"/>
    </row>
    <row r="761" spans="3:28" ht="13.2">
      <c r="C761" s="286"/>
      <c r="D761" s="287"/>
      <c r="E761" s="288"/>
      <c r="K761" s="289"/>
      <c r="U761" s="198"/>
      <c r="V761" s="198"/>
      <c r="AA761" s="198"/>
      <c r="AB761" s="198"/>
    </row>
    <row r="762" spans="3:28" ht="13.2">
      <c r="C762" s="286"/>
      <c r="D762" s="287"/>
      <c r="E762" s="288"/>
      <c r="K762" s="289"/>
      <c r="U762" s="198"/>
      <c r="V762" s="198"/>
      <c r="AA762" s="198"/>
      <c r="AB762" s="198"/>
    </row>
    <row r="763" spans="3:28" ht="13.2">
      <c r="C763" s="286"/>
      <c r="D763" s="287"/>
      <c r="E763" s="288"/>
      <c r="K763" s="289"/>
      <c r="U763" s="198"/>
      <c r="V763" s="198"/>
      <c r="AA763" s="198"/>
      <c r="AB763" s="198"/>
    </row>
    <row r="764" spans="3:28" ht="13.2">
      <c r="C764" s="286"/>
      <c r="D764" s="287"/>
      <c r="E764" s="288"/>
      <c r="K764" s="289"/>
      <c r="U764" s="198"/>
      <c r="V764" s="198"/>
      <c r="AA764" s="198"/>
      <c r="AB764" s="198"/>
    </row>
    <row r="765" spans="3:28" ht="13.2">
      <c r="C765" s="286"/>
      <c r="D765" s="287"/>
      <c r="E765" s="288"/>
      <c r="K765" s="289"/>
      <c r="U765" s="198"/>
      <c r="V765" s="198"/>
      <c r="AA765" s="198"/>
      <c r="AB765" s="198"/>
    </row>
    <row r="766" spans="3:28" ht="13.2">
      <c r="C766" s="286"/>
      <c r="D766" s="287"/>
      <c r="E766" s="288"/>
      <c r="K766" s="289"/>
      <c r="U766" s="198"/>
      <c r="V766" s="198"/>
      <c r="AA766" s="198"/>
      <c r="AB766" s="198"/>
    </row>
    <row r="767" spans="3:28" ht="13.2">
      <c r="C767" s="286"/>
      <c r="D767" s="287"/>
      <c r="E767" s="288"/>
      <c r="K767" s="289"/>
      <c r="U767" s="198"/>
      <c r="V767" s="198"/>
      <c r="AA767" s="198"/>
      <c r="AB767" s="198"/>
    </row>
    <row r="768" spans="3:28" ht="13.2">
      <c r="C768" s="286"/>
      <c r="D768" s="287"/>
      <c r="E768" s="288"/>
      <c r="K768" s="289"/>
      <c r="U768" s="198"/>
      <c r="V768" s="198"/>
      <c r="AA768" s="198"/>
      <c r="AB768" s="198"/>
    </row>
    <row r="769" spans="3:28" ht="13.2">
      <c r="C769" s="286"/>
      <c r="D769" s="287"/>
      <c r="E769" s="288"/>
      <c r="K769" s="289"/>
      <c r="U769" s="198"/>
      <c r="V769" s="198"/>
      <c r="AA769" s="198"/>
      <c r="AB769" s="198"/>
    </row>
    <row r="770" spans="3:28" ht="13.2">
      <c r="C770" s="286"/>
      <c r="D770" s="287"/>
      <c r="E770" s="288"/>
      <c r="K770" s="289"/>
      <c r="U770" s="198"/>
      <c r="V770" s="198"/>
      <c r="AA770" s="198"/>
      <c r="AB770" s="198"/>
    </row>
    <row r="771" spans="3:28" ht="13.2">
      <c r="C771" s="286"/>
      <c r="D771" s="287"/>
      <c r="E771" s="288"/>
      <c r="K771" s="289"/>
      <c r="U771" s="198"/>
      <c r="V771" s="198"/>
      <c r="AA771" s="198"/>
      <c r="AB771" s="198"/>
    </row>
    <row r="772" spans="3:28" ht="13.2">
      <c r="C772" s="286"/>
      <c r="D772" s="287"/>
      <c r="E772" s="288"/>
      <c r="K772" s="289"/>
      <c r="U772" s="198"/>
      <c r="V772" s="198"/>
      <c r="AA772" s="198"/>
      <c r="AB772" s="198"/>
    </row>
    <row r="773" spans="3:28" ht="13.2">
      <c r="C773" s="286"/>
      <c r="D773" s="287"/>
      <c r="E773" s="288"/>
      <c r="K773" s="289"/>
      <c r="U773" s="198"/>
      <c r="V773" s="198"/>
      <c r="AA773" s="198"/>
      <c r="AB773" s="198"/>
    </row>
    <row r="774" spans="3:28" ht="13.2">
      <c r="C774" s="286"/>
      <c r="D774" s="287"/>
      <c r="E774" s="288"/>
      <c r="K774" s="289"/>
      <c r="U774" s="198"/>
      <c r="V774" s="198"/>
      <c r="AA774" s="198"/>
      <c r="AB774" s="198"/>
    </row>
    <row r="775" spans="3:28" ht="13.2">
      <c r="C775" s="286"/>
      <c r="D775" s="287"/>
      <c r="E775" s="288"/>
      <c r="K775" s="289"/>
      <c r="U775" s="198"/>
      <c r="V775" s="198"/>
      <c r="AA775" s="198"/>
      <c r="AB775" s="198"/>
    </row>
    <row r="776" spans="3:28" ht="13.2">
      <c r="C776" s="286"/>
      <c r="D776" s="287"/>
      <c r="E776" s="288"/>
      <c r="K776" s="289"/>
      <c r="U776" s="198"/>
      <c r="V776" s="198"/>
      <c r="AA776" s="198"/>
      <c r="AB776" s="198"/>
    </row>
    <row r="777" spans="3:28" ht="13.2">
      <c r="C777" s="286"/>
      <c r="D777" s="287"/>
      <c r="E777" s="288"/>
      <c r="K777" s="289"/>
      <c r="U777" s="198"/>
      <c r="V777" s="198"/>
      <c r="AA777" s="198"/>
      <c r="AB777" s="198"/>
    </row>
    <row r="778" spans="3:28" ht="13.2">
      <c r="C778" s="286"/>
      <c r="D778" s="287"/>
      <c r="E778" s="288"/>
      <c r="K778" s="289"/>
      <c r="U778" s="198"/>
      <c r="V778" s="198"/>
      <c r="AA778" s="198"/>
      <c r="AB778" s="198"/>
    </row>
    <row r="779" spans="3:28" ht="13.2">
      <c r="C779" s="286"/>
      <c r="D779" s="287"/>
      <c r="E779" s="288"/>
      <c r="K779" s="289"/>
      <c r="U779" s="198"/>
      <c r="V779" s="198"/>
      <c r="AA779" s="198"/>
      <c r="AB779" s="198"/>
    </row>
    <row r="780" spans="3:28" ht="13.2">
      <c r="C780" s="286"/>
      <c r="D780" s="287"/>
      <c r="E780" s="288"/>
      <c r="K780" s="289"/>
      <c r="U780" s="198"/>
      <c r="V780" s="198"/>
      <c r="AA780" s="198"/>
      <c r="AB780" s="198"/>
    </row>
    <row r="781" spans="3:28" ht="13.2">
      <c r="C781" s="286"/>
      <c r="D781" s="287"/>
      <c r="E781" s="288"/>
      <c r="K781" s="289"/>
      <c r="U781" s="198"/>
      <c r="V781" s="198"/>
      <c r="AA781" s="198"/>
      <c r="AB781" s="198"/>
    </row>
    <row r="782" spans="3:28" ht="13.2">
      <c r="C782" s="286"/>
      <c r="D782" s="287"/>
      <c r="E782" s="288"/>
      <c r="K782" s="289"/>
      <c r="U782" s="198"/>
      <c r="V782" s="198"/>
      <c r="AA782" s="198"/>
      <c r="AB782" s="198"/>
    </row>
    <row r="783" spans="3:28" ht="13.2">
      <c r="C783" s="286"/>
      <c r="D783" s="287"/>
      <c r="E783" s="288"/>
      <c r="K783" s="289"/>
      <c r="U783" s="198"/>
      <c r="V783" s="198"/>
      <c r="AA783" s="198"/>
      <c r="AB783" s="198"/>
    </row>
    <row r="784" spans="3:28" ht="13.2">
      <c r="C784" s="286"/>
      <c r="D784" s="287"/>
      <c r="E784" s="288"/>
      <c r="K784" s="289"/>
      <c r="U784" s="198"/>
      <c r="V784" s="198"/>
      <c r="AA784" s="198"/>
      <c r="AB784" s="198"/>
    </row>
    <row r="785" spans="3:28" ht="13.2">
      <c r="C785" s="286"/>
      <c r="D785" s="287"/>
      <c r="E785" s="288"/>
      <c r="K785" s="289"/>
      <c r="U785" s="198"/>
      <c r="V785" s="198"/>
      <c r="AA785" s="198"/>
      <c r="AB785" s="198"/>
    </row>
    <row r="786" spans="3:28" ht="13.2">
      <c r="C786" s="286"/>
      <c r="D786" s="287"/>
      <c r="E786" s="288"/>
      <c r="K786" s="289"/>
      <c r="U786" s="198"/>
      <c r="V786" s="198"/>
      <c r="AA786" s="198"/>
      <c r="AB786" s="198"/>
    </row>
    <row r="787" spans="3:28" ht="13.2">
      <c r="C787" s="286"/>
      <c r="D787" s="287"/>
      <c r="E787" s="288"/>
      <c r="K787" s="289"/>
      <c r="U787" s="198"/>
      <c r="V787" s="198"/>
      <c r="AA787" s="198"/>
      <c r="AB787" s="198"/>
    </row>
    <row r="788" spans="3:28" ht="13.2">
      <c r="C788" s="286"/>
      <c r="D788" s="287"/>
      <c r="E788" s="288"/>
      <c r="K788" s="289"/>
      <c r="U788" s="198"/>
      <c r="V788" s="198"/>
      <c r="AA788" s="198"/>
      <c r="AB788" s="198"/>
    </row>
    <row r="789" spans="3:28" ht="13.2">
      <c r="C789" s="286"/>
      <c r="D789" s="287"/>
      <c r="E789" s="288"/>
      <c r="K789" s="289"/>
      <c r="U789" s="198"/>
      <c r="V789" s="198"/>
      <c r="AA789" s="198"/>
      <c r="AB789" s="198"/>
    </row>
    <row r="790" spans="3:28" ht="13.2">
      <c r="C790" s="286"/>
      <c r="D790" s="287"/>
      <c r="E790" s="288"/>
      <c r="K790" s="289"/>
      <c r="U790" s="198"/>
      <c r="V790" s="198"/>
      <c r="AA790" s="198"/>
      <c r="AB790" s="198"/>
    </row>
    <row r="791" spans="3:28" ht="13.2">
      <c r="C791" s="286"/>
      <c r="D791" s="287"/>
      <c r="E791" s="288"/>
      <c r="K791" s="289"/>
      <c r="U791" s="198"/>
      <c r="V791" s="198"/>
      <c r="AA791" s="198"/>
      <c r="AB791" s="198"/>
    </row>
    <row r="792" spans="3:28" ht="13.2">
      <c r="C792" s="286"/>
      <c r="D792" s="287"/>
      <c r="E792" s="288"/>
      <c r="K792" s="289"/>
      <c r="U792" s="198"/>
      <c r="V792" s="198"/>
      <c r="AA792" s="198"/>
      <c r="AB792" s="198"/>
    </row>
    <row r="793" spans="3:28" ht="13.2">
      <c r="C793" s="286"/>
      <c r="D793" s="287"/>
      <c r="E793" s="288"/>
      <c r="K793" s="289"/>
      <c r="U793" s="198"/>
      <c r="V793" s="198"/>
      <c r="AA793" s="198"/>
      <c r="AB793" s="198"/>
    </row>
    <row r="794" spans="3:28" ht="13.2">
      <c r="C794" s="286"/>
      <c r="D794" s="287"/>
      <c r="E794" s="288"/>
      <c r="K794" s="289"/>
      <c r="U794" s="198"/>
      <c r="V794" s="198"/>
      <c r="AA794" s="198"/>
      <c r="AB794" s="198"/>
    </row>
    <row r="795" spans="3:28" ht="13.2">
      <c r="C795" s="286"/>
      <c r="D795" s="287"/>
      <c r="E795" s="288"/>
      <c r="K795" s="289"/>
      <c r="U795" s="198"/>
      <c r="V795" s="198"/>
      <c r="AA795" s="198"/>
      <c r="AB795" s="198"/>
    </row>
    <row r="796" spans="3:28" ht="13.2">
      <c r="C796" s="286"/>
      <c r="D796" s="287"/>
      <c r="E796" s="288"/>
      <c r="K796" s="289"/>
      <c r="U796" s="198"/>
      <c r="V796" s="198"/>
      <c r="AA796" s="198"/>
      <c r="AB796" s="198"/>
    </row>
    <row r="797" spans="3:28" ht="13.2">
      <c r="C797" s="286"/>
      <c r="D797" s="287"/>
      <c r="E797" s="288"/>
      <c r="K797" s="289"/>
      <c r="U797" s="198"/>
      <c r="V797" s="198"/>
      <c r="AA797" s="198"/>
      <c r="AB797" s="198"/>
    </row>
    <row r="798" spans="3:28" ht="13.2">
      <c r="C798" s="286"/>
      <c r="D798" s="287"/>
      <c r="E798" s="288"/>
      <c r="K798" s="289"/>
      <c r="U798" s="198"/>
      <c r="V798" s="198"/>
      <c r="AA798" s="198"/>
      <c r="AB798" s="198"/>
    </row>
    <row r="799" spans="3:28" ht="13.2">
      <c r="C799" s="286"/>
      <c r="D799" s="287"/>
      <c r="E799" s="288"/>
      <c r="K799" s="289"/>
      <c r="U799" s="198"/>
      <c r="V799" s="198"/>
      <c r="AA799" s="198"/>
      <c r="AB799" s="198"/>
    </row>
    <row r="800" spans="3:28" ht="13.2">
      <c r="C800" s="286"/>
      <c r="D800" s="287"/>
      <c r="E800" s="288"/>
      <c r="K800" s="289"/>
      <c r="U800" s="198"/>
      <c r="V800" s="198"/>
      <c r="AA800" s="198"/>
      <c r="AB800" s="198"/>
    </row>
    <row r="801" spans="3:28" ht="13.2">
      <c r="C801" s="286"/>
      <c r="D801" s="287"/>
      <c r="E801" s="288"/>
      <c r="K801" s="289"/>
      <c r="U801" s="198"/>
      <c r="V801" s="198"/>
      <c r="AA801" s="198"/>
      <c r="AB801" s="198"/>
    </row>
    <row r="802" spans="3:28" ht="13.2">
      <c r="C802" s="286"/>
      <c r="D802" s="287"/>
      <c r="E802" s="288"/>
      <c r="K802" s="289"/>
      <c r="U802" s="198"/>
      <c r="V802" s="198"/>
      <c r="AA802" s="198"/>
      <c r="AB802" s="198"/>
    </row>
    <row r="803" spans="3:28" ht="13.2">
      <c r="C803" s="286"/>
      <c r="D803" s="287"/>
      <c r="E803" s="288"/>
      <c r="K803" s="289"/>
      <c r="U803" s="198"/>
      <c r="V803" s="198"/>
      <c r="AA803" s="198"/>
      <c r="AB803" s="198"/>
    </row>
    <row r="804" spans="3:28" ht="13.2">
      <c r="C804" s="286"/>
      <c r="D804" s="287"/>
      <c r="E804" s="288"/>
      <c r="K804" s="289"/>
      <c r="U804" s="198"/>
      <c r="V804" s="198"/>
      <c r="AA804" s="198"/>
      <c r="AB804" s="198"/>
    </row>
    <row r="805" spans="3:28" ht="13.2">
      <c r="C805" s="286"/>
      <c r="D805" s="287"/>
      <c r="E805" s="288"/>
      <c r="K805" s="289"/>
      <c r="U805" s="198"/>
      <c r="V805" s="198"/>
      <c r="AA805" s="198"/>
      <c r="AB805" s="198"/>
    </row>
    <row r="806" spans="3:28" ht="13.2">
      <c r="C806" s="286"/>
      <c r="D806" s="287"/>
      <c r="E806" s="288"/>
      <c r="K806" s="289"/>
      <c r="U806" s="198"/>
      <c r="V806" s="198"/>
      <c r="AA806" s="198"/>
      <c r="AB806" s="198"/>
    </row>
    <row r="807" spans="3:28" ht="13.2">
      <c r="C807" s="286"/>
      <c r="D807" s="287"/>
      <c r="E807" s="288"/>
      <c r="K807" s="289"/>
      <c r="U807" s="198"/>
      <c r="V807" s="198"/>
      <c r="AA807" s="198"/>
      <c r="AB807" s="198"/>
    </row>
    <row r="808" spans="3:28" ht="13.2">
      <c r="C808" s="286"/>
      <c r="D808" s="287"/>
      <c r="E808" s="288"/>
      <c r="K808" s="289"/>
      <c r="U808" s="198"/>
      <c r="V808" s="198"/>
      <c r="AA808" s="198"/>
      <c r="AB808" s="198"/>
    </row>
    <row r="809" spans="3:28" ht="13.2">
      <c r="C809" s="286"/>
      <c r="D809" s="287"/>
      <c r="E809" s="288"/>
      <c r="K809" s="289"/>
      <c r="U809" s="198"/>
      <c r="V809" s="198"/>
      <c r="AA809" s="198"/>
      <c r="AB809" s="198"/>
    </row>
    <row r="810" spans="3:28" ht="13.2">
      <c r="C810" s="286"/>
      <c r="D810" s="287"/>
      <c r="E810" s="288"/>
      <c r="K810" s="289"/>
      <c r="U810" s="198"/>
      <c r="V810" s="198"/>
      <c r="AA810" s="198"/>
      <c r="AB810" s="198"/>
    </row>
    <row r="811" spans="3:28" ht="13.2">
      <c r="C811" s="286"/>
      <c r="D811" s="287"/>
      <c r="E811" s="288"/>
      <c r="K811" s="289"/>
      <c r="U811" s="198"/>
      <c r="V811" s="198"/>
      <c r="AA811" s="198"/>
      <c r="AB811" s="198"/>
    </row>
    <row r="812" spans="3:28" ht="13.2">
      <c r="C812" s="286"/>
      <c r="D812" s="287"/>
      <c r="E812" s="288"/>
      <c r="K812" s="289"/>
      <c r="U812" s="198"/>
      <c r="V812" s="198"/>
      <c r="AA812" s="198"/>
      <c r="AB812" s="198"/>
    </row>
    <row r="813" spans="3:28" ht="13.2">
      <c r="C813" s="286"/>
      <c r="D813" s="287"/>
      <c r="E813" s="288"/>
      <c r="K813" s="289"/>
      <c r="U813" s="198"/>
      <c r="V813" s="198"/>
      <c r="AA813" s="198"/>
      <c r="AB813" s="198"/>
    </row>
    <row r="814" spans="3:28" ht="13.2">
      <c r="C814" s="286"/>
      <c r="D814" s="287"/>
      <c r="E814" s="288"/>
      <c r="K814" s="289"/>
      <c r="U814" s="198"/>
      <c r="V814" s="198"/>
      <c r="AA814" s="198"/>
      <c r="AB814" s="198"/>
    </row>
    <row r="815" spans="3:28" ht="13.2">
      <c r="C815" s="286"/>
      <c r="D815" s="287"/>
      <c r="E815" s="288"/>
      <c r="K815" s="289"/>
      <c r="U815" s="198"/>
      <c r="V815" s="198"/>
      <c r="AA815" s="198"/>
      <c r="AB815" s="198"/>
    </row>
    <row r="816" spans="3:28" ht="13.2">
      <c r="C816" s="286"/>
      <c r="D816" s="287"/>
      <c r="E816" s="288"/>
      <c r="K816" s="289"/>
      <c r="U816" s="198"/>
      <c r="V816" s="198"/>
      <c r="AA816" s="198"/>
      <c r="AB816" s="198"/>
    </row>
    <row r="817" spans="3:28" ht="13.2">
      <c r="C817" s="286"/>
      <c r="D817" s="287"/>
      <c r="E817" s="288"/>
      <c r="K817" s="289"/>
      <c r="U817" s="198"/>
      <c r="V817" s="198"/>
      <c r="AA817" s="198"/>
      <c r="AB817" s="198"/>
    </row>
    <row r="818" spans="3:28" ht="13.2">
      <c r="C818" s="286"/>
      <c r="D818" s="287"/>
      <c r="E818" s="288"/>
      <c r="K818" s="289"/>
      <c r="U818" s="198"/>
      <c r="V818" s="198"/>
      <c r="AA818" s="198"/>
      <c r="AB818" s="198"/>
    </row>
    <row r="819" spans="3:28" ht="13.2">
      <c r="C819" s="286"/>
      <c r="D819" s="287"/>
      <c r="E819" s="288"/>
      <c r="K819" s="289"/>
      <c r="U819" s="198"/>
      <c r="V819" s="198"/>
      <c r="AA819" s="198"/>
      <c r="AB819" s="198"/>
    </row>
    <row r="820" spans="3:28" ht="13.2">
      <c r="C820" s="286"/>
      <c r="D820" s="287"/>
      <c r="E820" s="288"/>
      <c r="K820" s="289"/>
      <c r="U820" s="198"/>
      <c r="V820" s="198"/>
      <c r="AA820" s="198"/>
      <c r="AB820" s="198"/>
    </row>
    <row r="821" spans="3:28" ht="13.2">
      <c r="C821" s="286"/>
      <c r="D821" s="287"/>
      <c r="E821" s="288"/>
      <c r="K821" s="289"/>
      <c r="U821" s="198"/>
      <c r="V821" s="198"/>
      <c r="AA821" s="198"/>
      <c r="AB821" s="198"/>
    </row>
    <row r="822" spans="3:28" ht="13.2">
      <c r="C822" s="286"/>
      <c r="D822" s="287"/>
      <c r="E822" s="288"/>
      <c r="K822" s="289"/>
      <c r="U822" s="198"/>
      <c r="V822" s="198"/>
      <c r="AA822" s="198"/>
      <c r="AB822" s="198"/>
    </row>
    <row r="823" spans="3:28" ht="13.2">
      <c r="C823" s="286"/>
      <c r="D823" s="287"/>
      <c r="E823" s="288"/>
      <c r="K823" s="289"/>
      <c r="U823" s="198"/>
      <c r="V823" s="198"/>
      <c r="AA823" s="198"/>
      <c r="AB823" s="198"/>
    </row>
    <row r="824" spans="3:28" ht="13.2">
      <c r="C824" s="286"/>
      <c r="D824" s="287"/>
      <c r="E824" s="288"/>
      <c r="K824" s="289"/>
      <c r="U824" s="198"/>
      <c r="V824" s="198"/>
      <c r="AA824" s="198"/>
      <c r="AB824" s="198"/>
    </row>
    <row r="825" spans="3:28" ht="13.2">
      <c r="C825" s="286"/>
      <c r="D825" s="287"/>
      <c r="E825" s="288"/>
      <c r="K825" s="289"/>
      <c r="U825" s="198"/>
      <c r="V825" s="198"/>
      <c r="AA825" s="198"/>
      <c r="AB825" s="198"/>
    </row>
    <row r="826" spans="3:28" ht="13.2">
      <c r="C826" s="286"/>
      <c r="D826" s="287"/>
      <c r="E826" s="288"/>
      <c r="K826" s="289"/>
      <c r="U826" s="198"/>
      <c r="V826" s="198"/>
      <c r="AA826" s="198"/>
      <c r="AB826" s="198"/>
    </row>
    <row r="827" spans="3:28" ht="13.2">
      <c r="C827" s="286"/>
      <c r="D827" s="287"/>
      <c r="E827" s="288"/>
      <c r="K827" s="289"/>
      <c r="U827" s="198"/>
      <c r="V827" s="198"/>
      <c r="AA827" s="198"/>
      <c r="AB827" s="198"/>
    </row>
    <row r="828" spans="3:28" ht="13.2">
      <c r="C828" s="286"/>
      <c r="D828" s="287"/>
      <c r="E828" s="288"/>
      <c r="K828" s="289"/>
      <c r="U828" s="198"/>
      <c r="V828" s="198"/>
      <c r="AA828" s="198"/>
      <c r="AB828" s="198"/>
    </row>
    <row r="829" spans="3:28" ht="13.2">
      <c r="C829" s="286"/>
      <c r="D829" s="287"/>
      <c r="E829" s="288"/>
      <c r="K829" s="289"/>
      <c r="U829" s="198"/>
      <c r="V829" s="198"/>
      <c r="AA829" s="198"/>
      <c r="AB829" s="198"/>
    </row>
    <row r="830" spans="3:28" ht="13.2">
      <c r="C830" s="286"/>
      <c r="D830" s="287"/>
      <c r="E830" s="288"/>
      <c r="K830" s="289"/>
      <c r="U830" s="198"/>
      <c r="V830" s="198"/>
      <c r="AA830" s="198"/>
      <c r="AB830" s="198"/>
    </row>
    <row r="831" spans="3:28" ht="13.2">
      <c r="C831" s="286"/>
      <c r="D831" s="287"/>
      <c r="E831" s="288"/>
      <c r="K831" s="289"/>
      <c r="U831" s="198"/>
      <c r="V831" s="198"/>
      <c r="AA831" s="198"/>
      <c r="AB831" s="198"/>
    </row>
    <row r="832" spans="3:28" ht="13.2">
      <c r="C832" s="286"/>
      <c r="D832" s="287"/>
      <c r="E832" s="288"/>
      <c r="K832" s="289"/>
      <c r="U832" s="198"/>
      <c r="V832" s="198"/>
      <c r="AA832" s="198"/>
      <c r="AB832" s="198"/>
    </row>
    <row r="833" spans="3:28" ht="13.2">
      <c r="C833" s="286"/>
      <c r="D833" s="287"/>
      <c r="E833" s="288"/>
      <c r="K833" s="289"/>
      <c r="U833" s="198"/>
      <c r="V833" s="198"/>
      <c r="AA833" s="198"/>
      <c r="AB833" s="198"/>
    </row>
    <row r="834" spans="3:28" ht="13.2">
      <c r="C834" s="286"/>
      <c r="D834" s="287"/>
      <c r="E834" s="288"/>
      <c r="K834" s="289"/>
      <c r="U834" s="198"/>
      <c r="V834" s="198"/>
      <c r="AA834" s="198"/>
      <c r="AB834" s="198"/>
    </row>
    <row r="835" spans="3:28" ht="13.2">
      <c r="C835" s="286"/>
      <c r="D835" s="287"/>
      <c r="E835" s="288"/>
      <c r="K835" s="289"/>
      <c r="U835" s="198"/>
      <c r="V835" s="198"/>
      <c r="AA835" s="198"/>
      <c r="AB835" s="198"/>
    </row>
    <row r="836" spans="3:28" ht="13.2">
      <c r="C836" s="286"/>
      <c r="D836" s="287"/>
      <c r="E836" s="288"/>
      <c r="K836" s="289"/>
      <c r="U836" s="198"/>
      <c r="V836" s="198"/>
      <c r="AA836" s="198"/>
      <c r="AB836" s="198"/>
    </row>
    <row r="837" spans="3:28" ht="13.2">
      <c r="C837" s="286"/>
      <c r="D837" s="287"/>
      <c r="E837" s="288"/>
      <c r="K837" s="289"/>
      <c r="U837" s="198"/>
      <c r="V837" s="198"/>
      <c r="AA837" s="198"/>
      <c r="AB837" s="198"/>
    </row>
    <row r="838" spans="3:28" ht="13.2">
      <c r="C838" s="286"/>
      <c r="D838" s="287"/>
      <c r="E838" s="288"/>
      <c r="K838" s="289"/>
      <c r="U838" s="198"/>
      <c r="V838" s="198"/>
      <c r="AA838" s="198"/>
      <c r="AB838" s="198"/>
    </row>
    <row r="839" spans="3:28" ht="13.2">
      <c r="C839" s="286"/>
      <c r="D839" s="287"/>
      <c r="E839" s="288"/>
      <c r="K839" s="289"/>
      <c r="U839" s="198"/>
      <c r="V839" s="198"/>
      <c r="AA839" s="198"/>
      <c r="AB839" s="198"/>
    </row>
    <row r="840" spans="3:28" ht="13.2">
      <c r="C840" s="286"/>
      <c r="D840" s="287"/>
      <c r="E840" s="288"/>
      <c r="K840" s="289"/>
      <c r="U840" s="198"/>
      <c r="V840" s="198"/>
      <c r="AA840" s="198"/>
      <c r="AB840" s="198"/>
    </row>
    <row r="841" spans="3:28" ht="13.2">
      <c r="C841" s="286"/>
      <c r="D841" s="287"/>
      <c r="E841" s="288"/>
      <c r="K841" s="289"/>
      <c r="U841" s="198"/>
      <c r="V841" s="198"/>
      <c r="AA841" s="198"/>
      <c r="AB841" s="198"/>
    </row>
    <row r="842" spans="3:28" ht="13.2">
      <c r="C842" s="286"/>
      <c r="D842" s="287"/>
      <c r="E842" s="288"/>
      <c r="K842" s="289"/>
      <c r="U842" s="198"/>
      <c r="V842" s="198"/>
      <c r="AA842" s="198"/>
      <c r="AB842" s="198"/>
    </row>
    <row r="843" spans="3:28" ht="13.2">
      <c r="C843" s="286"/>
      <c r="D843" s="287"/>
      <c r="E843" s="288"/>
      <c r="K843" s="289"/>
      <c r="U843" s="198"/>
      <c r="V843" s="198"/>
      <c r="AA843" s="198"/>
      <c r="AB843" s="198"/>
    </row>
    <row r="844" spans="3:28" ht="13.2">
      <c r="C844" s="286"/>
      <c r="D844" s="287"/>
      <c r="E844" s="288"/>
      <c r="K844" s="289"/>
      <c r="U844" s="198"/>
      <c r="V844" s="198"/>
      <c r="AA844" s="198"/>
      <c r="AB844" s="198"/>
    </row>
    <row r="845" spans="3:28" ht="13.2">
      <c r="C845" s="286"/>
      <c r="D845" s="287"/>
      <c r="E845" s="288"/>
      <c r="K845" s="289"/>
      <c r="U845" s="198"/>
      <c r="V845" s="198"/>
      <c r="AA845" s="198"/>
      <c r="AB845" s="198"/>
    </row>
    <row r="846" spans="3:28" ht="13.2">
      <c r="C846" s="286"/>
      <c r="D846" s="287"/>
      <c r="E846" s="288"/>
      <c r="K846" s="289"/>
      <c r="U846" s="198"/>
      <c r="V846" s="198"/>
      <c r="AA846" s="198"/>
      <c r="AB846" s="198"/>
    </row>
    <row r="847" spans="3:28" ht="13.2">
      <c r="C847" s="286"/>
      <c r="D847" s="287"/>
      <c r="E847" s="288"/>
      <c r="K847" s="289"/>
      <c r="U847" s="198"/>
      <c r="V847" s="198"/>
      <c r="AA847" s="198"/>
      <c r="AB847" s="198"/>
    </row>
    <row r="848" spans="3:28" ht="13.2">
      <c r="C848" s="286"/>
      <c r="D848" s="287"/>
      <c r="E848" s="288"/>
      <c r="K848" s="289"/>
      <c r="U848" s="198"/>
      <c r="V848" s="198"/>
      <c r="AA848" s="198"/>
      <c r="AB848" s="198"/>
    </row>
    <row r="849" spans="3:28" ht="13.2">
      <c r="C849" s="286"/>
      <c r="D849" s="287"/>
      <c r="E849" s="288"/>
      <c r="K849" s="289"/>
      <c r="U849" s="198"/>
      <c r="V849" s="198"/>
      <c r="AA849" s="198"/>
      <c r="AB849" s="198"/>
    </row>
    <row r="850" spans="3:28" ht="13.2">
      <c r="C850" s="286"/>
      <c r="D850" s="287"/>
      <c r="E850" s="288"/>
      <c r="K850" s="289"/>
      <c r="U850" s="198"/>
      <c r="V850" s="198"/>
      <c r="AA850" s="198"/>
      <c r="AB850" s="198"/>
    </row>
    <row r="851" spans="3:28" ht="13.2">
      <c r="C851" s="286"/>
      <c r="D851" s="287"/>
      <c r="E851" s="288"/>
      <c r="K851" s="289"/>
      <c r="U851" s="198"/>
      <c r="V851" s="198"/>
      <c r="AA851" s="198"/>
      <c r="AB851" s="198"/>
    </row>
    <row r="852" spans="3:28" ht="13.2">
      <c r="C852" s="286"/>
      <c r="D852" s="287"/>
      <c r="E852" s="288"/>
      <c r="K852" s="289"/>
      <c r="U852" s="198"/>
      <c r="V852" s="198"/>
      <c r="AA852" s="198"/>
      <c r="AB852" s="198"/>
    </row>
    <row r="853" spans="3:28" ht="13.2">
      <c r="C853" s="286"/>
      <c r="D853" s="287"/>
      <c r="E853" s="288"/>
      <c r="K853" s="289"/>
      <c r="U853" s="198"/>
      <c r="V853" s="198"/>
      <c r="AA853" s="198"/>
      <c r="AB853" s="198"/>
    </row>
    <row r="854" spans="3:28" ht="13.2">
      <c r="C854" s="286"/>
      <c r="D854" s="287"/>
      <c r="E854" s="288"/>
      <c r="K854" s="289"/>
      <c r="U854" s="198"/>
      <c r="V854" s="198"/>
      <c r="AA854" s="198"/>
      <c r="AB854" s="198"/>
    </row>
    <row r="855" spans="3:28" ht="13.2">
      <c r="C855" s="286"/>
      <c r="D855" s="287"/>
      <c r="E855" s="288"/>
      <c r="K855" s="289"/>
      <c r="U855" s="198"/>
      <c r="V855" s="198"/>
      <c r="AA855" s="198"/>
      <c r="AB855" s="198"/>
    </row>
    <row r="856" spans="3:28" ht="13.2">
      <c r="C856" s="286"/>
      <c r="D856" s="287"/>
      <c r="E856" s="288"/>
      <c r="K856" s="289"/>
      <c r="U856" s="198"/>
      <c r="V856" s="198"/>
      <c r="AA856" s="198"/>
      <c r="AB856" s="198"/>
    </row>
    <row r="857" spans="3:28" ht="13.2">
      <c r="C857" s="286"/>
      <c r="D857" s="287"/>
      <c r="E857" s="288"/>
      <c r="K857" s="289"/>
      <c r="U857" s="198"/>
      <c r="V857" s="198"/>
      <c r="AA857" s="198"/>
      <c r="AB857" s="198"/>
    </row>
    <row r="858" spans="3:28" ht="13.2">
      <c r="C858" s="286"/>
      <c r="D858" s="287"/>
      <c r="E858" s="288"/>
      <c r="K858" s="289"/>
      <c r="U858" s="198"/>
      <c r="V858" s="198"/>
      <c r="AA858" s="198"/>
      <c r="AB858" s="198"/>
    </row>
    <row r="859" spans="3:28" ht="13.2">
      <c r="C859" s="286"/>
      <c r="D859" s="287"/>
      <c r="E859" s="288"/>
      <c r="K859" s="289"/>
      <c r="U859" s="198"/>
      <c r="V859" s="198"/>
      <c r="AA859" s="198"/>
      <c r="AB859" s="198"/>
    </row>
    <row r="860" spans="3:28" ht="13.2">
      <c r="C860" s="286"/>
      <c r="D860" s="287"/>
      <c r="E860" s="288"/>
      <c r="K860" s="289"/>
      <c r="U860" s="198"/>
      <c r="V860" s="198"/>
      <c r="AA860" s="198"/>
      <c r="AB860" s="198"/>
    </row>
    <row r="861" spans="3:28" ht="13.2">
      <c r="C861" s="286"/>
      <c r="D861" s="287"/>
      <c r="E861" s="288"/>
      <c r="K861" s="289"/>
      <c r="U861" s="198"/>
      <c r="V861" s="198"/>
      <c r="AA861" s="198"/>
      <c r="AB861" s="198"/>
    </row>
    <row r="862" spans="3:28" ht="13.2">
      <c r="C862" s="286"/>
      <c r="D862" s="287"/>
      <c r="E862" s="288"/>
      <c r="K862" s="289"/>
      <c r="U862" s="198"/>
      <c r="V862" s="198"/>
      <c r="AA862" s="198"/>
      <c r="AB862" s="198"/>
    </row>
    <row r="863" spans="3:28" ht="13.2">
      <c r="C863" s="286"/>
      <c r="D863" s="287"/>
      <c r="E863" s="288"/>
      <c r="K863" s="289"/>
      <c r="U863" s="198"/>
      <c r="V863" s="198"/>
      <c r="AA863" s="198"/>
      <c r="AB863" s="198"/>
    </row>
    <row r="864" spans="3:28" ht="13.2">
      <c r="C864" s="286"/>
      <c r="D864" s="287"/>
      <c r="E864" s="288"/>
      <c r="K864" s="289"/>
      <c r="U864" s="198"/>
      <c r="V864" s="198"/>
      <c r="AA864" s="198"/>
      <c r="AB864" s="198"/>
    </row>
    <row r="865" spans="3:28" ht="13.2">
      <c r="C865" s="286"/>
      <c r="D865" s="287"/>
      <c r="E865" s="288"/>
      <c r="K865" s="289"/>
      <c r="U865" s="198"/>
      <c r="V865" s="198"/>
      <c r="AA865" s="198"/>
      <c r="AB865" s="198"/>
    </row>
    <row r="866" spans="3:28" ht="13.2">
      <c r="C866" s="286"/>
      <c r="D866" s="287"/>
      <c r="E866" s="288"/>
      <c r="K866" s="289"/>
      <c r="U866" s="198"/>
      <c r="V866" s="198"/>
      <c r="AA866" s="198"/>
      <c r="AB866" s="198"/>
    </row>
    <row r="867" spans="3:28" ht="13.2">
      <c r="C867" s="286"/>
      <c r="D867" s="287"/>
      <c r="E867" s="288"/>
      <c r="K867" s="289"/>
      <c r="U867" s="198"/>
      <c r="V867" s="198"/>
      <c r="AA867" s="198"/>
      <c r="AB867" s="198"/>
    </row>
    <row r="868" spans="3:28" ht="13.2">
      <c r="C868" s="286"/>
      <c r="D868" s="287"/>
      <c r="E868" s="288"/>
      <c r="K868" s="289"/>
      <c r="U868" s="198"/>
      <c r="V868" s="198"/>
      <c r="AA868" s="198"/>
      <c r="AB868" s="198"/>
    </row>
    <row r="869" spans="3:28" ht="13.2">
      <c r="C869" s="286"/>
      <c r="D869" s="287"/>
      <c r="E869" s="288"/>
      <c r="K869" s="289"/>
      <c r="U869" s="198"/>
      <c r="V869" s="198"/>
      <c r="AA869" s="198"/>
      <c r="AB869" s="198"/>
    </row>
    <row r="870" spans="3:28" ht="13.2">
      <c r="C870" s="286"/>
      <c r="D870" s="287"/>
      <c r="E870" s="288"/>
      <c r="K870" s="289"/>
      <c r="U870" s="198"/>
      <c r="V870" s="198"/>
      <c r="AA870" s="198"/>
      <c r="AB870" s="198"/>
    </row>
    <row r="871" spans="3:28" ht="13.2">
      <c r="C871" s="286"/>
      <c r="D871" s="287"/>
      <c r="E871" s="288"/>
      <c r="K871" s="289"/>
      <c r="U871" s="198"/>
      <c r="V871" s="198"/>
      <c r="AA871" s="198"/>
      <c r="AB871" s="198"/>
    </row>
    <row r="872" spans="3:28" ht="13.2">
      <c r="C872" s="286"/>
      <c r="D872" s="287"/>
      <c r="E872" s="288"/>
      <c r="K872" s="289"/>
      <c r="U872" s="198"/>
      <c r="V872" s="198"/>
      <c r="AA872" s="198"/>
      <c r="AB872" s="198"/>
    </row>
    <row r="873" spans="3:28" ht="13.2">
      <c r="C873" s="286"/>
      <c r="D873" s="287"/>
      <c r="E873" s="288"/>
      <c r="K873" s="289"/>
      <c r="U873" s="198"/>
      <c r="V873" s="198"/>
      <c r="AA873" s="198"/>
      <c r="AB873" s="198"/>
    </row>
    <row r="874" spans="3:28" ht="13.2">
      <c r="C874" s="286"/>
      <c r="D874" s="287"/>
      <c r="E874" s="288"/>
      <c r="K874" s="289"/>
      <c r="U874" s="198"/>
      <c r="V874" s="198"/>
      <c r="AA874" s="198"/>
      <c r="AB874" s="198"/>
    </row>
    <row r="875" spans="3:28" ht="13.2">
      <c r="C875" s="286"/>
      <c r="D875" s="287"/>
      <c r="E875" s="288"/>
      <c r="K875" s="289"/>
      <c r="U875" s="198"/>
      <c r="V875" s="198"/>
      <c r="AA875" s="198"/>
      <c r="AB875" s="198"/>
    </row>
    <row r="876" spans="3:28" ht="13.2">
      <c r="C876" s="286"/>
      <c r="D876" s="287"/>
      <c r="E876" s="288"/>
      <c r="K876" s="289"/>
      <c r="U876" s="198"/>
      <c r="V876" s="198"/>
      <c r="AA876" s="198"/>
      <c r="AB876" s="198"/>
    </row>
    <row r="877" spans="3:28" ht="13.2">
      <c r="C877" s="286"/>
      <c r="D877" s="287"/>
      <c r="E877" s="288"/>
      <c r="K877" s="289"/>
      <c r="U877" s="198"/>
      <c r="V877" s="198"/>
      <c r="AA877" s="198"/>
      <c r="AB877" s="198"/>
    </row>
    <row r="878" spans="3:28" ht="13.2">
      <c r="C878" s="286"/>
      <c r="D878" s="287"/>
      <c r="E878" s="288"/>
      <c r="K878" s="289"/>
      <c r="U878" s="198"/>
      <c r="V878" s="198"/>
      <c r="AA878" s="198"/>
      <c r="AB878" s="198"/>
    </row>
    <row r="879" spans="3:28" ht="13.2">
      <c r="C879" s="286"/>
      <c r="D879" s="287"/>
      <c r="E879" s="288"/>
      <c r="K879" s="289"/>
      <c r="U879" s="198"/>
      <c r="V879" s="198"/>
      <c r="AA879" s="198"/>
      <c r="AB879" s="198"/>
    </row>
    <row r="880" spans="3:28" ht="13.2">
      <c r="C880" s="286"/>
      <c r="D880" s="287"/>
      <c r="E880" s="288"/>
      <c r="K880" s="289"/>
      <c r="U880" s="198"/>
      <c r="V880" s="198"/>
      <c r="AA880" s="198"/>
      <c r="AB880" s="198"/>
    </row>
    <row r="881" spans="3:28" ht="13.2">
      <c r="C881" s="286"/>
      <c r="D881" s="287"/>
      <c r="E881" s="288"/>
      <c r="K881" s="289"/>
      <c r="U881" s="198"/>
      <c r="V881" s="198"/>
      <c r="AA881" s="198"/>
      <c r="AB881" s="198"/>
    </row>
    <row r="882" spans="3:28" ht="13.2">
      <c r="C882" s="286"/>
      <c r="D882" s="287"/>
      <c r="E882" s="288"/>
      <c r="K882" s="289"/>
      <c r="U882" s="198"/>
      <c r="V882" s="198"/>
      <c r="AA882" s="198"/>
      <c r="AB882" s="198"/>
    </row>
    <row r="883" spans="3:28" ht="13.2">
      <c r="C883" s="286"/>
      <c r="D883" s="287"/>
      <c r="E883" s="288"/>
      <c r="K883" s="289"/>
      <c r="U883" s="198"/>
      <c r="V883" s="198"/>
      <c r="AA883" s="198"/>
      <c r="AB883" s="198"/>
    </row>
    <row r="884" spans="3:28" ht="13.2">
      <c r="C884" s="286"/>
      <c r="D884" s="287"/>
      <c r="E884" s="288"/>
      <c r="K884" s="289"/>
      <c r="U884" s="198"/>
      <c r="V884" s="198"/>
      <c r="AA884" s="198"/>
      <c r="AB884" s="198"/>
    </row>
    <row r="885" spans="3:28" ht="13.2">
      <c r="C885" s="286"/>
      <c r="D885" s="287"/>
      <c r="E885" s="288"/>
      <c r="K885" s="289"/>
      <c r="U885" s="198"/>
      <c r="V885" s="198"/>
      <c r="AA885" s="198"/>
      <c r="AB885" s="198"/>
    </row>
    <row r="886" spans="3:28" ht="13.2">
      <c r="C886" s="286"/>
      <c r="D886" s="287"/>
      <c r="E886" s="288"/>
      <c r="K886" s="289"/>
      <c r="U886" s="198"/>
      <c r="V886" s="198"/>
      <c r="AA886" s="198"/>
      <c r="AB886" s="198"/>
    </row>
    <row r="887" spans="3:28" ht="13.2">
      <c r="C887" s="286"/>
      <c r="D887" s="287"/>
      <c r="E887" s="288"/>
      <c r="K887" s="289"/>
      <c r="U887" s="198"/>
      <c r="V887" s="198"/>
      <c r="AA887" s="198"/>
      <c r="AB887" s="198"/>
    </row>
    <row r="888" spans="3:28" ht="13.2">
      <c r="C888" s="286"/>
      <c r="D888" s="287"/>
      <c r="E888" s="288"/>
      <c r="K888" s="289"/>
      <c r="U888" s="198"/>
      <c r="V888" s="198"/>
      <c r="AA888" s="198"/>
      <c r="AB888" s="198"/>
    </row>
    <row r="889" spans="3:28" ht="13.2">
      <c r="C889" s="286"/>
      <c r="D889" s="287"/>
      <c r="E889" s="288"/>
      <c r="K889" s="289"/>
      <c r="U889" s="198"/>
      <c r="V889" s="198"/>
      <c r="AA889" s="198"/>
      <c r="AB889" s="198"/>
    </row>
    <row r="890" spans="3:28" ht="13.2">
      <c r="C890" s="286"/>
      <c r="D890" s="287"/>
      <c r="E890" s="288"/>
      <c r="K890" s="289"/>
      <c r="U890" s="198"/>
      <c r="V890" s="198"/>
      <c r="AA890" s="198"/>
      <c r="AB890" s="198"/>
    </row>
    <row r="891" spans="3:28" ht="13.2">
      <c r="C891" s="286"/>
      <c r="D891" s="287"/>
      <c r="E891" s="288"/>
      <c r="K891" s="289"/>
      <c r="U891" s="198"/>
      <c r="V891" s="198"/>
      <c r="AA891" s="198"/>
      <c r="AB891" s="198"/>
    </row>
    <row r="892" spans="3:28" ht="13.2">
      <c r="C892" s="286"/>
      <c r="D892" s="287"/>
      <c r="E892" s="288"/>
      <c r="K892" s="289"/>
      <c r="U892" s="198"/>
      <c r="V892" s="198"/>
      <c r="AA892" s="198"/>
      <c r="AB892" s="198"/>
    </row>
    <row r="893" spans="3:28" ht="13.2">
      <c r="C893" s="286"/>
      <c r="D893" s="287"/>
      <c r="E893" s="288"/>
      <c r="K893" s="289"/>
      <c r="U893" s="198"/>
      <c r="V893" s="198"/>
      <c r="AA893" s="198"/>
      <c r="AB893" s="198"/>
    </row>
    <row r="894" spans="3:28" ht="13.2">
      <c r="C894" s="286"/>
      <c r="D894" s="287"/>
      <c r="E894" s="288"/>
      <c r="K894" s="289"/>
      <c r="U894" s="198"/>
      <c r="V894" s="198"/>
      <c r="AA894" s="198"/>
      <c r="AB894" s="198"/>
    </row>
    <row r="895" spans="3:28" ht="13.2">
      <c r="C895" s="286"/>
      <c r="D895" s="287"/>
      <c r="E895" s="288"/>
      <c r="K895" s="289"/>
      <c r="U895" s="198"/>
      <c r="V895" s="198"/>
      <c r="AA895" s="198"/>
      <c r="AB895" s="198"/>
    </row>
    <row r="896" spans="3:28" ht="13.2">
      <c r="C896" s="286"/>
      <c r="D896" s="287"/>
      <c r="E896" s="288"/>
      <c r="K896" s="289"/>
      <c r="U896" s="198"/>
      <c r="V896" s="198"/>
      <c r="AA896" s="198"/>
      <c r="AB896" s="198"/>
    </row>
    <row r="897" spans="3:28" ht="13.2">
      <c r="C897" s="286"/>
      <c r="D897" s="287"/>
      <c r="E897" s="288"/>
      <c r="K897" s="289"/>
      <c r="U897" s="198"/>
      <c r="V897" s="198"/>
      <c r="AA897" s="198"/>
      <c r="AB897" s="198"/>
    </row>
    <row r="898" spans="3:28" ht="13.2">
      <c r="C898" s="286"/>
      <c r="D898" s="287"/>
      <c r="E898" s="288"/>
      <c r="K898" s="289"/>
      <c r="U898" s="198"/>
      <c r="V898" s="198"/>
      <c r="AA898" s="198"/>
      <c r="AB898" s="198"/>
    </row>
    <row r="899" spans="3:28" ht="13.2">
      <c r="C899" s="286"/>
      <c r="D899" s="287"/>
      <c r="E899" s="288"/>
      <c r="K899" s="289"/>
      <c r="U899" s="198"/>
      <c r="V899" s="198"/>
      <c r="AA899" s="198"/>
      <c r="AB899" s="198"/>
    </row>
    <row r="900" spans="3:28" ht="13.2">
      <c r="C900" s="286"/>
      <c r="D900" s="287"/>
      <c r="E900" s="288"/>
      <c r="K900" s="289"/>
      <c r="U900" s="198"/>
      <c r="V900" s="198"/>
      <c r="AA900" s="198"/>
      <c r="AB900" s="198"/>
    </row>
    <row r="901" spans="3:28" ht="13.2">
      <c r="C901" s="286"/>
      <c r="D901" s="287"/>
      <c r="E901" s="288"/>
      <c r="K901" s="289"/>
      <c r="U901" s="198"/>
      <c r="V901" s="198"/>
      <c r="AA901" s="198"/>
      <c r="AB901" s="198"/>
    </row>
    <row r="902" spans="3:28" ht="13.2">
      <c r="C902" s="286"/>
      <c r="D902" s="287"/>
      <c r="E902" s="288"/>
      <c r="K902" s="289"/>
      <c r="U902" s="198"/>
      <c r="V902" s="198"/>
      <c r="AA902" s="198"/>
      <c r="AB902" s="198"/>
    </row>
    <row r="903" spans="3:28" ht="13.2">
      <c r="C903" s="286"/>
      <c r="D903" s="287"/>
      <c r="E903" s="288"/>
      <c r="K903" s="289"/>
      <c r="U903" s="198"/>
      <c r="V903" s="198"/>
      <c r="AA903" s="198"/>
      <c r="AB903" s="198"/>
    </row>
    <row r="904" spans="3:28" ht="13.2">
      <c r="C904" s="286"/>
      <c r="D904" s="287"/>
      <c r="E904" s="288"/>
      <c r="K904" s="289"/>
      <c r="U904" s="198"/>
      <c r="V904" s="198"/>
      <c r="AA904" s="198"/>
      <c r="AB904" s="198"/>
    </row>
    <row r="905" spans="3:28" ht="13.2">
      <c r="C905" s="286"/>
      <c r="D905" s="287"/>
      <c r="E905" s="288"/>
      <c r="K905" s="289"/>
      <c r="U905" s="198"/>
      <c r="V905" s="198"/>
      <c r="AA905" s="198"/>
      <c r="AB905" s="198"/>
    </row>
    <row r="906" spans="3:28" ht="13.2">
      <c r="C906" s="286"/>
      <c r="D906" s="287"/>
      <c r="E906" s="288"/>
      <c r="K906" s="289"/>
      <c r="U906" s="198"/>
      <c r="V906" s="198"/>
      <c r="AA906" s="198"/>
      <c r="AB906" s="198"/>
    </row>
    <row r="907" spans="3:28" ht="13.2">
      <c r="C907" s="286"/>
      <c r="D907" s="287"/>
      <c r="E907" s="288"/>
      <c r="K907" s="289"/>
      <c r="U907" s="198"/>
      <c r="V907" s="198"/>
      <c r="AA907" s="198"/>
      <c r="AB907" s="198"/>
    </row>
    <row r="908" spans="3:28" ht="13.2">
      <c r="C908" s="286"/>
      <c r="D908" s="287"/>
      <c r="E908" s="288"/>
      <c r="K908" s="289"/>
      <c r="U908" s="198"/>
      <c r="V908" s="198"/>
      <c r="AA908" s="198"/>
      <c r="AB908" s="198"/>
    </row>
    <row r="909" spans="3:28" ht="13.2">
      <c r="C909" s="286"/>
      <c r="D909" s="287"/>
      <c r="E909" s="288"/>
      <c r="K909" s="289"/>
      <c r="U909" s="198"/>
      <c r="V909" s="198"/>
      <c r="AA909" s="198"/>
      <c r="AB909" s="198"/>
    </row>
    <row r="910" spans="3:28" ht="13.2">
      <c r="C910" s="286"/>
      <c r="D910" s="287"/>
      <c r="E910" s="288"/>
      <c r="K910" s="289"/>
      <c r="U910" s="198"/>
      <c r="V910" s="198"/>
      <c r="AA910" s="198"/>
      <c r="AB910" s="198"/>
    </row>
    <row r="911" spans="3:28" ht="13.2">
      <c r="C911" s="286"/>
      <c r="D911" s="287"/>
      <c r="E911" s="288"/>
      <c r="K911" s="289"/>
      <c r="U911" s="198"/>
      <c r="V911" s="198"/>
      <c r="AA911" s="198"/>
      <c r="AB911" s="198"/>
    </row>
    <row r="912" spans="3:28" ht="13.2">
      <c r="C912" s="286"/>
      <c r="D912" s="287"/>
      <c r="E912" s="288"/>
      <c r="K912" s="289"/>
      <c r="U912" s="198"/>
      <c r="V912" s="198"/>
      <c r="AA912" s="198"/>
      <c r="AB912" s="198"/>
    </row>
    <row r="913" spans="3:28" ht="13.2">
      <c r="C913" s="286"/>
      <c r="D913" s="287"/>
      <c r="E913" s="288"/>
      <c r="K913" s="289"/>
      <c r="U913" s="198"/>
      <c r="V913" s="198"/>
      <c r="AA913" s="198"/>
      <c r="AB913" s="198"/>
    </row>
    <row r="914" spans="3:28" ht="13.2">
      <c r="C914" s="286"/>
      <c r="D914" s="287"/>
      <c r="E914" s="288"/>
      <c r="K914" s="289"/>
      <c r="U914" s="198"/>
      <c r="V914" s="198"/>
      <c r="AA914" s="198"/>
      <c r="AB914" s="198"/>
    </row>
    <row r="915" spans="3:28" ht="13.2">
      <c r="C915" s="286"/>
      <c r="D915" s="287"/>
      <c r="E915" s="288"/>
      <c r="K915" s="289"/>
      <c r="U915" s="198"/>
      <c r="V915" s="198"/>
      <c r="AA915" s="198"/>
      <c r="AB915" s="198"/>
    </row>
    <row r="916" spans="3:28" ht="13.2">
      <c r="C916" s="286"/>
      <c r="D916" s="287"/>
      <c r="E916" s="288"/>
      <c r="K916" s="289"/>
      <c r="U916" s="198"/>
      <c r="V916" s="198"/>
      <c r="AA916" s="198"/>
      <c r="AB916" s="198"/>
    </row>
    <row r="917" spans="3:28" ht="13.2">
      <c r="C917" s="286"/>
      <c r="D917" s="287"/>
      <c r="E917" s="288"/>
      <c r="K917" s="289"/>
      <c r="U917" s="198"/>
      <c r="V917" s="198"/>
      <c r="AA917" s="198"/>
      <c r="AB917" s="198"/>
    </row>
    <row r="918" spans="3:28" ht="13.2">
      <c r="C918" s="286"/>
      <c r="D918" s="287"/>
      <c r="E918" s="288"/>
      <c r="K918" s="289"/>
      <c r="U918" s="198"/>
      <c r="V918" s="198"/>
      <c r="AA918" s="198"/>
      <c r="AB918" s="198"/>
    </row>
    <row r="919" spans="3:28" ht="13.2">
      <c r="C919" s="286"/>
      <c r="D919" s="287"/>
      <c r="E919" s="288"/>
      <c r="K919" s="289"/>
      <c r="U919" s="198"/>
      <c r="V919" s="198"/>
      <c r="AA919" s="198"/>
      <c r="AB919" s="198"/>
    </row>
    <row r="920" spans="3:28" ht="13.2">
      <c r="C920" s="286"/>
      <c r="D920" s="287"/>
      <c r="E920" s="288"/>
      <c r="K920" s="289"/>
      <c r="U920" s="198"/>
      <c r="V920" s="198"/>
      <c r="AA920" s="198"/>
      <c r="AB920" s="198"/>
    </row>
    <row r="921" spans="3:28" ht="13.2">
      <c r="C921" s="286"/>
      <c r="D921" s="287"/>
      <c r="E921" s="288"/>
      <c r="K921" s="289"/>
      <c r="U921" s="198"/>
      <c r="V921" s="198"/>
      <c r="AA921" s="198"/>
      <c r="AB921" s="198"/>
    </row>
    <row r="922" spans="3:28" ht="13.2">
      <c r="C922" s="286"/>
      <c r="D922" s="287"/>
      <c r="E922" s="288"/>
      <c r="K922" s="289"/>
      <c r="U922" s="198"/>
      <c r="V922" s="198"/>
      <c r="AA922" s="198"/>
      <c r="AB922" s="198"/>
    </row>
    <row r="923" spans="3:28" ht="13.2">
      <c r="C923" s="286"/>
      <c r="D923" s="287"/>
      <c r="E923" s="288"/>
      <c r="K923" s="289"/>
      <c r="U923" s="198"/>
      <c r="V923" s="198"/>
      <c r="AA923" s="198"/>
      <c r="AB923" s="198"/>
    </row>
    <row r="924" spans="3:28" ht="13.2">
      <c r="C924" s="286"/>
      <c r="D924" s="287"/>
      <c r="E924" s="288"/>
      <c r="K924" s="289"/>
      <c r="U924" s="198"/>
      <c r="V924" s="198"/>
      <c r="AA924" s="198"/>
      <c r="AB924" s="198"/>
    </row>
    <row r="925" spans="3:28" ht="13.2">
      <c r="C925" s="286"/>
      <c r="D925" s="287"/>
      <c r="E925" s="288"/>
      <c r="K925" s="289"/>
      <c r="U925" s="198"/>
      <c r="V925" s="198"/>
      <c r="AA925" s="198"/>
      <c r="AB925" s="198"/>
    </row>
    <row r="926" spans="3:28" ht="13.2">
      <c r="C926" s="286"/>
      <c r="D926" s="287"/>
      <c r="E926" s="288"/>
      <c r="K926" s="289"/>
      <c r="U926" s="198"/>
      <c r="V926" s="198"/>
      <c r="AA926" s="198"/>
      <c r="AB926" s="198"/>
    </row>
    <row r="927" spans="3:28" ht="13.2">
      <c r="C927" s="286"/>
      <c r="D927" s="287"/>
      <c r="E927" s="288"/>
      <c r="K927" s="289"/>
      <c r="U927" s="198"/>
      <c r="V927" s="198"/>
      <c r="AA927" s="198"/>
      <c r="AB927" s="198"/>
    </row>
    <row r="928" spans="3:28" ht="13.2">
      <c r="C928" s="286"/>
      <c r="D928" s="287"/>
      <c r="E928" s="288"/>
      <c r="K928" s="289"/>
      <c r="U928" s="198"/>
      <c r="V928" s="198"/>
      <c r="AA928" s="198"/>
      <c r="AB928" s="198"/>
    </row>
    <row r="929" spans="3:28" ht="13.2">
      <c r="C929" s="286"/>
      <c r="D929" s="287"/>
      <c r="E929" s="288"/>
      <c r="K929" s="289"/>
      <c r="U929" s="198"/>
      <c r="V929" s="198"/>
      <c r="AA929" s="198"/>
      <c r="AB929" s="198"/>
    </row>
    <row r="930" spans="3:28" ht="13.2">
      <c r="C930" s="286"/>
      <c r="D930" s="287"/>
      <c r="E930" s="288"/>
      <c r="K930" s="289"/>
      <c r="U930" s="198"/>
      <c r="V930" s="198"/>
      <c r="AA930" s="198"/>
      <c r="AB930" s="198"/>
    </row>
    <row r="931" spans="3:28" ht="13.2">
      <c r="C931" s="286"/>
      <c r="D931" s="287"/>
      <c r="E931" s="288"/>
      <c r="K931" s="289"/>
      <c r="U931" s="198"/>
      <c r="V931" s="198"/>
      <c r="AA931" s="198"/>
      <c r="AB931" s="198"/>
    </row>
    <row r="932" spans="3:28" ht="13.2">
      <c r="C932" s="286"/>
      <c r="D932" s="287"/>
      <c r="E932" s="288"/>
      <c r="K932" s="289"/>
      <c r="U932" s="198"/>
      <c r="V932" s="198"/>
      <c r="AA932" s="198"/>
      <c r="AB932" s="198"/>
    </row>
    <row r="933" spans="3:28" ht="13.2">
      <c r="C933" s="286"/>
      <c r="D933" s="287"/>
      <c r="E933" s="288"/>
      <c r="K933" s="289"/>
      <c r="U933" s="198"/>
      <c r="V933" s="198"/>
      <c r="AA933" s="198"/>
      <c r="AB933" s="198"/>
    </row>
    <row r="934" spans="3:28" ht="13.2">
      <c r="C934" s="286"/>
      <c r="D934" s="287"/>
      <c r="E934" s="288"/>
      <c r="K934" s="289"/>
      <c r="U934" s="198"/>
      <c r="V934" s="198"/>
      <c r="AA934" s="198"/>
      <c r="AB934" s="198"/>
    </row>
    <row r="935" spans="3:28" ht="13.2">
      <c r="C935" s="286"/>
      <c r="D935" s="287"/>
      <c r="E935" s="288"/>
      <c r="K935" s="289"/>
      <c r="U935" s="198"/>
      <c r="V935" s="198"/>
      <c r="AA935" s="198"/>
      <c r="AB935" s="198"/>
    </row>
    <row r="936" spans="3:28" ht="13.2">
      <c r="C936" s="286"/>
      <c r="D936" s="287"/>
      <c r="E936" s="288"/>
      <c r="K936" s="289"/>
      <c r="U936" s="198"/>
      <c r="V936" s="198"/>
      <c r="AA936" s="198"/>
      <c r="AB936" s="198"/>
    </row>
    <row r="937" spans="3:28" ht="13.2">
      <c r="C937" s="286"/>
      <c r="D937" s="287"/>
      <c r="E937" s="288"/>
      <c r="K937" s="289"/>
      <c r="U937" s="198"/>
      <c r="V937" s="198"/>
      <c r="AA937" s="198"/>
      <c r="AB937" s="198"/>
    </row>
    <row r="938" spans="3:28" ht="13.2">
      <c r="C938" s="286"/>
      <c r="D938" s="287"/>
      <c r="E938" s="288"/>
      <c r="K938" s="289"/>
      <c r="U938" s="198"/>
      <c r="V938" s="198"/>
      <c r="AA938" s="198"/>
      <c r="AB938" s="198"/>
    </row>
    <row r="939" spans="3:28" ht="13.2">
      <c r="C939" s="286"/>
      <c r="D939" s="287"/>
      <c r="E939" s="288"/>
      <c r="K939" s="289"/>
      <c r="U939" s="198"/>
      <c r="V939" s="198"/>
      <c r="AA939" s="198"/>
      <c r="AB939" s="198"/>
    </row>
    <row r="940" spans="3:28" ht="13.2">
      <c r="C940" s="286"/>
      <c r="D940" s="287"/>
      <c r="E940" s="288"/>
      <c r="K940" s="289"/>
      <c r="U940" s="198"/>
      <c r="V940" s="198"/>
      <c r="AA940" s="198"/>
      <c r="AB940" s="198"/>
    </row>
    <row r="941" spans="3:28" ht="13.2">
      <c r="C941" s="286"/>
      <c r="D941" s="287"/>
      <c r="E941" s="288"/>
      <c r="K941" s="289"/>
      <c r="U941" s="198"/>
      <c r="V941" s="198"/>
      <c r="AA941" s="198"/>
      <c r="AB941" s="198"/>
    </row>
    <row r="942" spans="3:28" ht="13.2">
      <c r="C942" s="286"/>
      <c r="D942" s="287"/>
      <c r="E942" s="288"/>
      <c r="K942" s="289"/>
      <c r="U942" s="198"/>
      <c r="V942" s="198"/>
      <c r="AA942" s="198"/>
      <c r="AB942" s="198"/>
    </row>
    <row r="943" spans="3:28" ht="13.2">
      <c r="C943" s="286"/>
      <c r="D943" s="287"/>
      <c r="E943" s="288"/>
      <c r="K943" s="289"/>
      <c r="U943" s="198"/>
      <c r="V943" s="198"/>
      <c r="AA943" s="198"/>
      <c r="AB943" s="198"/>
    </row>
    <row r="944" spans="3:28" ht="13.2">
      <c r="C944" s="286"/>
      <c r="D944" s="287"/>
      <c r="E944" s="288"/>
      <c r="K944" s="289"/>
      <c r="U944" s="198"/>
      <c r="V944" s="198"/>
      <c r="AA944" s="198"/>
      <c r="AB944" s="198"/>
    </row>
    <row r="945" spans="3:28" ht="13.2">
      <c r="C945" s="286"/>
      <c r="D945" s="287"/>
      <c r="E945" s="288"/>
      <c r="K945" s="289"/>
      <c r="U945" s="198"/>
      <c r="V945" s="198"/>
      <c r="AA945" s="198"/>
      <c r="AB945" s="198"/>
    </row>
    <row r="946" spans="3:28" ht="13.2">
      <c r="C946" s="286"/>
      <c r="D946" s="287"/>
      <c r="E946" s="288"/>
      <c r="K946" s="289"/>
      <c r="U946" s="198"/>
      <c r="V946" s="198"/>
      <c r="AA946" s="198"/>
      <c r="AB946" s="198"/>
    </row>
    <row r="947" spans="3:28" ht="13.2">
      <c r="C947" s="286"/>
      <c r="D947" s="287"/>
      <c r="E947" s="288"/>
      <c r="K947" s="289"/>
      <c r="U947" s="198"/>
      <c r="V947" s="198"/>
      <c r="AA947" s="198"/>
      <c r="AB947" s="198"/>
    </row>
    <row r="948" spans="3:28" ht="13.2">
      <c r="C948" s="286"/>
      <c r="D948" s="287"/>
      <c r="E948" s="288"/>
      <c r="K948" s="289"/>
      <c r="U948" s="198"/>
      <c r="V948" s="198"/>
      <c r="AA948" s="198"/>
      <c r="AB948" s="198"/>
    </row>
    <row r="949" spans="3:28" ht="13.2">
      <c r="C949" s="286"/>
      <c r="D949" s="287"/>
      <c r="E949" s="288"/>
      <c r="K949" s="289"/>
      <c r="U949" s="198"/>
      <c r="V949" s="198"/>
      <c r="AA949" s="198"/>
      <c r="AB949" s="198"/>
    </row>
    <row r="950" spans="3:28" ht="13.2">
      <c r="C950" s="286"/>
      <c r="D950" s="287"/>
      <c r="E950" s="288"/>
      <c r="K950" s="289"/>
      <c r="U950" s="198"/>
      <c r="V950" s="198"/>
      <c r="AA950" s="198"/>
      <c r="AB950" s="198"/>
    </row>
    <row r="951" spans="3:28" ht="13.2">
      <c r="C951" s="286"/>
      <c r="D951" s="287"/>
      <c r="E951" s="288"/>
      <c r="K951" s="289"/>
      <c r="U951" s="198"/>
      <c r="V951" s="198"/>
      <c r="AA951" s="198"/>
      <c r="AB951" s="198"/>
    </row>
    <row r="952" spans="3:28" ht="13.2">
      <c r="C952" s="286"/>
      <c r="D952" s="287"/>
      <c r="E952" s="288"/>
      <c r="K952" s="289"/>
      <c r="U952" s="198"/>
      <c r="V952" s="198"/>
      <c r="AA952" s="198"/>
      <c r="AB952" s="198"/>
    </row>
    <row r="953" spans="3:28" ht="13.2">
      <c r="C953" s="286"/>
      <c r="D953" s="287"/>
      <c r="E953" s="288"/>
      <c r="K953" s="289"/>
      <c r="U953" s="198"/>
      <c r="V953" s="198"/>
      <c r="AA953" s="198"/>
      <c r="AB953" s="198"/>
    </row>
    <row r="954" spans="3:28" ht="13.2">
      <c r="C954" s="286"/>
      <c r="D954" s="287"/>
      <c r="E954" s="288"/>
      <c r="K954" s="289"/>
      <c r="U954" s="198"/>
      <c r="V954" s="198"/>
      <c r="AA954" s="198"/>
      <c r="AB954" s="198"/>
    </row>
    <row r="955" spans="3:28" ht="13.2">
      <c r="C955" s="286"/>
      <c r="D955" s="287"/>
      <c r="E955" s="288"/>
      <c r="K955" s="289"/>
      <c r="U955" s="198"/>
      <c r="V955" s="198"/>
      <c r="AA955" s="198"/>
      <c r="AB955" s="198"/>
    </row>
    <row r="956" spans="3:28" ht="13.2">
      <c r="C956" s="286"/>
      <c r="D956" s="287"/>
      <c r="E956" s="288"/>
      <c r="K956" s="289"/>
      <c r="U956" s="198"/>
      <c r="V956" s="198"/>
      <c r="AA956" s="198"/>
      <c r="AB956" s="198"/>
    </row>
    <row r="957" spans="3:28" ht="13.2">
      <c r="C957" s="286"/>
      <c r="D957" s="287"/>
      <c r="E957" s="288"/>
      <c r="K957" s="289"/>
      <c r="U957" s="198"/>
      <c r="V957" s="198"/>
      <c r="AA957" s="198"/>
      <c r="AB957" s="198"/>
    </row>
    <row r="958" spans="3:28" ht="13.2">
      <c r="C958" s="286"/>
      <c r="D958" s="287"/>
      <c r="E958" s="288"/>
      <c r="K958" s="289"/>
      <c r="U958" s="198"/>
      <c r="V958" s="198"/>
      <c r="AA958" s="198"/>
      <c r="AB958" s="198"/>
    </row>
    <row r="959" spans="3:28" ht="13.2">
      <c r="C959" s="286"/>
      <c r="D959" s="287"/>
      <c r="E959" s="288"/>
      <c r="K959" s="289"/>
      <c r="U959" s="198"/>
      <c r="V959" s="198"/>
      <c r="AA959" s="198"/>
      <c r="AB959" s="198"/>
    </row>
    <row r="960" spans="3:28" ht="13.2">
      <c r="C960" s="286"/>
      <c r="D960" s="287"/>
      <c r="E960" s="288"/>
      <c r="K960" s="289"/>
      <c r="U960" s="198"/>
      <c r="V960" s="198"/>
      <c r="AA960" s="198"/>
      <c r="AB960" s="198"/>
    </row>
    <row r="961" spans="3:28" ht="13.2">
      <c r="C961" s="286"/>
      <c r="D961" s="287"/>
      <c r="E961" s="288"/>
      <c r="K961" s="289"/>
      <c r="U961" s="198"/>
      <c r="V961" s="198"/>
      <c r="AA961" s="198"/>
      <c r="AB961" s="198"/>
    </row>
    <row r="962" spans="3:28" ht="13.2">
      <c r="C962" s="286"/>
      <c r="D962" s="287"/>
      <c r="E962" s="288"/>
      <c r="K962" s="289"/>
      <c r="U962" s="198"/>
      <c r="V962" s="198"/>
      <c r="AA962" s="198"/>
      <c r="AB962" s="198"/>
    </row>
    <row r="963" spans="3:28" ht="13.2">
      <c r="C963" s="286"/>
      <c r="D963" s="287"/>
      <c r="E963" s="288"/>
      <c r="K963" s="289"/>
      <c r="U963" s="198"/>
      <c r="V963" s="198"/>
      <c r="AA963" s="198"/>
      <c r="AB963" s="198"/>
    </row>
    <row r="964" spans="3:28" ht="13.2">
      <c r="C964" s="286"/>
      <c r="D964" s="287"/>
      <c r="E964" s="288"/>
      <c r="K964" s="289"/>
      <c r="U964" s="198"/>
      <c r="V964" s="198"/>
      <c r="AA964" s="198"/>
      <c r="AB964" s="198"/>
    </row>
    <row r="965" spans="3:28" ht="13.2">
      <c r="C965" s="286"/>
      <c r="D965" s="287"/>
      <c r="E965" s="288"/>
      <c r="K965" s="289"/>
      <c r="U965" s="198"/>
      <c r="V965" s="198"/>
      <c r="AA965" s="198"/>
      <c r="AB965" s="198"/>
    </row>
    <row r="966" spans="3:28" ht="13.2">
      <c r="C966" s="286"/>
      <c r="D966" s="287"/>
      <c r="E966" s="288"/>
      <c r="K966" s="289"/>
      <c r="U966" s="198"/>
      <c r="V966" s="198"/>
      <c r="AA966" s="198"/>
      <c r="AB966" s="198"/>
    </row>
    <row r="967" spans="3:28" ht="13.2">
      <c r="C967" s="286"/>
      <c r="D967" s="287"/>
      <c r="E967" s="288"/>
      <c r="K967" s="289"/>
      <c r="U967" s="198"/>
      <c r="V967" s="198"/>
      <c r="AA967" s="198"/>
      <c r="AB967" s="198"/>
    </row>
    <row r="968" spans="3:28" ht="13.2">
      <c r="C968" s="286"/>
      <c r="D968" s="287"/>
      <c r="E968" s="288"/>
      <c r="K968" s="289"/>
      <c r="U968" s="198"/>
      <c r="V968" s="198"/>
      <c r="AA968" s="198"/>
      <c r="AB968" s="198"/>
    </row>
    <row r="969" spans="3:28" ht="13.2">
      <c r="C969" s="286"/>
      <c r="D969" s="287"/>
      <c r="E969" s="288"/>
      <c r="K969" s="289"/>
      <c r="U969" s="198"/>
      <c r="V969" s="198"/>
      <c r="AA969" s="198"/>
      <c r="AB969" s="198"/>
    </row>
    <row r="970" spans="3:28" ht="13.2">
      <c r="C970" s="286"/>
      <c r="D970" s="287"/>
      <c r="E970" s="288"/>
      <c r="K970" s="289"/>
      <c r="U970" s="198"/>
      <c r="V970" s="198"/>
      <c r="AA970" s="198"/>
      <c r="AB970" s="198"/>
    </row>
    <row r="971" spans="3:28" ht="13.2">
      <c r="C971" s="286"/>
      <c r="D971" s="287"/>
      <c r="E971" s="288"/>
      <c r="K971" s="289"/>
      <c r="U971" s="198"/>
      <c r="V971" s="198"/>
      <c r="AA971" s="198"/>
      <c r="AB971" s="198"/>
    </row>
    <row r="972" spans="3:28" ht="13.2">
      <c r="C972" s="286"/>
      <c r="D972" s="287"/>
      <c r="E972" s="288"/>
      <c r="K972" s="289"/>
      <c r="U972" s="198"/>
      <c r="V972" s="198"/>
      <c r="AA972" s="198"/>
      <c r="AB972" s="198"/>
    </row>
    <row r="973" spans="3:28" ht="13.2">
      <c r="C973" s="286"/>
      <c r="D973" s="287"/>
      <c r="E973" s="288"/>
      <c r="K973" s="289"/>
      <c r="U973" s="198"/>
      <c r="V973" s="198"/>
      <c r="AA973" s="198"/>
      <c r="AB973" s="198"/>
    </row>
    <row r="974" spans="3:28" ht="13.2">
      <c r="C974" s="286"/>
      <c r="D974" s="287"/>
      <c r="E974" s="288"/>
      <c r="K974" s="289"/>
      <c r="U974" s="198"/>
      <c r="V974" s="198"/>
      <c r="AA974" s="198"/>
      <c r="AB974" s="198"/>
    </row>
    <row r="975" spans="3:28" ht="13.2">
      <c r="C975" s="286"/>
      <c r="D975" s="287"/>
      <c r="E975" s="288"/>
      <c r="K975" s="289"/>
      <c r="U975" s="198"/>
      <c r="V975" s="198"/>
      <c r="AA975" s="198"/>
      <c r="AB975" s="198"/>
    </row>
    <row r="976" spans="3:28" ht="13.2">
      <c r="C976" s="286"/>
      <c r="D976" s="287"/>
      <c r="E976" s="288"/>
      <c r="K976" s="289"/>
      <c r="U976" s="198"/>
      <c r="V976" s="198"/>
      <c r="AA976" s="198"/>
      <c r="AB976" s="198"/>
    </row>
    <row r="977" spans="3:28" ht="13.2">
      <c r="C977" s="286"/>
      <c r="D977" s="287"/>
      <c r="E977" s="288"/>
      <c r="K977" s="289"/>
      <c r="U977" s="198"/>
      <c r="V977" s="198"/>
      <c r="AA977" s="198"/>
      <c r="AB977" s="198"/>
    </row>
    <row r="978" spans="3:28" ht="13.2">
      <c r="C978" s="286"/>
      <c r="D978" s="287"/>
      <c r="E978" s="288"/>
      <c r="K978" s="289"/>
      <c r="U978" s="198"/>
      <c r="V978" s="198"/>
      <c r="AA978" s="198"/>
      <c r="AB978" s="198"/>
    </row>
    <row r="979" spans="3:28" ht="13.2">
      <c r="C979" s="286"/>
      <c r="D979" s="287"/>
      <c r="E979" s="288"/>
      <c r="K979" s="289"/>
      <c r="U979" s="198"/>
      <c r="V979" s="198"/>
      <c r="AA979" s="198"/>
      <c r="AB979" s="198"/>
    </row>
    <row r="980" spans="3:28" ht="13.2">
      <c r="C980" s="286"/>
      <c r="D980" s="287"/>
      <c r="E980" s="288"/>
      <c r="K980" s="289"/>
      <c r="U980" s="198"/>
      <c r="V980" s="198"/>
      <c r="AA980" s="198"/>
      <c r="AB980" s="198"/>
    </row>
    <row r="981" spans="3:28" ht="13.2">
      <c r="C981" s="286"/>
      <c r="D981" s="287"/>
      <c r="E981" s="288"/>
      <c r="K981" s="289"/>
      <c r="U981" s="198"/>
      <c r="V981" s="198"/>
      <c r="AA981" s="198"/>
      <c r="AB981" s="198"/>
    </row>
    <row r="982" spans="3:28" ht="13.2">
      <c r="C982" s="286"/>
      <c r="D982" s="287"/>
      <c r="E982" s="288"/>
      <c r="K982" s="289"/>
      <c r="U982" s="198"/>
      <c r="V982" s="198"/>
      <c r="AA982" s="198"/>
      <c r="AB982" s="198"/>
    </row>
    <row r="983" spans="3:28" ht="13.2">
      <c r="C983" s="286"/>
      <c r="D983" s="287"/>
      <c r="E983" s="288"/>
      <c r="K983" s="289"/>
      <c r="U983" s="198"/>
      <c r="V983" s="198"/>
      <c r="AA983" s="198"/>
      <c r="AB983" s="198"/>
    </row>
    <row r="984" spans="3:28" ht="13.2">
      <c r="C984" s="286"/>
      <c r="D984" s="287"/>
      <c r="E984" s="288"/>
      <c r="K984" s="289"/>
      <c r="U984" s="198"/>
      <c r="V984" s="198"/>
      <c r="AA984" s="198"/>
      <c r="AB984" s="198"/>
    </row>
    <row r="985" spans="3:28" ht="13.2">
      <c r="C985" s="286"/>
      <c r="D985" s="287"/>
      <c r="E985" s="288"/>
      <c r="K985" s="289"/>
      <c r="U985" s="198"/>
      <c r="V985" s="198"/>
      <c r="AA985" s="198"/>
      <c r="AB985" s="198"/>
    </row>
    <row r="986" spans="3:28" ht="13.2">
      <c r="C986" s="286"/>
      <c r="D986" s="287"/>
      <c r="E986" s="288"/>
      <c r="K986" s="289"/>
      <c r="U986" s="198"/>
      <c r="V986" s="198"/>
      <c r="AA986" s="198"/>
      <c r="AB986" s="198"/>
    </row>
    <row r="987" spans="3:28" ht="13.2">
      <c r="C987" s="286"/>
      <c r="D987" s="287"/>
      <c r="E987" s="288"/>
      <c r="K987" s="289"/>
      <c r="U987" s="198"/>
      <c r="V987" s="198"/>
      <c r="AA987" s="198"/>
      <c r="AB987" s="198"/>
    </row>
    <row r="988" spans="3:28" ht="13.2">
      <c r="C988" s="286"/>
      <c r="D988" s="287"/>
      <c r="E988" s="288"/>
      <c r="K988" s="289"/>
      <c r="U988" s="198"/>
      <c r="V988" s="198"/>
      <c r="AA988" s="198"/>
      <c r="AB988" s="198"/>
    </row>
    <row r="989" spans="3:28" ht="13.2">
      <c r="C989" s="286"/>
      <c r="D989" s="287"/>
      <c r="E989" s="288"/>
      <c r="K989" s="289"/>
      <c r="U989" s="198"/>
      <c r="V989" s="198"/>
      <c r="AA989" s="198"/>
      <c r="AB989" s="198"/>
    </row>
    <row r="990" spans="3:28" ht="13.2">
      <c r="C990" s="286"/>
      <c r="D990" s="287"/>
      <c r="E990" s="288"/>
      <c r="K990" s="289"/>
      <c r="U990" s="198"/>
      <c r="V990" s="198"/>
      <c r="AA990" s="198"/>
      <c r="AB990" s="198"/>
    </row>
    <row r="991" spans="3:28" ht="13.2">
      <c r="C991" s="286"/>
      <c r="D991" s="287"/>
      <c r="E991" s="288"/>
      <c r="K991" s="289"/>
      <c r="U991" s="198"/>
      <c r="V991" s="198"/>
      <c r="AA991" s="198"/>
      <c r="AB991" s="198"/>
    </row>
    <row r="992" spans="3:28" ht="13.2">
      <c r="C992" s="286"/>
      <c r="D992" s="287"/>
      <c r="E992" s="288"/>
      <c r="K992" s="289"/>
      <c r="U992" s="198"/>
      <c r="V992" s="198"/>
      <c r="AA992" s="198"/>
      <c r="AB992" s="198"/>
    </row>
    <row r="993" spans="3:28" ht="13.2">
      <c r="C993" s="286"/>
      <c r="D993" s="287"/>
      <c r="E993" s="288"/>
      <c r="K993" s="289"/>
      <c r="U993" s="198"/>
      <c r="V993" s="198"/>
      <c r="AA993" s="198"/>
      <c r="AB993" s="198"/>
    </row>
    <row r="994" spans="3:28" ht="13.2">
      <c r="C994" s="286"/>
      <c r="D994" s="287"/>
      <c r="E994" s="288"/>
      <c r="K994" s="289"/>
      <c r="U994" s="198"/>
      <c r="V994" s="198"/>
      <c r="AA994" s="198"/>
      <c r="AB994" s="198"/>
    </row>
    <row r="995" spans="3:28" ht="13.2">
      <c r="C995" s="286"/>
      <c r="D995" s="287"/>
      <c r="E995" s="288"/>
      <c r="K995" s="289"/>
      <c r="U995" s="198"/>
      <c r="V995" s="198"/>
      <c r="AA995" s="198"/>
      <c r="AB995" s="198"/>
    </row>
    <row r="996" spans="3:28" ht="13.2">
      <c r="C996" s="286"/>
      <c r="D996" s="287"/>
      <c r="E996" s="288"/>
      <c r="K996" s="289"/>
      <c r="U996" s="198"/>
      <c r="V996" s="198"/>
      <c r="AA996" s="198"/>
      <c r="AB996" s="198"/>
    </row>
    <row r="997" spans="3:28" ht="13.2">
      <c r="C997" s="286"/>
      <c r="D997" s="287"/>
      <c r="E997" s="288"/>
      <c r="K997" s="289"/>
      <c r="U997" s="198"/>
      <c r="V997" s="198"/>
      <c r="AA997" s="198"/>
      <c r="AB997" s="198"/>
    </row>
    <row r="998" spans="3:28" ht="13.2">
      <c r="C998" s="286"/>
      <c r="D998" s="287"/>
      <c r="E998" s="288"/>
      <c r="K998" s="289"/>
      <c r="U998" s="198"/>
      <c r="V998" s="198"/>
      <c r="AA998" s="198"/>
      <c r="AB998" s="198"/>
    </row>
    <row r="999" spans="3:28" ht="13.2">
      <c r="C999" s="286"/>
      <c r="D999" s="287"/>
      <c r="E999" s="288"/>
      <c r="K999" s="289"/>
      <c r="U999" s="198"/>
      <c r="V999" s="198"/>
      <c r="AA999" s="198"/>
      <c r="AB999" s="198"/>
    </row>
    <row r="1000" spans="3:28" ht="13.2">
      <c r="C1000" s="286"/>
      <c r="D1000" s="287"/>
      <c r="E1000" s="288"/>
      <c r="K1000" s="289"/>
      <c r="U1000" s="198"/>
      <c r="V1000" s="198"/>
      <c r="AA1000" s="198"/>
      <c r="AB1000" s="198"/>
    </row>
  </sheetData>
  <mergeCells count="12">
    <mergeCell ref="F1:AE1"/>
    <mergeCell ref="A2:A3"/>
    <mergeCell ref="B2:B3"/>
    <mergeCell ref="G2:K2"/>
    <mergeCell ref="L2:O2"/>
    <mergeCell ref="P2:S2"/>
    <mergeCell ref="T2:W2"/>
    <mergeCell ref="X2:AB2"/>
    <mergeCell ref="AC2:AF2"/>
    <mergeCell ref="AG2:AG3"/>
    <mergeCell ref="AH2:AH3"/>
    <mergeCell ref="AI2:AI3"/>
  </mergeCells>
  <dataValidations count="2">
    <dataValidation type="list" allowBlank="1" showErrorMessage="1" sqref="F4:AF64" xr:uid="{00000000-0002-0000-0A00-000000000000}">
      <formula1>"አለ/ች,ቀሪ,ፍቃድ"</formula1>
    </dataValidation>
    <dataValidation type="list" allowBlank="1" showErrorMessage="1" sqref="D4:D29" xr:uid="{00000000-0002-0000-0A00-000001000000}">
      <formula1>"ወ,ሴ"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J99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6640625" defaultRowHeight="15.75" customHeight="1"/>
  <cols>
    <col min="1" max="1" width="8.33203125" customWidth="1"/>
    <col min="2" max="2" width="23.6640625" customWidth="1"/>
    <col min="3" max="4" width="7.88671875" customWidth="1"/>
    <col min="6" max="6" width="7.6640625" customWidth="1"/>
    <col min="7" max="32" width="6.33203125" customWidth="1"/>
    <col min="33" max="33" width="9.21875" customWidth="1"/>
    <col min="34" max="34" width="7.6640625" customWidth="1"/>
    <col min="35" max="36" width="6.33203125" customWidth="1"/>
  </cols>
  <sheetData>
    <row r="1" spans="1:36">
      <c r="A1" s="1"/>
      <c r="B1" s="1"/>
      <c r="C1" s="3"/>
      <c r="D1" s="3"/>
      <c r="E1" s="3"/>
      <c r="F1" s="315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6"/>
      <c r="AD1" s="316"/>
      <c r="AE1" s="316"/>
      <c r="AF1" s="1"/>
      <c r="AG1" s="1"/>
      <c r="AH1" s="1"/>
      <c r="AI1" s="1"/>
      <c r="AJ1" s="1"/>
    </row>
    <row r="2" spans="1:36" ht="15.75" customHeight="1">
      <c r="A2" s="326" t="s">
        <v>0</v>
      </c>
      <c r="B2" s="326" t="s">
        <v>1</v>
      </c>
      <c r="C2" s="7"/>
      <c r="D2" s="9"/>
      <c r="E2" s="11"/>
      <c r="F2" s="12" t="s">
        <v>3</v>
      </c>
      <c r="G2" s="319" t="s">
        <v>4</v>
      </c>
      <c r="H2" s="320"/>
      <c r="I2" s="320"/>
      <c r="J2" s="320"/>
      <c r="K2" s="321"/>
      <c r="L2" s="319" t="s">
        <v>9</v>
      </c>
      <c r="M2" s="320"/>
      <c r="N2" s="320"/>
      <c r="O2" s="321"/>
      <c r="P2" s="319" t="s">
        <v>11</v>
      </c>
      <c r="Q2" s="320"/>
      <c r="R2" s="320"/>
      <c r="S2" s="321"/>
      <c r="T2" s="319" t="s">
        <v>13</v>
      </c>
      <c r="U2" s="320"/>
      <c r="V2" s="320"/>
      <c r="W2" s="321"/>
      <c r="X2" s="310" t="s">
        <v>14</v>
      </c>
      <c r="Y2" s="311"/>
      <c r="Z2" s="311"/>
      <c r="AA2" s="311"/>
      <c r="AB2" s="312"/>
      <c r="AC2" s="310" t="s">
        <v>16</v>
      </c>
      <c r="AD2" s="311"/>
      <c r="AE2" s="311"/>
      <c r="AF2" s="312"/>
      <c r="AG2" s="290" t="s">
        <v>1061</v>
      </c>
      <c r="AH2" s="290" t="s">
        <v>1062</v>
      </c>
      <c r="AI2" s="313" t="s">
        <v>1063</v>
      </c>
      <c r="AJ2" s="156"/>
    </row>
    <row r="3" spans="1:36" ht="15.75" customHeight="1">
      <c r="A3" s="314"/>
      <c r="B3" s="314"/>
      <c r="C3" s="13" t="s">
        <v>5</v>
      </c>
      <c r="D3" s="13" t="s">
        <v>7</v>
      </c>
      <c r="E3" s="13" t="s">
        <v>8</v>
      </c>
      <c r="F3" s="13">
        <v>25</v>
      </c>
      <c r="G3" s="13">
        <v>2</v>
      </c>
      <c r="H3" s="13">
        <v>9</v>
      </c>
      <c r="I3" s="13">
        <v>16</v>
      </c>
      <c r="J3" s="13">
        <v>23</v>
      </c>
      <c r="K3" s="13">
        <v>30</v>
      </c>
      <c r="L3" s="13">
        <v>7</v>
      </c>
      <c r="M3" s="13">
        <v>14</v>
      </c>
      <c r="N3" s="13">
        <v>21</v>
      </c>
      <c r="O3" s="13">
        <v>28</v>
      </c>
      <c r="P3" s="13">
        <v>5</v>
      </c>
      <c r="Q3" s="13">
        <v>12</v>
      </c>
      <c r="R3" s="13">
        <v>19</v>
      </c>
      <c r="S3" s="13">
        <v>26</v>
      </c>
      <c r="T3" s="13">
        <v>3</v>
      </c>
      <c r="U3" s="244">
        <v>10</v>
      </c>
      <c r="V3" s="244">
        <v>17</v>
      </c>
      <c r="W3" s="13">
        <v>24</v>
      </c>
      <c r="X3" s="13">
        <v>1</v>
      </c>
      <c r="Y3" s="13">
        <v>8</v>
      </c>
      <c r="Z3" s="37">
        <v>15</v>
      </c>
      <c r="AA3" s="157">
        <v>22</v>
      </c>
      <c r="AB3" s="157">
        <v>29</v>
      </c>
      <c r="AC3" s="23">
        <v>6</v>
      </c>
      <c r="AD3" s="23">
        <v>13</v>
      </c>
      <c r="AE3" s="23">
        <v>20</v>
      </c>
      <c r="AF3" s="16">
        <v>27</v>
      </c>
      <c r="AG3" s="291"/>
      <c r="AH3" s="291"/>
      <c r="AI3" s="314"/>
      <c r="AJ3" s="156"/>
    </row>
    <row r="4" spans="1:36">
      <c r="A4" s="292" t="s">
        <v>1064</v>
      </c>
      <c r="B4" s="293" t="s">
        <v>1065</v>
      </c>
      <c r="C4" s="294">
        <v>27</v>
      </c>
      <c r="D4" s="294" t="s">
        <v>26</v>
      </c>
      <c r="E4" s="294">
        <v>993463874</v>
      </c>
      <c r="F4" s="42" t="s">
        <v>27</v>
      </c>
      <c r="G4" s="42" t="s">
        <v>19</v>
      </c>
      <c r="H4" s="42" t="s">
        <v>27</v>
      </c>
      <c r="I4" s="42" t="s">
        <v>27</v>
      </c>
      <c r="J4" s="42" t="s">
        <v>19</v>
      </c>
      <c r="K4" s="42" t="s">
        <v>19</v>
      </c>
      <c r="L4" s="42" t="s">
        <v>27</v>
      </c>
      <c r="M4" s="42" t="s">
        <v>19</v>
      </c>
      <c r="N4" s="42" t="s">
        <v>27</v>
      </c>
      <c r="O4" s="42" t="s">
        <v>27</v>
      </c>
      <c r="P4" s="42" t="s">
        <v>27</v>
      </c>
      <c r="Q4" s="42" t="s">
        <v>27</v>
      </c>
      <c r="R4" s="42" t="s">
        <v>19</v>
      </c>
      <c r="S4" s="42" t="s">
        <v>27</v>
      </c>
      <c r="T4" s="42" t="s">
        <v>27</v>
      </c>
      <c r="U4" s="170"/>
      <c r="V4" s="170"/>
      <c r="W4" s="42" t="s">
        <v>27</v>
      </c>
      <c r="X4" s="42" t="s">
        <v>27</v>
      </c>
      <c r="Y4" s="42" t="s">
        <v>27</v>
      </c>
      <c r="Z4" s="42" t="s">
        <v>27</v>
      </c>
      <c r="AA4" s="170"/>
      <c r="AB4" s="170"/>
      <c r="AC4" s="42" t="s">
        <v>27</v>
      </c>
      <c r="AD4" s="42" t="s">
        <v>27</v>
      </c>
      <c r="AE4" s="42" t="s">
        <v>27</v>
      </c>
      <c r="AF4" s="64" t="s">
        <v>27</v>
      </c>
      <c r="AG4" s="48">
        <f t="shared" ref="AG4:AG24" si="0">COUNTIF(F4:AF4,"አለ/ች")</f>
        <v>18</v>
      </c>
      <c r="AH4" s="48">
        <f t="shared" ref="AH4:AH24" si="1">COUNTIF(F4:AF4,"ቀሪ")</f>
        <v>5</v>
      </c>
      <c r="AI4" s="48">
        <f t="shared" ref="AI4:AI24" si="2">AG4/5</f>
        <v>3.6</v>
      </c>
      <c r="AJ4" s="51"/>
    </row>
    <row r="5" spans="1:36">
      <c r="A5" s="293" t="s">
        <v>1066</v>
      </c>
      <c r="B5" s="293" t="s">
        <v>1067</v>
      </c>
      <c r="C5" s="294">
        <v>27</v>
      </c>
      <c r="D5" s="294" t="s">
        <v>35</v>
      </c>
      <c r="E5" s="294">
        <v>965077843</v>
      </c>
      <c r="F5" s="42" t="s">
        <v>19</v>
      </c>
      <c r="G5" s="42" t="s">
        <v>19</v>
      </c>
      <c r="H5" s="42" t="s">
        <v>19</v>
      </c>
      <c r="I5" s="42" t="s">
        <v>27</v>
      </c>
      <c r="J5" s="42" t="s">
        <v>27</v>
      </c>
      <c r="K5" s="42" t="s">
        <v>27</v>
      </c>
      <c r="L5" s="42" t="s">
        <v>27</v>
      </c>
      <c r="M5" s="42" t="s">
        <v>19</v>
      </c>
      <c r="N5" s="42" t="s">
        <v>27</v>
      </c>
      <c r="O5" s="42" t="s">
        <v>27</v>
      </c>
      <c r="P5" s="42" t="s">
        <v>27</v>
      </c>
      <c r="Q5" s="42" t="s">
        <v>27</v>
      </c>
      <c r="R5" s="42" t="s">
        <v>19</v>
      </c>
      <c r="S5" s="42" t="s">
        <v>27</v>
      </c>
      <c r="T5" s="42" t="s">
        <v>27</v>
      </c>
      <c r="U5" s="170"/>
      <c r="V5" s="170"/>
      <c r="W5" s="42" t="s">
        <v>19</v>
      </c>
      <c r="X5" s="42" t="s">
        <v>19</v>
      </c>
      <c r="Y5" s="42" t="s">
        <v>27</v>
      </c>
      <c r="Z5" s="42" t="s">
        <v>27</v>
      </c>
      <c r="AA5" s="170"/>
      <c r="AB5" s="170"/>
      <c r="AC5" s="42" t="s">
        <v>27</v>
      </c>
      <c r="AD5" s="42" t="s">
        <v>19</v>
      </c>
      <c r="AE5" s="42" t="s">
        <v>112</v>
      </c>
      <c r="AF5" s="64" t="s">
        <v>27</v>
      </c>
      <c r="AG5" s="48">
        <f t="shared" si="0"/>
        <v>14</v>
      </c>
      <c r="AH5" s="48">
        <f t="shared" si="1"/>
        <v>8</v>
      </c>
      <c r="AI5" s="48">
        <f t="shared" si="2"/>
        <v>2.8</v>
      </c>
      <c r="AJ5" s="51"/>
    </row>
    <row r="6" spans="1:36">
      <c r="A6" s="293" t="s">
        <v>1068</v>
      </c>
      <c r="B6" s="293" t="s">
        <v>1069</v>
      </c>
      <c r="C6" s="294">
        <v>31</v>
      </c>
      <c r="D6" s="294" t="s">
        <v>26</v>
      </c>
      <c r="E6" s="294">
        <v>929340479</v>
      </c>
      <c r="F6" s="42" t="s">
        <v>19</v>
      </c>
      <c r="G6" s="42" t="s">
        <v>27</v>
      </c>
      <c r="H6" s="42" t="s">
        <v>27</v>
      </c>
      <c r="I6" s="42" t="s">
        <v>27</v>
      </c>
      <c r="J6" s="42" t="s">
        <v>19</v>
      </c>
      <c r="K6" s="42" t="s">
        <v>27</v>
      </c>
      <c r="L6" s="42" t="s">
        <v>27</v>
      </c>
      <c r="M6" s="42" t="s">
        <v>27</v>
      </c>
      <c r="N6" s="42" t="s">
        <v>27</v>
      </c>
      <c r="O6" s="42" t="s">
        <v>19</v>
      </c>
      <c r="P6" s="42" t="s">
        <v>112</v>
      </c>
      <c r="Q6" s="42" t="s">
        <v>27</v>
      </c>
      <c r="R6" s="42" t="s">
        <v>19</v>
      </c>
      <c r="S6" s="42" t="s">
        <v>19</v>
      </c>
      <c r="T6" s="42" t="s">
        <v>19</v>
      </c>
      <c r="U6" s="170"/>
      <c r="V6" s="170"/>
      <c r="W6" s="42" t="s">
        <v>27</v>
      </c>
      <c r="X6" s="42" t="s">
        <v>19</v>
      </c>
      <c r="Y6" s="42" t="s">
        <v>27</v>
      </c>
      <c r="Z6" s="42" t="s">
        <v>27</v>
      </c>
      <c r="AA6" s="170"/>
      <c r="AB6" s="170"/>
      <c r="AC6" s="42" t="s">
        <v>27</v>
      </c>
      <c r="AD6" s="42" t="s">
        <v>27</v>
      </c>
      <c r="AE6" s="42" t="s">
        <v>27</v>
      </c>
      <c r="AF6" s="64" t="s">
        <v>27</v>
      </c>
      <c r="AG6" s="48">
        <f t="shared" si="0"/>
        <v>15</v>
      </c>
      <c r="AH6" s="48">
        <f t="shared" si="1"/>
        <v>7</v>
      </c>
      <c r="AI6" s="48">
        <f t="shared" si="2"/>
        <v>3</v>
      </c>
      <c r="AJ6" s="51"/>
    </row>
    <row r="7" spans="1:36">
      <c r="A7" s="293" t="s">
        <v>1070</v>
      </c>
      <c r="B7" s="293" t="s">
        <v>1071</v>
      </c>
      <c r="C7" s="294">
        <v>29</v>
      </c>
      <c r="D7" s="294" t="s">
        <v>35</v>
      </c>
      <c r="E7" s="294">
        <v>941489093</v>
      </c>
      <c r="F7" s="42" t="s">
        <v>27</v>
      </c>
      <c r="G7" s="42" t="s">
        <v>27</v>
      </c>
      <c r="H7" s="42" t="s">
        <v>19</v>
      </c>
      <c r="I7" s="42" t="s">
        <v>19</v>
      </c>
      <c r="J7" s="42" t="s">
        <v>27</v>
      </c>
      <c r="K7" s="42" t="s">
        <v>27</v>
      </c>
      <c r="L7" s="42" t="s">
        <v>27</v>
      </c>
      <c r="M7" s="42" t="s">
        <v>19</v>
      </c>
      <c r="N7" s="42" t="s">
        <v>27</v>
      </c>
      <c r="O7" s="42" t="s">
        <v>19</v>
      </c>
      <c r="P7" s="42" t="s">
        <v>19</v>
      </c>
      <c r="Q7" s="42" t="s">
        <v>27</v>
      </c>
      <c r="R7" s="42" t="s">
        <v>19</v>
      </c>
      <c r="S7" s="42" t="s">
        <v>19</v>
      </c>
      <c r="T7" s="42" t="s">
        <v>27</v>
      </c>
      <c r="U7" s="170"/>
      <c r="V7" s="170"/>
      <c r="W7" s="42" t="s">
        <v>27</v>
      </c>
      <c r="X7" s="42" t="s">
        <v>19</v>
      </c>
      <c r="Y7" s="42" t="s">
        <v>27</v>
      </c>
      <c r="Z7" s="42" t="s">
        <v>27</v>
      </c>
      <c r="AA7" s="170"/>
      <c r="AB7" s="170"/>
      <c r="AC7" s="42" t="s">
        <v>27</v>
      </c>
      <c r="AD7" s="42" t="s">
        <v>27</v>
      </c>
      <c r="AE7" s="42" t="s">
        <v>27</v>
      </c>
      <c r="AF7" s="64" t="s">
        <v>27</v>
      </c>
      <c r="AG7" s="48">
        <f t="shared" si="0"/>
        <v>15</v>
      </c>
      <c r="AH7" s="48">
        <f t="shared" si="1"/>
        <v>8</v>
      </c>
      <c r="AI7" s="48">
        <f t="shared" si="2"/>
        <v>3</v>
      </c>
      <c r="AJ7" s="51"/>
    </row>
    <row r="8" spans="1:36">
      <c r="A8" s="293" t="s">
        <v>1072</v>
      </c>
      <c r="B8" s="293" t="s">
        <v>1073</v>
      </c>
      <c r="C8" s="294">
        <v>21</v>
      </c>
      <c r="D8" s="294" t="s">
        <v>35</v>
      </c>
      <c r="E8" s="294">
        <v>953407317</v>
      </c>
      <c r="F8" s="42" t="s">
        <v>27</v>
      </c>
      <c r="G8" s="42" t="s">
        <v>19</v>
      </c>
      <c r="H8" s="42" t="s">
        <v>27</v>
      </c>
      <c r="I8" s="42" t="s">
        <v>19</v>
      </c>
      <c r="J8" s="42" t="s">
        <v>27</v>
      </c>
      <c r="K8" s="42" t="s">
        <v>27</v>
      </c>
      <c r="L8" s="42" t="s">
        <v>27</v>
      </c>
      <c r="M8" s="42" t="s">
        <v>19</v>
      </c>
      <c r="N8" s="42" t="s">
        <v>27</v>
      </c>
      <c r="O8" s="42" t="s">
        <v>19</v>
      </c>
      <c r="P8" s="42" t="s">
        <v>19</v>
      </c>
      <c r="Q8" s="42" t="s">
        <v>27</v>
      </c>
      <c r="R8" s="42" t="s">
        <v>19</v>
      </c>
      <c r="S8" s="42" t="s">
        <v>19</v>
      </c>
      <c r="T8" s="42" t="s">
        <v>19</v>
      </c>
      <c r="U8" s="170"/>
      <c r="V8" s="170"/>
      <c r="W8" s="42" t="s">
        <v>19</v>
      </c>
      <c r="X8" s="42" t="s">
        <v>19</v>
      </c>
      <c r="Y8" s="42" t="s">
        <v>27</v>
      </c>
      <c r="Z8" s="42" t="s">
        <v>19</v>
      </c>
      <c r="AA8" s="170"/>
      <c r="AB8" s="170"/>
      <c r="AC8" s="42" t="s">
        <v>19</v>
      </c>
      <c r="AD8" s="42" t="s">
        <v>19</v>
      </c>
      <c r="AE8" s="42" t="s">
        <v>19</v>
      </c>
      <c r="AF8" s="64" t="s">
        <v>27</v>
      </c>
      <c r="AG8" s="48">
        <f t="shared" si="0"/>
        <v>9</v>
      </c>
      <c r="AH8" s="48">
        <f t="shared" si="1"/>
        <v>14</v>
      </c>
      <c r="AI8" s="48">
        <f t="shared" si="2"/>
        <v>1.8</v>
      </c>
      <c r="AJ8" s="51"/>
    </row>
    <row r="9" spans="1:36">
      <c r="A9" s="293" t="s">
        <v>1074</v>
      </c>
      <c r="B9" s="293" t="s">
        <v>1075</v>
      </c>
      <c r="C9" s="294">
        <v>32</v>
      </c>
      <c r="D9" s="294" t="s">
        <v>26</v>
      </c>
      <c r="E9" s="294">
        <v>940166140</v>
      </c>
      <c r="F9" s="42" t="s">
        <v>27</v>
      </c>
      <c r="G9" s="42" t="s">
        <v>27</v>
      </c>
      <c r="H9" s="42" t="s">
        <v>27</v>
      </c>
      <c r="I9" s="42" t="s">
        <v>27</v>
      </c>
      <c r="J9" s="42" t="s">
        <v>27</v>
      </c>
      <c r="K9" s="42" t="s">
        <v>27</v>
      </c>
      <c r="L9" s="42" t="s">
        <v>27</v>
      </c>
      <c r="M9" s="42" t="s">
        <v>27</v>
      </c>
      <c r="N9" s="42" t="s">
        <v>27</v>
      </c>
      <c r="O9" s="42" t="s">
        <v>27</v>
      </c>
      <c r="P9" s="42" t="s">
        <v>27</v>
      </c>
      <c r="Q9" s="42" t="s">
        <v>112</v>
      </c>
      <c r="R9" s="42" t="s">
        <v>19</v>
      </c>
      <c r="S9" s="42" t="s">
        <v>27</v>
      </c>
      <c r="T9" s="42" t="s">
        <v>27</v>
      </c>
      <c r="U9" s="170"/>
      <c r="V9" s="170"/>
      <c r="W9" s="42" t="s">
        <v>19</v>
      </c>
      <c r="X9" s="42" t="s">
        <v>27</v>
      </c>
      <c r="Y9" s="42" t="s">
        <v>27</v>
      </c>
      <c r="Z9" s="42" t="s">
        <v>19</v>
      </c>
      <c r="AA9" s="170"/>
      <c r="AB9" s="170"/>
      <c r="AC9" s="42" t="s">
        <v>19</v>
      </c>
      <c r="AD9" s="42" t="s">
        <v>27</v>
      </c>
      <c r="AE9" s="42" t="s">
        <v>27</v>
      </c>
      <c r="AF9" s="64" t="s">
        <v>27</v>
      </c>
      <c r="AG9" s="48">
        <f t="shared" si="0"/>
        <v>18</v>
      </c>
      <c r="AH9" s="48">
        <f t="shared" si="1"/>
        <v>4</v>
      </c>
      <c r="AI9" s="48">
        <f t="shared" si="2"/>
        <v>3.6</v>
      </c>
      <c r="AJ9" s="51"/>
    </row>
    <row r="10" spans="1:36">
      <c r="A10" s="293" t="s">
        <v>1076</v>
      </c>
      <c r="B10" s="293" t="s">
        <v>1077</v>
      </c>
      <c r="C10" s="294">
        <v>23</v>
      </c>
      <c r="D10" s="294" t="s">
        <v>35</v>
      </c>
      <c r="E10" s="294">
        <v>923668952</v>
      </c>
      <c r="F10" s="42" t="s">
        <v>27</v>
      </c>
      <c r="G10" s="42" t="s">
        <v>27</v>
      </c>
      <c r="H10" s="42" t="s">
        <v>27</v>
      </c>
      <c r="I10" s="42" t="s">
        <v>27</v>
      </c>
      <c r="J10" s="42" t="s">
        <v>27</v>
      </c>
      <c r="K10" s="42" t="s">
        <v>27</v>
      </c>
      <c r="L10" s="42" t="s">
        <v>27</v>
      </c>
      <c r="M10" s="42" t="s">
        <v>27</v>
      </c>
      <c r="N10" s="42" t="s">
        <v>27</v>
      </c>
      <c r="O10" s="42" t="s">
        <v>27</v>
      </c>
      <c r="P10" s="42" t="s">
        <v>19</v>
      </c>
      <c r="Q10" s="42" t="s">
        <v>27</v>
      </c>
      <c r="R10" s="42" t="s">
        <v>19</v>
      </c>
      <c r="S10" s="42" t="s">
        <v>27</v>
      </c>
      <c r="T10" s="42" t="s">
        <v>27</v>
      </c>
      <c r="U10" s="170"/>
      <c r="V10" s="170"/>
      <c r="W10" s="42" t="s">
        <v>27</v>
      </c>
      <c r="X10" s="42" t="s">
        <v>27</v>
      </c>
      <c r="Y10" s="42" t="s">
        <v>27</v>
      </c>
      <c r="Z10" s="42" t="s">
        <v>27</v>
      </c>
      <c r="AA10" s="170"/>
      <c r="AB10" s="170"/>
      <c r="AC10" s="42" t="s">
        <v>27</v>
      </c>
      <c r="AD10" s="42" t="s">
        <v>27</v>
      </c>
      <c r="AE10" s="42" t="s">
        <v>27</v>
      </c>
      <c r="AF10" s="64" t="s">
        <v>27</v>
      </c>
      <c r="AG10" s="48">
        <f t="shared" si="0"/>
        <v>21</v>
      </c>
      <c r="AH10" s="48">
        <f t="shared" si="1"/>
        <v>2</v>
      </c>
      <c r="AI10" s="48">
        <f t="shared" si="2"/>
        <v>4.2</v>
      </c>
      <c r="AJ10" s="51"/>
    </row>
    <row r="11" spans="1:36">
      <c r="A11" s="293" t="s">
        <v>1078</v>
      </c>
      <c r="B11" s="293" t="s">
        <v>1079</v>
      </c>
      <c r="C11" s="294">
        <v>17</v>
      </c>
      <c r="D11" s="294" t="s">
        <v>26</v>
      </c>
      <c r="E11" s="294">
        <v>976605042</v>
      </c>
      <c r="F11" s="42" t="s">
        <v>27</v>
      </c>
      <c r="G11" s="42" t="s">
        <v>27</v>
      </c>
      <c r="H11" s="42" t="s">
        <v>19</v>
      </c>
      <c r="I11" s="42" t="s">
        <v>19</v>
      </c>
      <c r="J11" s="42" t="s">
        <v>19</v>
      </c>
      <c r="K11" s="42" t="s">
        <v>19</v>
      </c>
      <c r="L11" s="42" t="s">
        <v>19</v>
      </c>
      <c r="M11" s="42" t="s">
        <v>19</v>
      </c>
      <c r="N11" s="42" t="s">
        <v>19</v>
      </c>
      <c r="O11" s="42" t="s">
        <v>19</v>
      </c>
      <c r="P11" s="42" t="s">
        <v>19</v>
      </c>
      <c r="Q11" s="42" t="s">
        <v>19</v>
      </c>
      <c r="R11" s="42" t="s">
        <v>19</v>
      </c>
      <c r="S11" s="42" t="s">
        <v>19</v>
      </c>
      <c r="T11" s="42" t="s">
        <v>27</v>
      </c>
      <c r="U11" s="170"/>
      <c r="V11" s="170"/>
      <c r="W11" s="42" t="s">
        <v>19</v>
      </c>
      <c r="X11" s="42" t="s">
        <v>19</v>
      </c>
      <c r="Y11" s="42" t="s">
        <v>27</v>
      </c>
      <c r="Z11" s="42" t="s">
        <v>27</v>
      </c>
      <c r="AA11" s="170"/>
      <c r="AB11" s="170"/>
      <c r="AC11" s="42" t="s">
        <v>27</v>
      </c>
      <c r="AD11" s="42" t="s">
        <v>27</v>
      </c>
      <c r="AE11" s="42" t="s">
        <v>27</v>
      </c>
      <c r="AF11" s="64" t="s">
        <v>27</v>
      </c>
      <c r="AG11" s="48">
        <f t="shared" si="0"/>
        <v>9</v>
      </c>
      <c r="AH11" s="48">
        <f t="shared" si="1"/>
        <v>14</v>
      </c>
      <c r="AI11" s="48">
        <f t="shared" si="2"/>
        <v>1.8</v>
      </c>
      <c r="AJ11" s="51"/>
    </row>
    <row r="12" spans="1:36">
      <c r="A12" s="293" t="s">
        <v>1080</v>
      </c>
      <c r="B12" s="293" t="s">
        <v>1081</v>
      </c>
      <c r="C12" s="294">
        <v>27</v>
      </c>
      <c r="D12" s="294" t="s">
        <v>26</v>
      </c>
      <c r="E12" s="294">
        <v>923976444</v>
      </c>
      <c r="F12" s="42" t="s">
        <v>19</v>
      </c>
      <c r="G12" s="42" t="s">
        <v>19</v>
      </c>
      <c r="H12" s="42" t="s">
        <v>27</v>
      </c>
      <c r="I12" s="42" t="s">
        <v>27</v>
      </c>
      <c r="J12" s="42" t="s">
        <v>27</v>
      </c>
      <c r="K12" s="42" t="s">
        <v>27</v>
      </c>
      <c r="L12" s="42" t="s">
        <v>27</v>
      </c>
      <c r="M12" s="42" t="s">
        <v>27</v>
      </c>
      <c r="N12" s="42" t="s">
        <v>27</v>
      </c>
      <c r="O12" s="42" t="s">
        <v>27</v>
      </c>
      <c r="P12" s="42" t="s">
        <v>27</v>
      </c>
      <c r="Q12" s="42" t="s">
        <v>27</v>
      </c>
      <c r="R12" s="42" t="s">
        <v>27</v>
      </c>
      <c r="S12" s="42" t="s">
        <v>27</v>
      </c>
      <c r="T12" s="42" t="s">
        <v>19</v>
      </c>
      <c r="U12" s="170"/>
      <c r="V12" s="170"/>
      <c r="W12" s="42" t="s">
        <v>27</v>
      </c>
      <c r="X12" s="42" t="s">
        <v>27</v>
      </c>
      <c r="Y12" s="42" t="s">
        <v>27</v>
      </c>
      <c r="Z12" s="42" t="s">
        <v>27</v>
      </c>
      <c r="AA12" s="170"/>
      <c r="AB12" s="170"/>
      <c r="AC12" s="42" t="s">
        <v>27</v>
      </c>
      <c r="AD12" s="42" t="s">
        <v>27</v>
      </c>
      <c r="AE12" s="42" t="s">
        <v>27</v>
      </c>
      <c r="AF12" s="64" t="s">
        <v>27</v>
      </c>
      <c r="AG12" s="48">
        <f t="shared" si="0"/>
        <v>20</v>
      </c>
      <c r="AH12" s="48">
        <f t="shared" si="1"/>
        <v>3</v>
      </c>
      <c r="AI12" s="48">
        <f t="shared" si="2"/>
        <v>4</v>
      </c>
      <c r="AJ12" s="51"/>
    </row>
    <row r="13" spans="1:36">
      <c r="A13" s="293" t="s">
        <v>1082</v>
      </c>
      <c r="B13" s="293" t="s">
        <v>1083</v>
      </c>
      <c r="C13" s="294">
        <v>31</v>
      </c>
      <c r="D13" s="294" t="s">
        <v>35</v>
      </c>
      <c r="E13" s="294">
        <v>927696698</v>
      </c>
      <c r="F13" s="42" t="s">
        <v>19</v>
      </c>
      <c r="G13" s="42" t="s">
        <v>19</v>
      </c>
      <c r="H13" s="42" t="s">
        <v>27</v>
      </c>
      <c r="I13" s="42" t="s">
        <v>27</v>
      </c>
      <c r="J13" s="42" t="s">
        <v>27</v>
      </c>
      <c r="K13" s="42" t="s">
        <v>27</v>
      </c>
      <c r="L13" s="42" t="s">
        <v>27</v>
      </c>
      <c r="M13" s="42" t="s">
        <v>27</v>
      </c>
      <c r="N13" s="42" t="s">
        <v>27</v>
      </c>
      <c r="O13" s="42" t="s">
        <v>27</v>
      </c>
      <c r="P13" s="42" t="s">
        <v>27</v>
      </c>
      <c r="Q13" s="42" t="s">
        <v>27</v>
      </c>
      <c r="R13" s="42" t="s">
        <v>19</v>
      </c>
      <c r="S13" s="42" t="s">
        <v>112</v>
      </c>
      <c r="T13" s="42" t="s">
        <v>27</v>
      </c>
      <c r="U13" s="170"/>
      <c r="V13" s="170"/>
      <c r="W13" s="42" t="s">
        <v>27</v>
      </c>
      <c r="X13" s="42" t="s">
        <v>27</v>
      </c>
      <c r="Y13" s="42" t="s">
        <v>27</v>
      </c>
      <c r="Z13" s="42" t="s">
        <v>27</v>
      </c>
      <c r="AA13" s="170"/>
      <c r="AB13" s="170"/>
      <c r="AC13" s="42" t="s">
        <v>27</v>
      </c>
      <c r="AD13" s="42" t="s">
        <v>27</v>
      </c>
      <c r="AE13" s="42" t="s">
        <v>27</v>
      </c>
      <c r="AF13" s="64" t="s">
        <v>27</v>
      </c>
      <c r="AG13" s="48">
        <f t="shared" si="0"/>
        <v>19</v>
      </c>
      <c r="AH13" s="48">
        <f t="shared" si="1"/>
        <v>3</v>
      </c>
      <c r="AI13" s="48">
        <f t="shared" si="2"/>
        <v>3.8</v>
      </c>
      <c r="AJ13" s="51"/>
    </row>
    <row r="14" spans="1:36">
      <c r="A14" s="293" t="s">
        <v>1084</v>
      </c>
      <c r="B14" s="293" t="s">
        <v>1085</v>
      </c>
      <c r="C14" s="294">
        <v>28</v>
      </c>
      <c r="D14" s="294" t="s">
        <v>35</v>
      </c>
      <c r="E14" s="294">
        <v>975350500</v>
      </c>
      <c r="F14" s="42" t="s">
        <v>27</v>
      </c>
      <c r="G14" s="42" t="s">
        <v>19</v>
      </c>
      <c r="H14" s="42" t="s">
        <v>27</v>
      </c>
      <c r="I14" s="42" t="s">
        <v>27</v>
      </c>
      <c r="J14" s="42" t="s">
        <v>19</v>
      </c>
      <c r="K14" s="42" t="s">
        <v>27</v>
      </c>
      <c r="L14" s="42" t="s">
        <v>27</v>
      </c>
      <c r="M14" s="42" t="s">
        <v>27</v>
      </c>
      <c r="N14" s="42" t="s">
        <v>27</v>
      </c>
      <c r="O14" s="42" t="s">
        <v>19</v>
      </c>
      <c r="P14" s="42" t="s">
        <v>27</v>
      </c>
      <c r="Q14" s="42" t="s">
        <v>112</v>
      </c>
      <c r="R14" s="42" t="s">
        <v>19</v>
      </c>
      <c r="S14" s="42" t="s">
        <v>27</v>
      </c>
      <c r="T14" s="42" t="s">
        <v>27</v>
      </c>
      <c r="U14" s="170"/>
      <c r="V14" s="170"/>
      <c r="W14" s="42" t="s">
        <v>19</v>
      </c>
      <c r="X14" s="42" t="s">
        <v>19</v>
      </c>
      <c r="Y14" s="42" t="s">
        <v>27</v>
      </c>
      <c r="Z14" s="42" t="s">
        <v>27</v>
      </c>
      <c r="AA14" s="170"/>
      <c r="AB14" s="170"/>
      <c r="AC14" s="42" t="s">
        <v>27</v>
      </c>
      <c r="AD14" s="42" t="s">
        <v>27</v>
      </c>
      <c r="AE14" s="42" t="s">
        <v>27</v>
      </c>
      <c r="AF14" s="64" t="s">
        <v>27</v>
      </c>
      <c r="AG14" s="48">
        <f t="shared" si="0"/>
        <v>16</v>
      </c>
      <c r="AH14" s="48">
        <f t="shared" si="1"/>
        <v>6</v>
      </c>
      <c r="AI14" s="48">
        <f t="shared" si="2"/>
        <v>3.2</v>
      </c>
      <c r="AJ14" s="51"/>
    </row>
    <row r="15" spans="1:36">
      <c r="A15" s="293" t="s">
        <v>1086</v>
      </c>
      <c r="B15" s="293" t="s">
        <v>1087</v>
      </c>
      <c r="C15" s="294">
        <v>30</v>
      </c>
      <c r="D15" s="294" t="s">
        <v>26</v>
      </c>
      <c r="E15" s="294">
        <v>911265537</v>
      </c>
      <c r="F15" s="42" t="s">
        <v>27</v>
      </c>
      <c r="G15" s="42" t="s">
        <v>19</v>
      </c>
      <c r="H15" s="42" t="s">
        <v>27</v>
      </c>
      <c r="I15" s="42" t="s">
        <v>27</v>
      </c>
      <c r="J15" s="42" t="s">
        <v>27</v>
      </c>
      <c r="K15" s="42" t="s">
        <v>27</v>
      </c>
      <c r="L15" s="42" t="s">
        <v>27</v>
      </c>
      <c r="M15" s="42" t="s">
        <v>27</v>
      </c>
      <c r="N15" s="42" t="s">
        <v>27</v>
      </c>
      <c r="O15" s="42" t="s">
        <v>27</v>
      </c>
      <c r="P15" s="42" t="s">
        <v>27</v>
      </c>
      <c r="Q15" s="42" t="s">
        <v>27</v>
      </c>
      <c r="R15" s="42" t="s">
        <v>27</v>
      </c>
      <c r="S15" s="42" t="s">
        <v>27</v>
      </c>
      <c r="T15" s="42" t="s">
        <v>27</v>
      </c>
      <c r="U15" s="170"/>
      <c r="V15" s="170"/>
      <c r="W15" s="42" t="s">
        <v>27</v>
      </c>
      <c r="X15" s="42" t="s">
        <v>27</v>
      </c>
      <c r="Y15" s="42" t="s">
        <v>27</v>
      </c>
      <c r="Z15" s="42" t="s">
        <v>27</v>
      </c>
      <c r="AA15" s="170"/>
      <c r="AB15" s="170"/>
      <c r="AC15" s="42" t="s">
        <v>27</v>
      </c>
      <c r="AD15" s="42" t="s">
        <v>27</v>
      </c>
      <c r="AE15" s="42" t="s">
        <v>27</v>
      </c>
      <c r="AF15" s="64" t="s">
        <v>27</v>
      </c>
      <c r="AG15" s="48">
        <f t="shared" si="0"/>
        <v>22</v>
      </c>
      <c r="AH15" s="48">
        <f t="shared" si="1"/>
        <v>1</v>
      </c>
      <c r="AI15" s="48">
        <f t="shared" si="2"/>
        <v>4.4000000000000004</v>
      </c>
      <c r="AJ15" s="51"/>
    </row>
    <row r="16" spans="1:36">
      <c r="A16" s="293" t="s">
        <v>1088</v>
      </c>
      <c r="B16" s="293" t="s">
        <v>1089</v>
      </c>
      <c r="C16" s="294">
        <v>31</v>
      </c>
      <c r="D16" s="294" t="s">
        <v>26</v>
      </c>
      <c r="E16" s="294">
        <v>920967332</v>
      </c>
      <c r="F16" s="42" t="s">
        <v>27</v>
      </c>
      <c r="G16" s="42" t="s">
        <v>19</v>
      </c>
      <c r="H16" s="42" t="s">
        <v>27</v>
      </c>
      <c r="I16" s="42" t="s">
        <v>27</v>
      </c>
      <c r="J16" s="42" t="s">
        <v>27</v>
      </c>
      <c r="K16" s="42" t="s">
        <v>27</v>
      </c>
      <c r="L16" s="42" t="s">
        <v>27</v>
      </c>
      <c r="M16" s="42" t="s">
        <v>27</v>
      </c>
      <c r="N16" s="42" t="s">
        <v>27</v>
      </c>
      <c r="O16" s="42" t="s">
        <v>27</v>
      </c>
      <c r="P16" s="42" t="s">
        <v>27</v>
      </c>
      <c r="Q16" s="42" t="s">
        <v>27</v>
      </c>
      <c r="R16" s="42" t="s">
        <v>19</v>
      </c>
      <c r="S16" s="42" t="s">
        <v>27</v>
      </c>
      <c r="T16" s="42" t="s">
        <v>112</v>
      </c>
      <c r="U16" s="170"/>
      <c r="V16" s="170"/>
      <c r="W16" s="42" t="s">
        <v>27</v>
      </c>
      <c r="X16" s="42" t="s">
        <v>27</v>
      </c>
      <c r="Y16" s="42" t="s">
        <v>27</v>
      </c>
      <c r="Z16" s="42" t="s">
        <v>27</v>
      </c>
      <c r="AA16" s="170"/>
      <c r="AB16" s="170"/>
      <c r="AC16" s="42" t="s">
        <v>27</v>
      </c>
      <c r="AD16" s="42" t="s">
        <v>27</v>
      </c>
      <c r="AE16" s="42" t="s">
        <v>19</v>
      </c>
      <c r="AF16" s="64" t="s">
        <v>19</v>
      </c>
      <c r="AG16" s="48">
        <f t="shared" si="0"/>
        <v>18</v>
      </c>
      <c r="AH16" s="48">
        <f t="shared" si="1"/>
        <v>4</v>
      </c>
      <c r="AI16" s="48">
        <f t="shared" si="2"/>
        <v>3.6</v>
      </c>
      <c r="AJ16" s="51"/>
    </row>
    <row r="17" spans="1:36">
      <c r="A17" s="293" t="s">
        <v>1090</v>
      </c>
      <c r="B17" s="293" t="s">
        <v>1091</v>
      </c>
      <c r="C17" s="294">
        <v>23</v>
      </c>
      <c r="D17" s="294" t="s">
        <v>26</v>
      </c>
      <c r="E17" s="294">
        <v>979941292</v>
      </c>
      <c r="F17" s="42" t="s">
        <v>19</v>
      </c>
      <c r="G17" s="42" t="s">
        <v>19</v>
      </c>
      <c r="H17" s="42" t="s">
        <v>27</v>
      </c>
      <c r="I17" s="42" t="s">
        <v>27</v>
      </c>
      <c r="J17" s="42" t="s">
        <v>19</v>
      </c>
      <c r="K17" s="42" t="s">
        <v>27</v>
      </c>
      <c r="L17" s="42" t="s">
        <v>27</v>
      </c>
      <c r="M17" s="42" t="s">
        <v>27</v>
      </c>
      <c r="N17" s="42" t="s">
        <v>27</v>
      </c>
      <c r="O17" s="42" t="s">
        <v>27</v>
      </c>
      <c r="P17" s="42" t="s">
        <v>27</v>
      </c>
      <c r="Q17" s="42" t="s">
        <v>19</v>
      </c>
      <c r="R17" s="42" t="s">
        <v>27</v>
      </c>
      <c r="S17" s="42" t="s">
        <v>27</v>
      </c>
      <c r="T17" s="42" t="s">
        <v>27</v>
      </c>
      <c r="U17" s="170"/>
      <c r="V17" s="170"/>
      <c r="W17" s="42" t="s">
        <v>19</v>
      </c>
      <c r="X17" s="42" t="s">
        <v>19</v>
      </c>
      <c r="Y17" s="42" t="s">
        <v>19</v>
      </c>
      <c r="Z17" s="42" t="s">
        <v>27</v>
      </c>
      <c r="AA17" s="170"/>
      <c r="AB17" s="170"/>
      <c r="AC17" s="42" t="s">
        <v>27</v>
      </c>
      <c r="AD17" s="42" t="s">
        <v>27</v>
      </c>
      <c r="AE17" s="42" t="s">
        <v>19</v>
      </c>
      <c r="AF17" s="64" t="s">
        <v>19</v>
      </c>
      <c r="AG17" s="48">
        <f t="shared" si="0"/>
        <v>14</v>
      </c>
      <c r="AH17" s="48">
        <f t="shared" si="1"/>
        <v>9</v>
      </c>
      <c r="AI17" s="48">
        <f t="shared" si="2"/>
        <v>2.8</v>
      </c>
      <c r="AJ17" s="51"/>
    </row>
    <row r="18" spans="1:36">
      <c r="A18" s="293" t="s">
        <v>1092</v>
      </c>
      <c r="B18" s="293" t="s">
        <v>1093</v>
      </c>
      <c r="C18" s="294">
        <v>20</v>
      </c>
      <c r="D18" s="294" t="s">
        <v>26</v>
      </c>
      <c r="E18" s="294">
        <v>900481387</v>
      </c>
      <c r="F18" s="42" t="s">
        <v>27</v>
      </c>
      <c r="G18" s="42" t="s">
        <v>19</v>
      </c>
      <c r="H18" s="42" t="s">
        <v>27</v>
      </c>
      <c r="I18" s="42" t="s">
        <v>27</v>
      </c>
      <c r="J18" s="42" t="s">
        <v>27</v>
      </c>
      <c r="K18" s="42" t="s">
        <v>27</v>
      </c>
      <c r="L18" s="42" t="s">
        <v>27</v>
      </c>
      <c r="M18" s="42" t="s">
        <v>27</v>
      </c>
      <c r="N18" s="42" t="s">
        <v>27</v>
      </c>
      <c r="O18" s="42" t="s">
        <v>27</v>
      </c>
      <c r="P18" s="42" t="s">
        <v>27</v>
      </c>
      <c r="Q18" s="42" t="s">
        <v>19</v>
      </c>
      <c r="R18" s="42" t="s">
        <v>27</v>
      </c>
      <c r="S18" s="42" t="s">
        <v>19</v>
      </c>
      <c r="T18" s="42" t="s">
        <v>27</v>
      </c>
      <c r="U18" s="170"/>
      <c r="V18" s="170"/>
      <c r="W18" s="42" t="s">
        <v>27</v>
      </c>
      <c r="X18" s="42" t="s">
        <v>19</v>
      </c>
      <c r="Y18" s="42" t="s">
        <v>27</v>
      </c>
      <c r="Z18" s="42" t="s">
        <v>27</v>
      </c>
      <c r="AA18" s="170"/>
      <c r="AB18" s="170"/>
      <c r="AC18" s="42" t="s">
        <v>27</v>
      </c>
      <c r="AD18" s="42" t="s">
        <v>27</v>
      </c>
      <c r="AE18" s="42" t="s">
        <v>27</v>
      </c>
      <c r="AF18" s="64" t="s">
        <v>27</v>
      </c>
      <c r="AG18" s="48">
        <f t="shared" si="0"/>
        <v>19</v>
      </c>
      <c r="AH18" s="48">
        <f t="shared" si="1"/>
        <v>4</v>
      </c>
      <c r="AI18" s="48">
        <f t="shared" si="2"/>
        <v>3.8</v>
      </c>
      <c r="AJ18" s="51"/>
    </row>
    <row r="19" spans="1:36">
      <c r="A19" s="293" t="s">
        <v>1094</v>
      </c>
      <c r="B19" s="293" t="s">
        <v>1095</v>
      </c>
      <c r="C19" s="303"/>
      <c r="D19" s="294" t="s">
        <v>35</v>
      </c>
      <c r="E19" s="304">
        <v>943049499</v>
      </c>
      <c r="F19" s="42" t="s">
        <v>27</v>
      </c>
      <c r="G19" s="42" t="s">
        <v>19</v>
      </c>
      <c r="H19" s="42" t="s">
        <v>19</v>
      </c>
      <c r="I19" s="42" t="s">
        <v>19</v>
      </c>
      <c r="J19" s="42" t="s">
        <v>19</v>
      </c>
      <c r="K19" s="42" t="s">
        <v>19</v>
      </c>
      <c r="L19" s="42" t="s">
        <v>19</v>
      </c>
      <c r="M19" s="42" t="s">
        <v>19</v>
      </c>
      <c r="N19" s="42" t="s">
        <v>19</v>
      </c>
      <c r="O19" s="42" t="s">
        <v>27</v>
      </c>
      <c r="P19" s="42" t="s">
        <v>27</v>
      </c>
      <c r="Q19" s="42" t="s">
        <v>27</v>
      </c>
      <c r="R19" s="42" t="s">
        <v>27</v>
      </c>
      <c r="S19" s="42" t="s">
        <v>27</v>
      </c>
      <c r="T19" s="42" t="s">
        <v>19</v>
      </c>
      <c r="U19" s="170"/>
      <c r="V19" s="170"/>
      <c r="W19" s="42" t="s">
        <v>19</v>
      </c>
      <c r="X19" s="42" t="s">
        <v>27</v>
      </c>
      <c r="Y19" s="42" t="s">
        <v>19</v>
      </c>
      <c r="Z19" s="42" t="s">
        <v>27</v>
      </c>
      <c r="AA19" s="170"/>
      <c r="AB19" s="170"/>
      <c r="AC19" s="42" t="s">
        <v>27</v>
      </c>
      <c r="AD19" s="42" t="s">
        <v>27</v>
      </c>
      <c r="AE19" s="42" t="s">
        <v>19</v>
      </c>
      <c r="AF19" s="64" t="s">
        <v>27</v>
      </c>
      <c r="AG19" s="48">
        <f t="shared" si="0"/>
        <v>11</v>
      </c>
      <c r="AH19" s="48">
        <f t="shared" si="1"/>
        <v>12</v>
      </c>
      <c r="AI19" s="48">
        <f t="shared" si="2"/>
        <v>2.2000000000000002</v>
      </c>
      <c r="AJ19" s="51"/>
    </row>
    <row r="20" spans="1:36">
      <c r="A20" s="293" t="s">
        <v>1096</v>
      </c>
      <c r="B20" s="293" t="s">
        <v>1097</v>
      </c>
      <c r="C20" s="294">
        <v>26</v>
      </c>
      <c r="D20" s="294" t="s">
        <v>35</v>
      </c>
      <c r="E20" s="294">
        <v>953421063</v>
      </c>
      <c r="F20" s="42" t="s">
        <v>27</v>
      </c>
      <c r="G20" s="42" t="s">
        <v>27</v>
      </c>
      <c r="H20" s="42" t="s">
        <v>19</v>
      </c>
      <c r="I20" s="42" t="s">
        <v>27</v>
      </c>
      <c r="J20" s="42" t="s">
        <v>27</v>
      </c>
      <c r="K20" s="42" t="s">
        <v>27</v>
      </c>
      <c r="L20" s="42" t="s">
        <v>27</v>
      </c>
      <c r="M20" s="42" t="s">
        <v>19</v>
      </c>
      <c r="N20" s="42" t="s">
        <v>27</v>
      </c>
      <c r="O20" s="42" t="s">
        <v>19</v>
      </c>
      <c r="P20" s="42" t="s">
        <v>19</v>
      </c>
      <c r="Q20" s="42" t="s">
        <v>112</v>
      </c>
      <c r="R20" s="42" t="s">
        <v>19</v>
      </c>
      <c r="S20" s="42" t="s">
        <v>19</v>
      </c>
      <c r="T20" s="42" t="s">
        <v>19</v>
      </c>
      <c r="U20" s="170"/>
      <c r="V20" s="170"/>
      <c r="W20" s="42" t="s">
        <v>27</v>
      </c>
      <c r="X20" s="42" t="s">
        <v>27</v>
      </c>
      <c r="Y20" s="42" t="s">
        <v>27</v>
      </c>
      <c r="Z20" s="42" t="s">
        <v>27</v>
      </c>
      <c r="AA20" s="170"/>
      <c r="AB20" s="170"/>
      <c r="AC20" s="42" t="s">
        <v>27</v>
      </c>
      <c r="AD20" s="42" t="s">
        <v>27</v>
      </c>
      <c r="AE20" s="42" t="s">
        <v>27</v>
      </c>
      <c r="AF20" s="64" t="s">
        <v>27</v>
      </c>
      <c r="AG20" s="48">
        <f t="shared" si="0"/>
        <v>15</v>
      </c>
      <c r="AH20" s="48">
        <f t="shared" si="1"/>
        <v>7</v>
      </c>
      <c r="AI20" s="48">
        <f t="shared" si="2"/>
        <v>3</v>
      </c>
      <c r="AJ20" s="51"/>
    </row>
    <row r="21" spans="1:36">
      <c r="A21" s="306" t="s">
        <v>1098</v>
      </c>
      <c r="B21" s="306" t="s">
        <v>1099</v>
      </c>
      <c r="C21" s="307">
        <v>35</v>
      </c>
      <c r="D21" s="307" t="s">
        <v>26</v>
      </c>
      <c r="E21" s="307">
        <v>924308358</v>
      </c>
      <c r="F21" s="42" t="s">
        <v>19</v>
      </c>
      <c r="G21" s="42" t="s">
        <v>27</v>
      </c>
      <c r="H21" s="42" t="s">
        <v>19</v>
      </c>
      <c r="I21" s="42" t="s">
        <v>19</v>
      </c>
      <c r="J21" s="42" t="s">
        <v>19</v>
      </c>
      <c r="K21" s="42" t="s">
        <v>19</v>
      </c>
      <c r="L21" s="42" t="s">
        <v>27</v>
      </c>
      <c r="M21" s="42" t="s">
        <v>19</v>
      </c>
      <c r="N21" s="42" t="s">
        <v>19</v>
      </c>
      <c r="O21" s="42" t="s">
        <v>19</v>
      </c>
      <c r="P21" s="42" t="s">
        <v>19</v>
      </c>
      <c r="Q21" s="42" t="s">
        <v>19</v>
      </c>
      <c r="R21" s="42" t="s">
        <v>19</v>
      </c>
      <c r="S21" s="42" t="s">
        <v>19</v>
      </c>
      <c r="T21" s="42" t="s">
        <v>19</v>
      </c>
      <c r="U21" s="170"/>
      <c r="V21" s="170"/>
      <c r="W21" s="42" t="s">
        <v>19</v>
      </c>
      <c r="X21" s="42" t="s">
        <v>19</v>
      </c>
      <c r="Y21" s="42" t="s">
        <v>19</v>
      </c>
      <c r="Z21" s="42" t="s">
        <v>19</v>
      </c>
      <c r="AA21" s="170"/>
      <c r="AB21" s="170"/>
      <c r="AC21" s="42" t="s">
        <v>19</v>
      </c>
      <c r="AD21" s="42" t="s">
        <v>19</v>
      </c>
      <c r="AE21" s="42" t="s">
        <v>19</v>
      </c>
      <c r="AF21" s="64" t="s">
        <v>27</v>
      </c>
      <c r="AG21" s="48">
        <f t="shared" si="0"/>
        <v>3</v>
      </c>
      <c r="AH21" s="48">
        <f t="shared" si="1"/>
        <v>20</v>
      </c>
      <c r="AI21" s="48">
        <f t="shared" si="2"/>
        <v>0.6</v>
      </c>
      <c r="AJ21" s="51"/>
    </row>
    <row r="22" spans="1:36">
      <c r="A22" s="306" t="s">
        <v>1100</v>
      </c>
      <c r="B22" s="306" t="s">
        <v>1101</v>
      </c>
      <c r="C22" s="307">
        <v>36</v>
      </c>
      <c r="D22" s="307" t="s">
        <v>26</v>
      </c>
      <c r="E22" s="307">
        <v>913506881</v>
      </c>
      <c r="F22" s="42" t="s">
        <v>27</v>
      </c>
      <c r="G22" s="42" t="s">
        <v>27</v>
      </c>
      <c r="H22" s="42" t="s">
        <v>27</v>
      </c>
      <c r="I22" s="42" t="s">
        <v>27</v>
      </c>
      <c r="J22" s="42" t="s">
        <v>27</v>
      </c>
      <c r="K22" s="42" t="s">
        <v>27</v>
      </c>
      <c r="L22" s="42" t="s">
        <v>27</v>
      </c>
      <c r="M22" s="42" t="s">
        <v>19</v>
      </c>
      <c r="N22" s="42" t="s">
        <v>27</v>
      </c>
      <c r="O22" s="42" t="s">
        <v>27</v>
      </c>
      <c r="P22" s="42" t="s">
        <v>27</v>
      </c>
      <c r="Q22" s="42" t="s">
        <v>19</v>
      </c>
      <c r="R22" s="42" t="s">
        <v>19</v>
      </c>
      <c r="S22" s="42" t="s">
        <v>19</v>
      </c>
      <c r="T22" s="42" t="s">
        <v>19</v>
      </c>
      <c r="U22" s="170"/>
      <c r="V22" s="170"/>
      <c r="W22" s="42" t="s">
        <v>19</v>
      </c>
      <c r="X22" s="42" t="s">
        <v>19</v>
      </c>
      <c r="Y22" s="42" t="s">
        <v>19</v>
      </c>
      <c r="Z22" s="42" t="s">
        <v>27</v>
      </c>
      <c r="AA22" s="170"/>
      <c r="AB22" s="170"/>
      <c r="AC22" s="42" t="s">
        <v>27</v>
      </c>
      <c r="AD22" s="42" t="s">
        <v>27</v>
      </c>
      <c r="AE22" s="42" t="s">
        <v>27</v>
      </c>
      <c r="AF22" s="64" t="s">
        <v>27</v>
      </c>
      <c r="AG22" s="48">
        <f t="shared" si="0"/>
        <v>15</v>
      </c>
      <c r="AH22" s="48">
        <f t="shared" si="1"/>
        <v>8</v>
      </c>
      <c r="AI22" s="48">
        <f t="shared" si="2"/>
        <v>3</v>
      </c>
      <c r="AJ22" s="51"/>
    </row>
    <row r="23" spans="1:36">
      <c r="A23" s="306" t="s">
        <v>1102</v>
      </c>
      <c r="B23" s="306" t="s">
        <v>1103</v>
      </c>
      <c r="C23" s="307">
        <v>22</v>
      </c>
      <c r="D23" s="307" t="s">
        <v>35</v>
      </c>
      <c r="E23" s="307">
        <v>938592577</v>
      </c>
      <c r="F23" s="42" t="s">
        <v>19</v>
      </c>
      <c r="G23" s="42" t="s">
        <v>19</v>
      </c>
      <c r="H23" s="42" t="s">
        <v>27</v>
      </c>
      <c r="I23" s="42" t="s">
        <v>19</v>
      </c>
      <c r="J23" s="42" t="s">
        <v>19</v>
      </c>
      <c r="K23" s="42" t="s">
        <v>19</v>
      </c>
      <c r="L23" s="42" t="s">
        <v>27</v>
      </c>
      <c r="M23" s="42" t="s">
        <v>27</v>
      </c>
      <c r="N23" s="42" t="s">
        <v>27</v>
      </c>
      <c r="O23" s="42" t="s">
        <v>27</v>
      </c>
      <c r="P23" s="42" t="s">
        <v>27</v>
      </c>
      <c r="Q23" s="42" t="s">
        <v>27</v>
      </c>
      <c r="R23" s="42" t="s">
        <v>19</v>
      </c>
      <c r="S23" s="42" t="s">
        <v>19</v>
      </c>
      <c r="T23" s="42" t="s">
        <v>19</v>
      </c>
      <c r="U23" s="170"/>
      <c r="V23" s="170"/>
      <c r="W23" s="42" t="s">
        <v>19</v>
      </c>
      <c r="X23" s="42" t="s">
        <v>19</v>
      </c>
      <c r="Y23" s="42" t="s">
        <v>19</v>
      </c>
      <c r="Z23" s="42" t="s">
        <v>19</v>
      </c>
      <c r="AA23" s="170"/>
      <c r="AB23" s="170"/>
      <c r="AC23" s="42" t="s">
        <v>19</v>
      </c>
      <c r="AD23" s="42" t="s">
        <v>19</v>
      </c>
      <c r="AE23" s="42" t="s">
        <v>19</v>
      </c>
      <c r="AF23" s="64" t="s">
        <v>19</v>
      </c>
      <c r="AG23" s="48">
        <f t="shared" si="0"/>
        <v>7</v>
      </c>
      <c r="AH23" s="48">
        <f t="shared" si="1"/>
        <v>16</v>
      </c>
      <c r="AI23" s="48">
        <f t="shared" si="2"/>
        <v>1.4</v>
      </c>
      <c r="AJ23" s="51"/>
    </row>
    <row r="24" spans="1:36">
      <c r="A24" s="306" t="s">
        <v>1104</v>
      </c>
      <c r="B24" s="306" t="s">
        <v>1105</v>
      </c>
      <c r="C24" s="307">
        <v>24</v>
      </c>
      <c r="D24" s="307" t="s">
        <v>26</v>
      </c>
      <c r="E24" s="307">
        <v>902430548</v>
      </c>
      <c r="F24" s="42" t="s">
        <v>19</v>
      </c>
      <c r="G24" s="42" t="s">
        <v>19</v>
      </c>
      <c r="H24" s="42" t="s">
        <v>27</v>
      </c>
      <c r="I24" s="42" t="s">
        <v>27</v>
      </c>
      <c r="J24" s="42" t="s">
        <v>27</v>
      </c>
      <c r="K24" s="42" t="s">
        <v>27</v>
      </c>
      <c r="L24" s="42" t="s">
        <v>27</v>
      </c>
      <c r="M24" s="42" t="s">
        <v>19</v>
      </c>
      <c r="N24" s="42" t="s">
        <v>27</v>
      </c>
      <c r="O24" s="42" t="s">
        <v>27</v>
      </c>
      <c r="P24" s="42" t="s">
        <v>27</v>
      </c>
      <c r="Q24" s="42" t="s">
        <v>27</v>
      </c>
      <c r="R24" s="42" t="s">
        <v>27</v>
      </c>
      <c r="S24" s="42" t="s">
        <v>27</v>
      </c>
      <c r="T24" s="42" t="s">
        <v>27</v>
      </c>
      <c r="U24" s="170"/>
      <c r="V24" s="170"/>
      <c r="W24" s="42" t="s">
        <v>19</v>
      </c>
      <c r="X24" s="42" t="s">
        <v>19</v>
      </c>
      <c r="Y24" s="42" t="s">
        <v>27</v>
      </c>
      <c r="Z24" s="42" t="s">
        <v>27</v>
      </c>
      <c r="AA24" s="170"/>
      <c r="AB24" s="170"/>
      <c r="AC24" s="42" t="s">
        <v>27</v>
      </c>
      <c r="AD24" s="42" t="s">
        <v>27</v>
      </c>
      <c r="AE24" s="42" t="s">
        <v>19</v>
      </c>
      <c r="AF24" s="64" t="s">
        <v>27</v>
      </c>
      <c r="AG24" s="48">
        <f t="shared" si="0"/>
        <v>17</v>
      </c>
      <c r="AH24" s="48">
        <f t="shared" si="1"/>
        <v>6</v>
      </c>
      <c r="AI24" s="48">
        <f t="shared" si="2"/>
        <v>3.4</v>
      </c>
      <c r="AJ24" s="51"/>
    </row>
    <row r="25" spans="1:36">
      <c r="A25" s="44"/>
      <c r="B25" s="285"/>
      <c r="C25" s="60"/>
      <c r="D25" s="60"/>
      <c r="E25" s="60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170"/>
      <c r="V25" s="170"/>
      <c r="W25" s="44"/>
      <c r="X25" s="44"/>
      <c r="Y25" s="44"/>
      <c r="Z25" s="44"/>
      <c r="AA25" s="170"/>
      <c r="AB25" s="170"/>
      <c r="AC25" s="44"/>
      <c r="AD25" s="44"/>
      <c r="AE25" s="44"/>
      <c r="AF25" s="44"/>
      <c r="AG25" s="51"/>
      <c r="AH25" s="51"/>
      <c r="AI25" s="51">
        <f>SUM(AI4:AI24)/21*100</f>
        <v>300</v>
      </c>
      <c r="AJ25" s="51"/>
    </row>
    <row r="26" spans="1:36">
      <c r="A26" s="44"/>
      <c r="B26" s="285"/>
      <c r="C26" s="60"/>
      <c r="D26" s="60"/>
      <c r="E26" s="60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170"/>
      <c r="V26" s="170"/>
      <c r="W26" s="44"/>
      <c r="X26" s="44"/>
      <c r="Y26" s="44"/>
      <c r="Z26" s="44"/>
      <c r="AA26" s="170"/>
      <c r="AB26" s="170"/>
      <c r="AC26" s="44"/>
      <c r="AD26" s="44"/>
      <c r="AE26" s="44"/>
      <c r="AF26" s="44"/>
      <c r="AG26" s="51"/>
      <c r="AH26" s="51"/>
      <c r="AI26" s="51"/>
      <c r="AJ26" s="51"/>
    </row>
    <row r="27" spans="1:36">
      <c r="A27" s="44"/>
      <c r="B27" s="285"/>
      <c r="C27" s="60"/>
      <c r="D27" s="60"/>
      <c r="E27" s="60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170"/>
      <c r="V27" s="170"/>
      <c r="W27" s="44"/>
      <c r="X27" s="44"/>
      <c r="Y27" s="44"/>
      <c r="Z27" s="44"/>
      <c r="AA27" s="170"/>
      <c r="AB27" s="170"/>
      <c r="AC27" s="44"/>
      <c r="AD27" s="44"/>
      <c r="AE27" s="44"/>
      <c r="AF27" s="44"/>
      <c r="AG27" s="51"/>
      <c r="AH27" s="51"/>
      <c r="AI27" s="51"/>
      <c r="AJ27" s="51"/>
    </row>
    <row r="28" spans="1:36">
      <c r="A28" s="44"/>
      <c r="B28" s="285"/>
      <c r="C28" s="60"/>
      <c r="D28" s="60"/>
      <c r="E28" s="60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170"/>
      <c r="V28" s="170"/>
      <c r="W28" s="44"/>
      <c r="X28" s="44"/>
      <c r="Y28" s="44"/>
      <c r="Z28" s="44"/>
      <c r="AA28" s="170"/>
      <c r="AB28" s="170"/>
      <c r="AC28" s="44"/>
      <c r="AD28" s="44"/>
      <c r="AE28" s="44"/>
      <c r="AF28" s="44"/>
      <c r="AG28" s="51"/>
      <c r="AH28" s="51"/>
      <c r="AI28" s="51"/>
      <c r="AJ28" s="51"/>
    </row>
    <row r="29" spans="1:36">
      <c r="A29" s="44"/>
      <c r="B29" s="285"/>
      <c r="C29" s="60"/>
      <c r="D29" s="60"/>
      <c r="E29" s="60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170"/>
      <c r="V29" s="170"/>
      <c r="W29" s="44"/>
      <c r="X29" s="44"/>
      <c r="Y29" s="44"/>
      <c r="Z29" s="44"/>
      <c r="AA29" s="170"/>
      <c r="AB29" s="170"/>
      <c r="AC29" s="44"/>
      <c r="AD29" s="44"/>
      <c r="AE29" s="44"/>
      <c r="AF29" s="44"/>
      <c r="AG29" s="51"/>
      <c r="AH29" s="51"/>
      <c r="AI29" s="51"/>
      <c r="AJ29" s="51"/>
    </row>
    <row r="30" spans="1:36">
      <c r="A30" s="44"/>
      <c r="B30" s="285"/>
      <c r="C30" s="60"/>
      <c r="D30" s="60"/>
      <c r="E30" s="60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170"/>
      <c r="V30" s="170"/>
      <c r="W30" s="44"/>
      <c r="X30" s="44"/>
      <c r="Y30" s="44"/>
      <c r="Z30" s="44"/>
      <c r="AA30" s="170"/>
      <c r="AB30" s="170"/>
      <c r="AC30" s="44"/>
      <c r="AD30" s="44"/>
      <c r="AE30" s="44"/>
      <c r="AF30" s="44"/>
      <c r="AG30" s="51"/>
      <c r="AH30" s="51"/>
      <c r="AI30" s="51"/>
      <c r="AJ30" s="51"/>
    </row>
    <row r="31" spans="1:36">
      <c r="A31" s="44"/>
      <c r="B31" s="285"/>
      <c r="C31" s="60"/>
      <c r="D31" s="60"/>
      <c r="E31" s="60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170"/>
      <c r="V31" s="170"/>
      <c r="W31" s="44"/>
      <c r="X31" s="44"/>
      <c r="Y31" s="44"/>
      <c r="Z31" s="44"/>
      <c r="AA31" s="170"/>
      <c r="AB31" s="170"/>
      <c r="AC31" s="44"/>
      <c r="AD31" s="44"/>
      <c r="AE31" s="44"/>
      <c r="AF31" s="44"/>
      <c r="AG31" s="51"/>
      <c r="AH31" s="51"/>
      <c r="AI31" s="51"/>
      <c r="AJ31" s="51"/>
    </row>
    <row r="32" spans="1:36">
      <c r="A32" s="44"/>
      <c r="B32" s="285"/>
      <c r="C32" s="60"/>
      <c r="D32" s="60"/>
      <c r="E32" s="60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170"/>
      <c r="V32" s="170"/>
      <c r="W32" s="44"/>
      <c r="X32" s="44"/>
      <c r="Y32" s="44"/>
      <c r="Z32" s="44"/>
      <c r="AA32" s="170"/>
      <c r="AB32" s="170"/>
      <c r="AC32" s="44"/>
      <c r="AD32" s="44"/>
      <c r="AE32" s="44"/>
      <c r="AF32" s="44"/>
      <c r="AG32" s="51"/>
      <c r="AH32" s="51"/>
      <c r="AI32" s="51"/>
      <c r="AJ32" s="51"/>
    </row>
    <row r="33" spans="1:36">
      <c r="A33" s="44"/>
      <c r="B33" s="285"/>
      <c r="C33" s="60"/>
      <c r="D33" s="60"/>
      <c r="E33" s="60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170"/>
      <c r="V33" s="170"/>
      <c r="W33" s="44"/>
      <c r="X33" s="44"/>
      <c r="Y33" s="44"/>
      <c r="Z33" s="44"/>
      <c r="AA33" s="170"/>
      <c r="AB33" s="170"/>
      <c r="AC33" s="44"/>
      <c r="AD33" s="44"/>
      <c r="AE33" s="44"/>
      <c r="AF33" s="44"/>
      <c r="AG33" s="51"/>
      <c r="AH33" s="51"/>
      <c r="AI33" s="51"/>
      <c r="AJ33" s="51"/>
    </row>
    <row r="34" spans="1:36" ht="13.8">
      <c r="A34" s="44"/>
      <c r="B34" s="285"/>
      <c r="C34" s="60"/>
      <c r="D34" s="60"/>
      <c r="E34" s="60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170"/>
      <c r="V34" s="170"/>
      <c r="W34" s="44"/>
      <c r="X34" s="44"/>
      <c r="Y34" s="44"/>
      <c r="Z34" s="44"/>
      <c r="AA34" s="170"/>
      <c r="AB34" s="170"/>
      <c r="AC34" s="44"/>
      <c r="AD34" s="44"/>
      <c r="AE34" s="44"/>
      <c r="AF34" s="44"/>
      <c r="AG34" s="51"/>
      <c r="AH34" s="51"/>
      <c r="AI34" s="51"/>
      <c r="AJ34" s="51"/>
    </row>
    <row r="35" spans="1:36" ht="13.8">
      <c r="A35" s="44"/>
      <c r="B35" s="285"/>
      <c r="C35" s="60"/>
      <c r="D35" s="60"/>
      <c r="E35" s="60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170"/>
      <c r="V35" s="170"/>
      <c r="W35" s="44"/>
      <c r="X35" s="44"/>
      <c r="Y35" s="44"/>
      <c r="Z35" s="44"/>
      <c r="AA35" s="170"/>
      <c r="AB35" s="170"/>
      <c r="AC35" s="44"/>
      <c r="AD35" s="44"/>
      <c r="AE35" s="44"/>
      <c r="AF35" s="44"/>
      <c r="AG35" s="51"/>
      <c r="AH35" s="51"/>
      <c r="AI35" s="51"/>
      <c r="AJ35" s="51"/>
    </row>
    <row r="36" spans="1:36" ht="13.8">
      <c r="A36" s="44"/>
      <c r="B36" s="285"/>
      <c r="C36" s="60"/>
      <c r="D36" s="60"/>
      <c r="E36" s="60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170"/>
      <c r="V36" s="170"/>
      <c r="W36" s="44"/>
      <c r="X36" s="44"/>
      <c r="Y36" s="44"/>
      <c r="Z36" s="44"/>
      <c r="AA36" s="170"/>
      <c r="AB36" s="170"/>
      <c r="AC36" s="44"/>
      <c r="AD36" s="44"/>
      <c r="AE36" s="44"/>
      <c r="AF36" s="44"/>
      <c r="AG36" s="51"/>
      <c r="AH36" s="51"/>
      <c r="AI36" s="51"/>
      <c r="AJ36" s="51"/>
    </row>
    <row r="37" spans="1:36" ht="13.8">
      <c r="A37" s="44"/>
      <c r="B37" s="285"/>
      <c r="C37" s="60"/>
      <c r="D37" s="60"/>
      <c r="E37" s="60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170"/>
      <c r="V37" s="170"/>
      <c r="W37" s="44"/>
      <c r="X37" s="44"/>
      <c r="Y37" s="44"/>
      <c r="Z37" s="44"/>
      <c r="AA37" s="170"/>
      <c r="AB37" s="170"/>
      <c r="AC37" s="44"/>
      <c r="AD37" s="44"/>
      <c r="AE37" s="44"/>
      <c r="AF37" s="44"/>
      <c r="AG37" s="51"/>
      <c r="AH37" s="51"/>
      <c r="AI37" s="51"/>
      <c r="AJ37" s="51"/>
    </row>
    <row r="38" spans="1:36" ht="13.8">
      <c r="A38" s="44"/>
      <c r="B38" s="285"/>
      <c r="C38" s="60"/>
      <c r="D38" s="60"/>
      <c r="E38" s="60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170"/>
      <c r="V38" s="170"/>
      <c r="W38" s="44"/>
      <c r="X38" s="44"/>
      <c r="Y38" s="44"/>
      <c r="Z38" s="44"/>
      <c r="AA38" s="170"/>
      <c r="AB38" s="170"/>
      <c r="AC38" s="44"/>
      <c r="AD38" s="44"/>
      <c r="AE38" s="44"/>
      <c r="AF38" s="44"/>
      <c r="AG38" s="51"/>
      <c r="AH38" s="51"/>
      <c r="AI38" s="51"/>
      <c r="AJ38" s="51"/>
    </row>
    <row r="39" spans="1:36" ht="13.8">
      <c r="A39" s="44"/>
      <c r="B39" s="285"/>
      <c r="C39" s="60"/>
      <c r="D39" s="60"/>
      <c r="E39" s="60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170"/>
      <c r="V39" s="170"/>
      <c r="W39" s="44"/>
      <c r="X39" s="44"/>
      <c r="Y39" s="44"/>
      <c r="Z39" s="44"/>
      <c r="AA39" s="170"/>
      <c r="AB39" s="170"/>
      <c r="AC39" s="44"/>
      <c r="AD39" s="44"/>
      <c r="AE39" s="44"/>
      <c r="AF39" s="44"/>
      <c r="AG39" s="51"/>
      <c r="AH39" s="51"/>
      <c r="AI39" s="51"/>
      <c r="AJ39" s="51"/>
    </row>
    <row r="40" spans="1:36" ht="13.8">
      <c r="A40" s="44"/>
      <c r="B40" s="285"/>
      <c r="C40" s="60"/>
      <c r="D40" s="60"/>
      <c r="E40" s="60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170"/>
      <c r="V40" s="170"/>
      <c r="W40" s="44"/>
      <c r="X40" s="44"/>
      <c r="Y40" s="44"/>
      <c r="Z40" s="44"/>
      <c r="AA40" s="170"/>
      <c r="AB40" s="170"/>
      <c r="AC40" s="44"/>
      <c r="AD40" s="44"/>
      <c r="AE40" s="44"/>
      <c r="AF40" s="44"/>
      <c r="AG40" s="51"/>
      <c r="AH40" s="51"/>
      <c r="AI40" s="51"/>
      <c r="AJ40" s="51"/>
    </row>
    <row r="41" spans="1:36" ht="13.8">
      <c r="A41" s="44"/>
      <c r="B41" s="285"/>
      <c r="C41" s="60"/>
      <c r="D41" s="60"/>
      <c r="E41" s="60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170"/>
      <c r="V41" s="170"/>
      <c r="W41" s="44"/>
      <c r="X41" s="44"/>
      <c r="Y41" s="44"/>
      <c r="Z41" s="44"/>
      <c r="AA41" s="170"/>
      <c r="AB41" s="170"/>
      <c r="AC41" s="44"/>
      <c r="AD41" s="44"/>
      <c r="AE41" s="44"/>
      <c r="AF41" s="44"/>
      <c r="AG41" s="51"/>
      <c r="AH41" s="51"/>
      <c r="AI41" s="51"/>
      <c r="AJ41" s="51"/>
    </row>
    <row r="42" spans="1:36" ht="13.8">
      <c r="A42" s="44"/>
      <c r="B42" s="285"/>
      <c r="C42" s="60"/>
      <c r="D42" s="60"/>
      <c r="E42" s="60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170"/>
      <c r="V42" s="170"/>
      <c r="W42" s="44"/>
      <c r="X42" s="44"/>
      <c r="Y42" s="44"/>
      <c r="Z42" s="44"/>
      <c r="AA42" s="170"/>
      <c r="AB42" s="170"/>
      <c r="AC42" s="44"/>
      <c r="AD42" s="44"/>
      <c r="AE42" s="44"/>
      <c r="AF42" s="44"/>
      <c r="AG42" s="51"/>
      <c r="AH42" s="51"/>
      <c r="AI42" s="51"/>
      <c r="AJ42" s="51"/>
    </row>
    <row r="43" spans="1:36" ht="13.8">
      <c r="A43" s="44"/>
      <c r="B43" s="285"/>
      <c r="C43" s="60"/>
      <c r="D43" s="60"/>
      <c r="E43" s="60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170"/>
      <c r="V43" s="170"/>
      <c r="W43" s="44"/>
      <c r="X43" s="44"/>
      <c r="Y43" s="44"/>
      <c r="Z43" s="44"/>
      <c r="AA43" s="170"/>
      <c r="AB43" s="170"/>
      <c r="AC43" s="44"/>
      <c r="AD43" s="44"/>
      <c r="AE43" s="44"/>
      <c r="AF43" s="44"/>
      <c r="AG43" s="51"/>
      <c r="AH43" s="51"/>
      <c r="AI43" s="51"/>
      <c r="AJ43" s="51"/>
    </row>
    <row r="44" spans="1:36" ht="13.8">
      <c r="A44" s="44"/>
      <c r="B44" s="285"/>
      <c r="C44" s="60"/>
      <c r="D44" s="60"/>
      <c r="E44" s="60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170"/>
      <c r="V44" s="170"/>
      <c r="W44" s="44"/>
      <c r="X44" s="44"/>
      <c r="Y44" s="44"/>
      <c r="Z44" s="44"/>
      <c r="AA44" s="170"/>
      <c r="AB44" s="170"/>
      <c r="AC44" s="44"/>
      <c r="AD44" s="44"/>
      <c r="AE44" s="44"/>
      <c r="AF44" s="44"/>
      <c r="AG44" s="51"/>
      <c r="AH44" s="51"/>
      <c r="AI44" s="51"/>
      <c r="AJ44" s="51"/>
    </row>
    <row r="45" spans="1:36" ht="13.8">
      <c r="A45" s="44"/>
      <c r="B45" s="285"/>
      <c r="C45" s="60"/>
      <c r="D45" s="60"/>
      <c r="E45" s="60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170"/>
      <c r="V45" s="170"/>
      <c r="W45" s="44"/>
      <c r="X45" s="44"/>
      <c r="Y45" s="44"/>
      <c r="Z45" s="44"/>
      <c r="AA45" s="170"/>
      <c r="AB45" s="170"/>
      <c r="AC45" s="44"/>
      <c r="AD45" s="44"/>
      <c r="AE45" s="44"/>
      <c r="AF45" s="44"/>
      <c r="AG45" s="51"/>
      <c r="AH45" s="51"/>
      <c r="AI45" s="51"/>
      <c r="AJ45" s="51"/>
    </row>
    <row r="46" spans="1:36" ht="13.8">
      <c r="A46" s="44"/>
      <c r="B46" s="285"/>
      <c r="C46" s="60"/>
      <c r="D46" s="60"/>
      <c r="E46" s="60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170"/>
      <c r="V46" s="170"/>
      <c r="W46" s="44"/>
      <c r="X46" s="44"/>
      <c r="Y46" s="44"/>
      <c r="Z46" s="44"/>
      <c r="AA46" s="170"/>
      <c r="AB46" s="170"/>
      <c r="AC46" s="44"/>
      <c r="AD46" s="44"/>
      <c r="AE46" s="44"/>
      <c r="AF46" s="44"/>
      <c r="AG46" s="51"/>
      <c r="AH46" s="51"/>
      <c r="AI46" s="51"/>
      <c r="AJ46" s="51"/>
    </row>
    <row r="47" spans="1:36" ht="13.8">
      <c r="A47" s="44"/>
      <c r="B47" s="285"/>
      <c r="C47" s="60"/>
      <c r="D47" s="60"/>
      <c r="E47" s="60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170"/>
      <c r="V47" s="170"/>
      <c r="W47" s="44"/>
      <c r="X47" s="44"/>
      <c r="Y47" s="44"/>
      <c r="Z47" s="44"/>
      <c r="AA47" s="170"/>
      <c r="AB47" s="170"/>
      <c r="AC47" s="44"/>
      <c r="AD47" s="44"/>
      <c r="AE47" s="44"/>
      <c r="AF47" s="44"/>
      <c r="AG47" s="51"/>
      <c r="AH47" s="51"/>
      <c r="AI47" s="51"/>
      <c r="AJ47" s="51"/>
    </row>
    <row r="48" spans="1:36" ht="13.8">
      <c r="A48" s="44"/>
      <c r="B48" s="285"/>
      <c r="C48" s="60"/>
      <c r="D48" s="60"/>
      <c r="E48" s="60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170"/>
      <c r="V48" s="170"/>
      <c r="W48" s="44"/>
      <c r="X48" s="44"/>
      <c r="Y48" s="44"/>
      <c r="Z48" s="44"/>
      <c r="AA48" s="170"/>
      <c r="AB48" s="170"/>
      <c r="AC48" s="44"/>
      <c r="AD48" s="44"/>
      <c r="AE48" s="44"/>
      <c r="AF48" s="44"/>
      <c r="AG48" s="51"/>
      <c r="AH48" s="51"/>
      <c r="AI48" s="51"/>
      <c r="AJ48" s="51"/>
    </row>
    <row r="49" spans="1:36" ht="13.8">
      <c r="A49" s="44"/>
      <c r="B49" s="285"/>
      <c r="C49" s="60"/>
      <c r="D49" s="60"/>
      <c r="E49" s="60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170"/>
      <c r="V49" s="170"/>
      <c r="W49" s="44"/>
      <c r="X49" s="44"/>
      <c r="Y49" s="44"/>
      <c r="Z49" s="44"/>
      <c r="AA49" s="170"/>
      <c r="AB49" s="170"/>
      <c r="AC49" s="44"/>
      <c r="AD49" s="44"/>
      <c r="AE49" s="44"/>
      <c r="AF49" s="44"/>
      <c r="AG49" s="51"/>
      <c r="AH49" s="51"/>
      <c r="AI49" s="51"/>
      <c r="AJ49" s="51"/>
    </row>
    <row r="50" spans="1:36" ht="13.8">
      <c r="A50" s="44"/>
      <c r="B50" s="285"/>
      <c r="C50" s="60"/>
      <c r="D50" s="60"/>
      <c r="E50" s="60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170"/>
      <c r="V50" s="170"/>
      <c r="W50" s="44"/>
      <c r="X50" s="44"/>
      <c r="Y50" s="44"/>
      <c r="Z50" s="44"/>
      <c r="AA50" s="170"/>
      <c r="AB50" s="170"/>
      <c r="AC50" s="44"/>
      <c r="AD50" s="44"/>
      <c r="AE50" s="44"/>
      <c r="AF50" s="44"/>
      <c r="AG50" s="51"/>
      <c r="AH50" s="51"/>
      <c r="AI50" s="51"/>
      <c r="AJ50" s="51"/>
    </row>
    <row r="51" spans="1:36" ht="13.8">
      <c r="A51" s="44"/>
      <c r="B51" s="285"/>
      <c r="C51" s="60"/>
      <c r="D51" s="60"/>
      <c r="E51" s="60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170"/>
      <c r="V51" s="170"/>
      <c r="W51" s="44"/>
      <c r="X51" s="44"/>
      <c r="Y51" s="44"/>
      <c r="Z51" s="44"/>
      <c r="AA51" s="170"/>
      <c r="AB51" s="170"/>
      <c r="AC51" s="44"/>
      <c r="AD51" s="44"/>
      <c r="AE51" s="44"/>
      <c r="AF51" s="44"/>
      <c r="AG51" s="51"/>
      <c r="AH51" s="51"/>
      <c r="AI51" s="51"/>
      <c r="AJ51" s="51"/>
    </row>
    <row r="52" spans="1:36" ht="13.8">
      <c r="A52" s="44"/>
      <c r="B52" s="285"/>
      <c r="C52" s="60"/>
      <c r="D52" s="60"/>
      <c r="E52" s="60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170"/>
      <c r="V52" s="170"/>
      <c r="W52" s="44"/>
      <c r="X52" s="44"/>
      <c r="Y52" s="44"/>
      <c r="Z52" s="44"/>
      <c r="AA52" s="170"/>
      <c r="AB52" s="170"/>
      <c r="AC52" s="44"/>
      <c r="AD52" s="44"/>
      <c r="AE52" s="44"/>
      <c r="AF52" s="44"/>
      <c r="AG52" s="51"/>
      <c r="AH52" s="51"/>
      <c r="AI52" s="51"/>
      <c r="AJ52" s="51"/>
    </row>
    <row r="53" spans="1:36" ht="13.8">
      <c r="A53" s="44"/>
      <c r="B53" s="285"/>
      <c r="C53" s="60"/>
      <c r="D53" s="60"/>
      <c r="E53" s="60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170"/>
      <c r="V53" s="170"/>
      <c r="W53" s="44"/>
      <c r="X53" s="44"/>
      <c r="Y53" s="44"/>
      <c r="Z53" s="44"/>
      <c r="AA53" s="170"/>
      <c r="AB53" s="170"/>
      <c r="AC53" s="44"/>
      <c r="AD53" s="44"/>
      <c r="AE53" s="44"/>
      <c r="AF53" s="44"/>
      <c r="AG53" s="51"/>
      <c r="AH53" s="51"/>
      <c r="AI53" s="51"/>
      <c r="AJ53" s="51"/>
    </row>
    <row r="54" spans="1:36" ht="13.8">
      <c r="A54" s="44"/>
      <c r="B54" s="285"/>
      <c r="C54" s="60"/>
      <c r="D54" s="60"/>
      <c r="E54" s="60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170"/>
      <c r="V54" s="170"/>
      <c r="W54" s="44"/>
      <c r="X54" s="44"/>
      <c r="Y54" s="44"/>
      <c r="Z54" s="44"/>
      <c r="AA54" s="170"/>
      <c r="AB54" s="170"/>
      <c r="AC54" s="44"/>
      <c r="AD54" s="44"/>
      <c r="AE54" s="44"/>
      <c r="AF54" s="44"/>
      <c r="AG54" s="51"/>
      <c r="AH54" s="51"/>
      <c r="AI54" s="51"/>
      <c r="AJ54" s="51"/>
    </row>
    <row r="55" spans="1:36" ht="13.8">
      <c r="A55" s="44"/>
      <c r="B55" s="285"/>
      <c r="C55" s="60"/>
      <c r="D55" s="60"/>
      <c r="E55" s="60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170"/>
      <c r="V55" s="170"/>
      <c r="W55" s="44"/>
      <c r="X55" s="44"/>
      <c r="Y55" s="44"/>
      <c r="Z55" s="44"/>
      <c r="AA55" s="170"/>
      <c r="AB55" s="170"/>
      <c r="AC55" s="44"/>
      <c r="AD55" s="44"/>
      <c r="AE55" s="44"/>
      <c r="AF55" s="44"/>
      <c r="AG55" s="51"/>
      <c r="AH55" s="51"/>
      <c r="AI55" s="51"/>
      <c r="AJ55" s="51"/>
    </row>
    <row r="56" spans="1:36" ht="13.8">
      <c r="A56" s="44"/>
      <c r="B56" s="285"/>
      <c r="C56" s="60"/>
      <c r="D56" s="60"/>
      <c r="E56" s="60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170"/>
      <c r="V56" s="170"/>
      <c r="W56" s="44"/>
      <c r="X56" s="44"/>
      <c r="Y56" s="44"/>
      <c r="Z56" s="44"/>
      <c r="AA56" s="170"/>
      <c r="AB56" s="170"/>
      <c r="AC56" s="44"/>
      <c r="AD56" s="44"/>
      <c r="AE56" s="44"/>
      <c r="AF56" s="44"/>
      <c r="AG56" s="51"/>
      <c r="AH56" s="51"/>
      <c r="AI56" s="51"/>
      <c r="AJ56" s="51"/>
    </row>
    <row r="57" spans="1:36" ht="13.8">
      <c r="A57" s="44"/>
      <c r="B57" s="285"/>
      <c r="C57" s="60"/>
      <c r="D57" s="60"/>
      <c r="E57" s="60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170"/>
      <c r="V57" s="170"/>
      <c r="W57" s="44"/>
      <c r="X57" s="44"/>
      <c r="Y57" s="44"/>
      <c r="Z57" s="44"/>
      <c r="AA57" s="170"/>
      <c r="AB57" s="170"/>
      <c r="AC57" s="44"/>
      <c r="AD57" s="44"/>
      <c r="AE57" s="44"/>
      <c r="AF57" s="44"/>
      <c r="AG57" s="51"/>
      <c r="AH57" s="51"/>
      <c r="AI57" s="51"/>
      <c r="AJ57" s="51"/>
    </row>
    <row r="58" spans="1:36" ht="13.8">
      <c r="A58" s="44"/>
      <c r="B58" s="285"/>
      <c r="C58" s="60"/>
      <c r="D58" s="60"/>
      <c r="E58" s="60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170"/>
      <c r="V58" s="170"/>
      <c r="W58" s="44"/>
      <c r="X58" s="44"/>
      <c r="Y58" s="44"/>
      <c r="Z58" s="44"/>
      <c r="AA58" s="170"/>
      <c r="AB58" s="170"/>
      <c r="AC58" s="44"/>
      <c r="AD58" s="44"/>
      <c r="AE58" s="44"/>
      <c r="AF58" s="44"/>
      <c r="AG58" s="51"/>
      <c r="AH58" s="51"/>
      <c r="AI58" s="51"/>
      <c r="AJ58" s="51"/>
    </row>
    <row r="59" spans="1:36" ht="13.8">
      <c r="A59" s="44"/>
      <c r="B59" s="285"/>
      <c r="C59" s="60"/>
      <c r="D59" s="60"/>
      <c r="E59" s="60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170"/>
      <c r="V59" s="170"/>
      <c r="W59" s="44"/>
      <c r="X59" s="44"/>
      <c r="Y59" s="44"/>
      <c r="Z59" s="44"/>
      <c r="AA59" s="170"/>
      <c r="AB59" s="170"/>
      <c r="AC59" s="44"/>
      <c r="AD59" s="44"/>
      <c r="AE59" s="44"/>
      <c r="AF59" s="44"/>
      <c r="AG59" s="51"/>
      <c r="AH59" s="51"/>
      <c r="AI59" s="51"/>
      <c r="AJ59" s="51"/>
    </row>
    <row r="60" spans="1:36" ht="13.8">
      <c r="A60" s="44"/>
      <c r="B60" s="285"/>
      <c r="C60" s="60"/>
      <c r="D60" s="60"/>
      <c r="E60" s="60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170"/>
      <c r="V60" s="170"/>
      <c r="W60" s="44"/>
      <c r="X60" s="44"/>
      <c r="Y60" s="44"/>
      <c r="Z60" s="44"/>
      <c r="AA60" s="170"/>
      <c r="AB60" s="170"/>
      <c r="AC60" s="44"/>
      <c r="AD60" s="44"/>
      <c r="AE60" s="44"/>
      <c r="AF60" s="44"/>
      <c r="AG60" s="51"/>
      <c r="AH60" s="51"/>
      <c r="AI60" s="51"/>
      <c r="AJ60" s="51"/>
    </row>
    <row r="61" spans="1:36" ht="13.8">
      <c r="A61" s="44"/>
      <c r="B61" s="285"/>
      <c r="C61" s="60"/>
      <c r="D61" s="60"/>
      <c r="E61" s="60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170"/>
      <c r="V61" s="170"/>
      <c r="W61" s="44"/>
      <c r="X61" s="44"/>
      <c r="Y61" s="44"/>
      <c r="Z61" s="44"/>
      <c r="AA61" s="170"/>
      <c r="AB61" s="170"/>
      <c r="AC61" s="44"/>
      <c r="AD61" s="44"/>
      <c r="AE61" s="44"/>
      <c r="AF61" s="44"/>
      <c r="AG61" s="51"/>
      <c r="AH61" s="51"/>
      <c r="AI61" s="51"/>
      <c r="AJ61" s="51"/>
    </row>
    <row r="62" spans="1:36" ht="13.8">
      <c r="A62" s="44"/>
      <c r="B62" s="285"/>
      <c r="C62" s="60"/>
      <c r="D62" s="60"/>
      <c r="E62" s="60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170"/>
      <c r="V62" s="170"/>
      <c r="W62" s="44"/>
      <c r="X62" s="44"/>
      <c r="Y62" s="44"/>
      <c r="Z62" s="44"/>
      <c r="AA62" s="170"/>
      <c r="AB62" s="170"/>
      <c r="AC62" s="44"/>
      <c r="AD62" s="44"/>
      <c r="AE62" s="44"/>
      <c r="AF62" s="44"/>
      <c r="AG62" s="51"/>
      <c r="AH62" s="51"/>
      <c r="AI62" s="51"/>
      <c r="AJ62" s="51"/>
    </row>
    <row r="63" spans="1:36" ht="13.8">
      <c r="A63" s="44"/>
      <c r="B63" s="285"/>
      <c r="C63" s="60"/>
      <c r="D63" s="60"/>
      <c r="E63" s="60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170"/>
      <c r="V63" s="170"/>
      <c r="W63" s="44"/>
      <c r="X63" s="44"/>
      <c r="Y63" s="44"/>
      <c r="Z63" s="44"/>
      <c r="AA63" s="170"/>
      <c r="AB63" s="170"/>
      <c r="AC63" s="44"/>
      <c r="AD63" s="44"/>
      <c r="AE63" s="44"/>
      <c r="AF63" s="44"/>
      <c r="AG63" s="51"/>
      <c r="AH63" s="51"/>
      <c r="AI63" s="51"/>
      <c r="AJ63" s="51"/>
    </row>
    <row r="64" spans="1:36" ht="13.2">
      <c r="C64" s="10"/>
      <c r="D64" s="10"/>
      <c r="E64" s="10"/>
      <c r="U64" s="198"/>
      <c r="V64" s="198"/>
      <c r="AA64" s="198"/>
      <c r="AB64" s="198"/>
    </row>
    <row r="65" spans="3:28" ht="13.2">
      <c r="C65" s="10"/>
      <c r="D65" s="10"/>
      <c r="E65" s="10"/>
      <c r="U65" s="198"/>
      <c r="V65" s="198"/>
      <c r="AA65" s="198"/>
      <c r="AB65" s="198"/>
    </row>
    <row r="66" spans="3:28" ht="13.2">
      <c r="C66" s="10"/>
      <c r="D66" s="10"/>
      <c r="E66" s="10"/>
      <c r="U66" s="198"/>
      <c r="V66" s="198"/>
      <c r="AA66" s="198"/>
      <c r="AB66" s="198"/>
    </row>
    <row r="67" spans="3:28" ht="13.2">
      <c r="C67" s="10"/>
      <c r="D67" s="10"/>
      <c r="E67" s="10"/>
      <c r="U67" s="198"/>
      <c r="V67" s="198"/>
      <c r="AA67" s="198"/>
      <c r="AB67" s="198"/>
    </row>
    <row r="68" spans="3:28" ht="13.2">
      <c r="C68" s="10"/>
      <c r="D68" s="10"/>
      <c r="E68" s="10"/>
      <c r="U68" s="198"/>
      <c r="V68" s="198"/>
      <c r="AA68" s="198"/>
      <c r="AB68" s="198"/>
    </row>
    <row r="69" spans="3:28" ht="13.2">
      <c r="C69" s="10"/>
      <c r="D69" s="10"/>
      <c r="E69" s="10"/>
      <c r="U69" s="198"/>
      <c r="V69" s="198"/>
      <c r="AA69" s="198"/>
      <c r="AB69" s="198"/>
    </row>
    <row r="70" spans="3:28" ht="13.2">
      <c r="C70" s="10"/>
      <c r="D70" s="10"/>
      <c r="E70" s="10"/>
      <c r="U70" s="198"/>
      <c r="V70" s="198"/>
      <c r="AA70" s="198"/>
      <c r="AB70" s="198"/>
    </row>
    <row r="71" spans="3:28" ht="13.2">
      <c r="C71" s="10"/>
      <c r="D71" s="10"/>
      <c r="E71" s="10"/>
      <c r="U71" s="198"/>
      <c r="V71" s="198"/>
      <c r="AA71" s="198"/>
      <c r="AB71" s="198"/>
    </row>
    <row r="72" spans="3:28" ht="13.2">
      <c r="C72" s="10"/>
      <c r="D72" s="10"/>
      <c r="E72" s="10"/>
      <c r="U72" s="198"/>
      <c r="V72" s="198"/>
      <c r="AA72" s="198"/>
      <c r="AB72" s="198"/>
    </row>
    <row r="73" spans="3:28" ht="13.2">
      <c r="C73" s="10"/>
      <c r="D73" s="10"/>
      <c r="E73" s="10"/>
      <c r="U73" s="198"/>
      <c r="V73" s="198"/>
      <c r="AA73" s="198"/>
      <c r="AB73" s="198"/>
    </row>
    <row r="74" spans="3:28" ht="13.2">
      <c r="C74" s="10"/>
      <c r="D74" s="10"/>
      <c r="E74" s="10"/>
      <c r="U74" s="198"/>
      <c r="V74" s="198"/>
      <c r="AA74" s="198"/>
      <c r="AB74" s="198"/>
    </row>
    <row r="75" spans="3:28" ht="13.2">
      <c r="C75" s="10"/>
      <c r="D75" s="10"/>
      <c r="E75" s="10"/>
      <c r="U75" s="198"/>
      <c r="V75" s="198"/>
      <c r="AA75" s="198"/>
      <c r="AB75" s="198"/>
    </row>
    <row r="76" spans="3:28" ht="13.2">
      <c r="C76" s="10"/>
      <c r="D76" s="10"/>
      <c r="E76" s="10"/>
      <c r="U76" s="198"/>
      <c r="V76" s="198"/>
      <c r="AA76" s="198"/>
      <c r="AB76" s="198"/>
    </row>
    <row r="77" spans="3:28" ht="13.2">
      <c r="C77" s="10"/>
      <c r="D77" s="10"/>
      <c r="E77" s="10"/>
      <c r="U77" s="198"/>
      <c r="V77" s="198"/>
      <c r="AA77" s="198"/>
      <c r="AB77" s="198"/>
    </row>
    <row r="78" spans="3:28" ht="13.2">
      <c r="C78" s="10"/>
      <c r="D78" s="10"/>
      <c r="E78" s="10"/>
      <c r="U78" s="198"/>
      <c r="V78" s="198"/>
      <c r="AA78" s="198"/>
      <c r="AB78" s="198"/>
    </row>
    <row r="79" spans="3:28" ht="13.2">
      <c r="C79" s="10"/>
      <c r="D79" s="10"/>
      <c r="E79" s="10"/>
      <c r="U79" s="198"/>
      <c r="V79" s="198"/>
      <c r="AA79" s="198"/>
      <c r="AB79" s="198"/>
    </row>
    <row r="80" spans="3:28" ht="13.2">
      <c r="C80" s="10"/>
      <c r="D80" s="10"/>
      <c r="E80" s="10"/>
      <c r="U80" s="198"/>
      <c r="V80" s="198"/>
      <c r="AA80" s="198"/>
      <c r="AB80" s="198"/>
    </row>
    <row r="81" spans="3:28" ht="13.2">
      <c r="C81" s="10"/>
      <c r="D81" s="10"/>
      <c r="E81" s="10"/>
      <c r="U81" s="198"/>
      <c r="V81" s="198"/>
      <c r="AA81" s="198"/>
      <c r="AB81" s="198"/>
    </row>
    <row r="82" spans="3:28" ht="13.2">
      <c r="C82" s="10"/>
      <c r="D82" s="10"/>
      <c r="E82" s="10"/>
      <c r="U82" s="198"/>
      <c r="V82" s="198"/>
      <c r="AA82" s="198"/>
      <c r="AB82" s="198"/>
    </row>
    <row r="83" spans="3:28" ht="13.2">
      <c r="C83" s="10"/>
      <c r="D83" s="10"/>
      <c r="E83" s="10"/>
      <c r="U83" s="198"/>
      <c r="V83" s="198"/>
      <c r="AA83" s="198"/>
      <c r="AB83" s="198"/>
    </row>
    <row r="84" spans="3:28" ht="13.2">
      <c r="C84" s="10"/>
      <c r="D84" s="10"/>
      <c r="E84" s="10"/>
      <c r="U84" s="198"/>
      <c r="V84" s="198"/>
      <c r="AA84" s="198"/>
      <c r="AB84" s="198"/>
    </row>
    <row r="85" spans="3:28" ht="13.2">
      <c r="C85" s="10"/>
      <c r="D85" s="10"/>
      <c r="E85" s="10"/>
      <c r="U85" s="198"/>
      <c r="V85" s="198"/>
      <c r="AA85" s="198"/>
      <c r="AB85" s="198"/>
    </row>
    <row r="86" spans="3:28" ht="13.2">
      <c r="C86" s="10"/>
      <c r="D86" s="10"/>
      <c r="E86" s="10"/>
      <c r="U86" s="198"/>
      <c r="V86" s="198"/>
      <c r="AA86" s="198"/>
      <c r="AB86" s="198"/>
    </row>
    <row r="87" spans="3:28" ht="13.2">
      <c r="C87" s="10"/>
      <c r="D87" s="10"/>
      <c r="E87" s="10"/>
      <c r="U87" s="198"/>
      <c r="V87" s="198"/>
      <c r="AA87" s="198"/>
      <c r="AB87" s="198"/>
    </row>
    <row r="88" spans="3:28" ht="13.2">
      <c r="C88" s="10"/>
      <c r="D88" s="10"/>
      <c r="E88" s="10"/>
      <c r="U88" s="198"/>
      <c r="V88" s="198"/>
      <c r="AA88" s="198"/>
      <c r="AB88" s="198"/>
    </row>
    <row r="89" spans="3:28" ht="13.2">
      <c r="C89" s="10"/>
      <c r="D89" s="10"/>
      <c r="E89" s="10"/>
      <c r="U89" s="198"/>
      <c r="V89" s="198"/>
      <c r="AA89" s="198"/>
      <c r="AB89" s="198"/>
    </row>
    <row r="90" spans="3:28" ht="13.2">
      <c r="C90" s="10"/>
      <c r="D90" s="10"/>
      <c r="E90" s="10"/>
      <c r="U90" s="198"/>
      <c r="V90" s="198"/>
      <c r="AA90" s="198"/>
      <c r="AB90" s="198"/>
    </row>
    <row r="91" spans="3:28" ht="13.2">
      <c r="C91" s="10"/>
      <c r="D91" s="10"/>
      <c r="E91" s="10"/>
      <c r="U91" s="198"/>
      <c r="V91" s="198"/>
      <c r="AA91" s="198"/>
      <c r="AB91" s="198"/>
    </row>
    <row r="92" spans="3:28" ht="13.2">
      <c r="C92" s="10"/>
      <c r="D92" s="10"/>
      <c r="E92" s="10"/>
      <c r="U92" s="198"/>
      <c r="V92" s="198"/>
      <c r="AA92" s="198"/>
      <c r="AB92" s="198"/>
    </row>
    <row r="93" spans="3:28" ht="13.2">
      <c r="C93" s="10"/>
      <c r="D93" s="10"/>
      <c r="E93" s="10"/>
      <c r="U93" s="198"/>
      <c r="V93" s="198"/>
      <c r="AA93" s="198"/>
      <c r="AB93" s="198"/>
    </row>
    <row r="94" spans="3:28" ht="13.2">
      <c r="C94" s="10"/>
      <c r="D94" s="10"/>
      <c r="E94" s="10"/>
      <c r="U94" s="198"/>
      <c r="V94" s="198"/>
      <c r="AA94" s="198"/>
      <c r="AB94" s="198"/>
    </row>
    <row r="95" spans="3:28" ht="13.2">
      <c r="C95" s="10"/>
      <c r="D95" s="10"/>
      <c r="E95" s="10"/>
      <c r="U95" s="198"/>
      <c r="V95" s="198"/>
      <c r="AA95" s="198"/>
      <c r="AB95" s="198"/>
    </row>
    <row r="96" spans="3:28" ht="13.2">
      <c r="C96" s="10"/>
      <c r="D96" s="10"/>
      <c r="E96" s="10"/>
      <c r="U96" s="198"/>
      <c r="V96" s="198"/>
      <c r="AA96" s="198"/>
      <c r="AB96" s="198"/>
    </row>
    <row r="97" spans="3:28" ht="13.2">
      <c r="C97" s="10"/>
      <c r="D97" s="10"/>
      <c r="E97" s="10"/>
      <c r="U97" s="198"/>
      <c r="V97" s="198"/>
      <c r="AA97" s="198"/>
      <c r="AB97" s="198"/>
    </row>
    <row r="98" spans="3:28" ht="13.2">
      <c r="C98" s="10"/>
      <c r="D98" s="10"/>
      <c r="E98" s="10"/>
      <c r="U98" s="198"/>
      <c r="V98" s="198"/>
      <c r="AA98" s="198"/>
      <c r="AB98" s="198"/>
    </row>
    <row r="99" spans="3:28" ht="13.2">
      <c r="C99" s="10"/>
      <c r="D99" s="10"/>
      <c r="E99" s="10"/>
      <c r="U99" s="198"/>
      <c r="V99" s="198"/>
      <c r="AA99" s="198"/>
      <c r="AB99" s="198"/>
    </row>
    <row r="100" spans="3:28" ht="13.2">
      <c r="C100" s="10"/>
      <c r="D100" s="10"/>
      <c r="E100" s="10"/>
      <c r="U100" s="198"/>
      <c r="V100" s="198"/>
      <c r="AA100" s="198"/>
      <c r="AB100" s="198"/>
    </row>
    <row r="101" spans="3:28" ht="13.2">
      <c r="C101" s="10"/>
      <c r="D101" s="10"/>
      <c r="E101" s="10"/>
      <c r="U101" s="198"/>
      <c r="V101" s="198"/>
      <c r="AA101" s="198"/>
      <c r="AB101" s="198"/>
    </row>
    <row r="102" spans="3:28" ht="13.2">
      <c r="C102" s="10"/>
      <c r="D102" s="10"/>
      <c r="E102" s="10"/>
      <c r="U102" s="198"/>
      <c r="V102" s="198"/>
      <c r="AA102" s="198"/>
      <c r="AB102" s="198"/>
    </row>
    <row r="103" spans="3:28" ht="13.2">
      <c r="C103" s="10"/>
      <c r="D103" s="10"/>
      <c r="E103" s="10"/>
      <c r="U103" s="198"/>
      <c r="V103" s="198"/>
      <c r="AA103" s="198"/>
      <c r="AB103" s="198"/>
    </row>
    <row r="104" spans="3:28" ht="13.2">
      <c r="C104" s="10"/>
      <c r="D104" s="10"/>
      <c r="E104" s="10"/>
      <c r="U104" s="198"/>
      <c r="V104" s="198"/>
      <c r="AA104" s="198"/>
      <c r="AB104" s="198"/>
    </row>
    <row r="105" spans="3:28" ht="13.2">
      <c r="C105" s="10"/>
      <c r="D105" s="10"/>
      <c r="E105" s="10"/>
      <c r="U105" s="198"/>
      <c r="V105" s="198"/>
      <c r="AA105" s="198"/>
      <c r="AB105" s="198"/>
    </row>
    <row r="106" spans="3:28" ht="13.2">
      <c r="C106" s="10"/>
      <c r="D106" s="10"/>
      <c r="E106" s="10"/>
      <c r="U106" s="198"/>
      <c r="V106" s="198"/>
      <c r="AA106" s="198"/>
      <c r="AB106" s="198"/>
    </row>
    <row r="107" spans="3:28" ht="13.2">
      <c r="C107" s="10"/>
      <c r="D107" s="10"/>
      <c r="E107" s="10"/>
      <c r="U107" s="198"/>
      <c r="V107" s="198"/>
      <c r="AA107" s="198"/>
      <c r="AB107" s="198"/>
    </row>
    <row r="108" spans="3:28" ht="13.2">
      <c r="C108" s="10"/>
      <c r="D108" s="10"/>
      <c r="E108" s="10"/>
      <c r="U108" s="198"/>
      <c r="V108" s="198"/>
      <c r="AA108" s="198"/>
      <c r="AB108" s="198"/>
    </row>
    <row r="109" spans="3:28" ht="13.2">
      <c r="C109" s="10"/>
      <c r="D109" s="10"/>
      <c r="E109" s="10"/>
      <c r="U109" s="198"/>
      <c r="V109" s="198"/>
      <c r="AA109" s="198"/>
      <c r="AB109" s="198"/>
    </row>
    <row r="110" spans="3:28" ht="13.2">
      <c r="C110" s="10"/>
      <c r="D110" s="10"/>
      <c r="E110" s="10"/>
      <c r="U110" s="198"/>
      <c r="V110" s="198"/>
      <c r="AA110" s="198"/>
      <c r="AB110" s="198"/>
    </row>
    <row r="111" spans="3:28" ht="13.2">
      <c r="C111" s="10"/>
      <c r="D111" s="10"/>
      <c r="E111" s="10"/>
      <c r="U111" s="198"/>
      <c r="V111" s="198"/>
      <c r="AA111" s="198"/>
      <c r="AB111" s="198"/>
    </row>
    <row r="112" spans="3:28" ht="13.2">
      <c r="C112" s="10"/>
      <c r="D112" s="10"/>
      <c r="E112" s="10"/>
      <c r="U112" s="198"/>
      <c r="V112" s="198"/>
      <c r="AA112" s="198"/>
      <c r="AB112" s="198"/>
    </row>
    <row r="113" spans="3:28" ht="13.2">
      <c r="C113" s="10"/>
      <c r="D113" s="10"/>
      <c r="E113" s="10"/>
      <c r="U113" s="198"/>
      <c r="V113" s="198"/>
      <c r="AA113" s="198"/>
      <c r="AB113" s="198"/>
    </row>
    <row r="114" spans="3:28" ht="13.2">
      <c r="C114" s="10"/>
      <c r="D114" s="10"/>
      <c r="E114" s="10"/>
      <c r="U114" s="198"/>
      <c r="V114" s="198"/>
      <c r="AA114" s="198"/>
      <c r="AB114" s="198"/>
    </row>
    <row r="115" spans="3:28" ht="13.2">
      <c r="C115" s="10"/>
      <c r="D115" s="10"/>
      <c r="E115" s="10"/>
      <c r="U115" s="198"/>
      <c r="V115" s="198"/>
      <c r="AA115" s="198"/>
      <c r="AB115" s="198"/>
    </row>
    <row r="116" spans="3:28" ht="13.2">
      <c r="C116" s="10"/>
      <c r="D116" s="10"/>
      <c r="E116" s="10"/>
      <c r="U116" s="198"/>
      <c r="V116" s="198"/>
      <c r="AA116" s="198"/>
      <c r="AB116" s="198"/>
    </row>
    <row r="117" spans="3:28" ht="13.2">
      <c r="C117" s="10"/>
      <c r="D117" s="10"/>
      <c r="E117" s="10"/>
      <c r="U117" s="198"/>
      <c r="V117" s="198"/>
      <c r="AA117" s="198"/>
      <c r="AB117" s="198"/>
    </row>
    <row r="118" spans="3:28" ht="13.2">
      <c r="C118" s="10"/>
      <c r="D118" s="10"/>
      <c r="E118" s="10"/>
      <c r="U118" s="198"/>
      <c r="V118" s="198"/>
      <c r="AA118" s="198"/>
      <c r="AB118" s="198"/>
    </row>
    <row r="119" spans="3:28" ht="13.2">
      <c r="C119" s="10"/>
      <c r="D119" s="10"/>
      <c r="E119" s="10"/>
      <c r="U119" s="198"/>
      <c r="V119" s="198"/>
      <c r="AA119" s="198"/>
      <c r="AB119" s="198"/>
    </row>
    <row r="120" spans="3:28" ht="13.2">
      <c r="C120" s="10"/>
      <c r="D120" s="10"/>
      <c r="E120" s="10"/>
      <c r="U120" s="198"/>
      <c r="V120" s="198"/>
      <c r="AA120" s="198"/>
      <c r="AB120" s="198"/>
    </row>
    <row r="121" spans="3:28" ht="13.2">
      <c r="C121" s="10"/>
      <c r="D121" s="10"/>
      <c r="E121" s="10"/>
      <c r="U121" s="198"/>
      <c r="V121" s="198"/>
      <c r="AA121" s="198"/>
      <c r="AB121" s="198"/>
    </row>
    <row r="122" spans="3:28" ht="13.2">
      <c r="C122" s="10"/>
      <c r="D122" s="10"/>
      <c r="E122" s="10"/>
      <c r="U122" s="198"/>
      <c r="V122" s="198"/>
      <c r="AA122" s="198"/>
      <c r="AB122" s="198"/>
    </row>
    <row r="123" spans="3:28" ht="13.2">
      <c r="C123" s="10"/>
      <c r="D123" s="10"/>
      <c r="E123" s="10"/>
      <c r="U123" s="198"/>
      <c r="V123" s="198"/>
      <c r="AA123" s="198"/>
      <c r="AB123" s="198"/>
    </row>
    <row r="124" spans="3:28" ht="13.2">
      <c r="C124" s="10"/>
      <c r="D124" s="10"/>
      <c r="E124" s="10"/>
      <c r="U124" s="198"/>
      <c r="V124" s="198"/>
      <c r="AA124" s="198"/>
      <c r="AB124" s="198"/>
    </row>
    <row r="125" spans="3:28" ht="13.2">
      <c r="C125" s="10"/>
      <c r="D125" s="10"/>
      <c r="E125" s="10"/>
      <c r="U125" s="198"/>
      <c r="V125" s="198"/>
      <c r="AA125" s="198"/>
      <c r="AB125" s="198"/>
    </row>
    <row r="126" spans="3:28" ht="13.2">
      <c r="C126" s="10"/>
      <c r="D126" s="10"/>
      <c r="E126" s="10"/>
      <c r="U126" s="198"/>
      <c r="V126" s="198"/>
      <c r="AA126" s="198"/>
      <c r="AB126" s="198"/>
    </row>
    <row r="127" spans="3:28" ht="13.2">
      <c r="C127" s="10"/>
      <c r="D127" s="10"/>
      <c r="E127" s="10"/>
      <c r="U127" s="198"/>
      <c r="V127" s="198"/>
      <c r="AA127" s="198"/>
      <c r="AB127" s="198"/>
    </row>
    <row r="128" spans="3:28" ht="13.2">
      <c r="C128" s="10"/>
      <c r="D128" s="10"/>
      <c r="E128" s="10"/>
      <c r="U128" s="198"/>
      <c r="V128" s="198"/>
      <c r="AA128" s="198"/>
      <c r="AB128" s="198"/>
    </row>
    <row r="129" spans="3:28" ht="13.2">
      <c r="C129" s="10"/>
      <c r="D129" s="10"/>
      <c r="E129" s="10"/>
      <c r="U129" s="198"/>
      <c r="V129" s="198"/>
      <c r="AA129" s="198"/>
      <c r="AB129" s="198"/>
    </row>
    <row r="130" spans="3:28" ht="13.2">
      <c r="C130" s="10"/>
      <c r="D130" s="10"/>
      <c r="E130" s="10"/>
      <c r="U130" s="198"/>
      <c r="V130" s="198"/>
      <c r="AA130" s="198"/>
      <c r="AB130" s="198"/>
    </row>
    <row r="131" spans="3:28" ht="13.2">
      <c r="C131" s="10"/>
      <c r="D131" s="10"/>
      <c r="E131" s="10"/>
      <c r="U131" s="198"/>
      <c r="V131" s="198"/>
      <c r="AA131" s="198"/>
      <c r="AB131" s="198"/>
    </row>
    <row r="132" spans="3:28" ht="13.2">
      <c r="C132" s="10"/>
      <c r="D132" s="10"/>
      <c r="E132" s="10"/>
      <c r="U132" s="198"/>
      <c r="V132" s="198"/>
      <c r="AA132" s="198"/>
      <c r="AB132" s="198"/>
    </row>
    <row r="133" spans="3:28" ht="13.2">
      <c r="C133" s="10"/>
      <c r="D133" s="10"/>
      <c r="E133" s="10"/>
      <c r="U133" s="198"/>
      <c r="V133" s="198"/>
      <c r="AA133" s="198"/>
      <c r="AB133" s="198"/>
    </row>
    <row r="134" spans="3:28" ht="13.2">
      <c r="C134" s="10"/>
      <c r="D134" s="10"/>
      <c r="E134" s="10"/>
      <c r="U134" s="198"/>
      <c r="V134" s="198"/>
      <c r="AA134" s="198"/>
      <c r="AB134" s="198"/>
    </row>
    <row r="135" spans="3:28" ht="13.2">
      <c r="C135" s="10"/>
      <c r="D135" s="10"/>
      <c r="E135" s="10"/>
      <c r="U135" s="198"/>
      <c r="V135" s="198"/>
      <c r="AA135" s="198"/>
      <c r="AB135" s="198"/>
    </row>
    <row r="136" spans="3:28" ht="13.2">
      <c r="C136" s="10"/>
      <c r="D136" s="10"/>
      <c r="E136" s="10"/>
      <c r="U136" s="198"/>
      <c r="V136" s="198"/>
      <c r="AA136" s="198"/>
      <c r="AB136" s="198"/>
    </row>
    <row r="137" spans="3:28" ht="13.2">
      <c r="C137" s="10"/>
      <c r="D137" s="10"/>
      <c r="E137" s="10"/>
      <c r="U137" s="198"/>
      <c r="V137" s="198"/>
      <c r="AA137" s="198"/>
      <c r="AB137" s="198"/>
    </row>
    <row r="138" spans="3:28" ht="13.2">
      <c r="C138" s="10"/>
      <c r="D138" s="10"/>
      <c r="E138" s="10"/>
      <c r="U138" s="198"/>
      <c r="V138" s="198"/>
      <c r="AA138" s="198"/>
      <c r="AB138" s="198"/>
    </row>
    <row r="139" spans="3:28" ht="13.2">
      <c r="C139" s="10"/>
      <c r="D139" s="10"/>
      <c r="E139" s="10"/>
      <c r="U139" s="198"/>
      <c r="V139" s="198"/>
      <c r="AA139" s="198"/>
      <c r="AB139" s="198"/>
    </row>
    <row r="140" spans="3:28" ht="13.2">
      <c r="C140" s="10"/>
      <c r="D140" s="10"/>
      <c r="E140" s="10"/>
      <c r="U140" s="198"/>
      <c r="V140" s="198"/>
      <c r="AA140" s="198"/>
      <c r="AB140" s="198"/>
    </row>
    <row r="141" spans="3:28" ht="13.2">
      <c r="C141" s="10"/>
      <c r="D141" s="10"/>
      <c r="E141" s="10"/>
      <c r="U141" s="198"/>
      <c r="V141" s="198"/>
      <c r="AA141" s="198"/>
      <c r="AB141" s="198"/>
    </row>
    <row r="142" spans="3:28" ht="13.2">
      <c r="C142" s="10"/>
      <c r="D142" s="10"/>
      <c r="E142" s="10"/>
      <c r="U142" s="198"/>
      <c r="V142" s="198"/>
      <c r="AA142" s="198"/>
      <c r="AB142" s="198"/>
    </row>
    <row r="143" spans="3:28" ht="13.2">
      <c r="C143" s="10"/>
      <c r="D143" s="10"/>
      <c r="E143" s="10"/>
      <c r="U143" s="198"/>
      <c r="V143" s="198"/>
      <c r="AA143" s="198"/>
      <c r="AB143" s="198"/>
    </row>
    <row r="144" spans="3:28" ht="13.2">
      <c r="C144" s="10"/>
      <c r="D144" s="10"/>
      <c r="E144" s="10"/>
      <c r="U144" s="198"/>
      <c r="V144" s="198"/>
      <c r="AA144" s="198"/>
      <c r="AB144" s="198"/>
    </row>
    <row r="145" spans="3:28" ht="13.2">
      <c r="C145" s="10"/>
      <c r="D145" s="10"/>
      <c r="E145" s="10"/>
      <c r="U145" s="198"/>
      <c r="V145" s="198"/>
      <c r="AA145" s="198"/>
      <c r="AB145" s="198"/>
    </row>
    <row r="146" spans="3:28" ht="13.2">
      <c r="C146" s="10"/>
      <c r="D146" s="10"/>
      <c r="E146" s="10"/>
      <c r="U146" s="198"/>
      <c r="V146" s="198"/>
      <c r="AA146" s="198"/>
      <c r="AB146" s="198"/>
    </row>
    <row r="147" spans="3:28" ht="13.2">
      <c r="C147" s="10"/>
      <c r="D147" s="10"/>
      <c r="E147" s="10"/>
      <c r="U147" s="198"/>
      <c r="V147" s="198"/>
      <c r="AA147" s="198"/>
      <c r="AB147" s="198"/>
    </row>
    <row r="148" spans="3:28" ht="13.2">
      <c r="C148" s="10"/>
      <c r="D148" s="10"/>
      <c r="E148" s="10"/>
      <c r="U148" s="198"/>
      <c r="V148" s="198"/>
      <c r="AA148" s="198"/>
      <c r="AB148" s="198"/>
    </row>
    <row r="149" spans="3:28" ht="13.2">
      <c r="C149" s="10"/>
      <c r="D149" s="10"/>
      <c r="E149" s="10"/>
      <c r="U149" s="198"/>
      <c r="V149" s="198"/>
      <c r="AA149" s="198"/>
      <c r="AB149" s="198"/>
    </row>
    <row r="150" spans="3:28" ht="13.2">
      <c r="C150" s="10"/>
      <c r="D150" s="10"/>
      <c r="E150" s="10"/>
      <c r="U150" s="198"/>
      <c r="V150" s="198"/>
      <c r="AA150" s="198"/>
      <c r="AB150" s="198"/>
    </row>
    <row r="151" spans="3:28" ht="13.2">
      <c r="C151" s="10"/>
      <c r="D151" s="10"/>
      <c r="E151" s="10"/>
      <c r="U151" s="198"/>
      <c r="V151" s="198"/>
      <c r="AA151" s="198"/>
      <c r="AB151" s="198"/>
    </row>
    <row r="152" spans="3:28" ht="13.2">
      <c r="C152" s="10"/>
      <c r="D152" s="10"/>
      <c r="E152" s="10"/>
      <c r="U152" s="198"/>
      <c r="V152" s="198"/>
      <c r="AA152" s="198"/>
      <c r="AB152" s="198"/>
    </row>
    <row r="153" spans="3:28" ht="13.2">
      <c r="C153" s="10"/>
      <c r="D153" s="10"/>
      <c r="E153" s="10"/>
      <c r="U153" s="198"/>
      <c r="V153" s="198"/>
      <c r="AA153" s="198"/>
      <c r="AB153" s="198"/>
    </row>
    <row r="154" spans="3:28" ht="13.2">
      <c r="C154" s="10"/>
      <c r="D154" s="10"/>
      <c r="E154" s="10"/>
      <c r="U154" s="198"/>
      <c r="V154" s="198"/>
      <c r="AA154" s="198"/>
      <c r="AB154" s="198"/>
    </row>
    <row r="155" spans="3:28" ht="13.2">
      <c r="C155" s="10"/>
      <c r="D155" s="10"/>
      <c r="E155" s="10"/>
      <c r="U155" s="198"/>
      <c r="V155" s="198"/>
      <c r="AA155" s="198"/>
      <c r="AB155" s="198"/>
    </row>
    <row r="156" spans="3:28" ht="13.2">
      <c r="C156" s="10"/>
      <c r="D156" s="10"/>
      <c r="E156" s="10"/>
      <c r="U156" s="198"/>
      <c r="V156" s="198"/>
      <c r="AA156" s="198"/>
      <c r="AB156" s="198"/>
    </row>
    <row r="157" spans="3:28" ht="13.2">
      <c r="C157" s="10"/>
      <c r="D157" s="10"/>
      <c r="E157" s="10"/>
      <c r="U157" s="198"/>
      <c r="V157" s="198"/>
      <c r="AA157" s="198"/>
      <c r="AB157" s="198"/>
    </row>
    <row r="158" spans="3:28" ht="13.2">
      <c r="C158" s="10"/>
      <c r="D158" s="10"/>
      <c r="E158" s="10"/>
      <c r="U158" s="198"/>
      <c r="V158" s="198"/>
      <c r="AA158" s="198"/>
      <c r="AB158" s="198"/>
    </row>
    <row r="159" spans="3:28" ht="13.2">
      <c r="C159" s="10"/>
      <c r="D159" s="10"/>
      <c r="E159" s="10"/>
      <c r="U159" s="198"/>
      <c r="V159" s="198"/>
      <c r="AA159" s="198"/>
      <c r="AB159" s="198"/>
    </row>
    <row r="160" spans="3:28" ht="13.2">
      <c r="C160" s="10"/>
      <c r="D160" s="10"/>
      <c r="E160" s="10"/>
      <c r="U160" s="198"/>
      <c r="V160" s="198"/>
      <c r="AA160" s="198"/>
      <c r="AB160" s="198"/>
    </row>
    <row r="161" spans="3:28" ht="13.2">
      <c r="C161" s="10"/>
      <c r="D161" s="10"/>
      <c r="E161" s="10"/>
      <c r="U161" s="198"/>
      <c r="V161" s="198"/>
      <c r="AA161" s="198"/>
      <c r="AB161" s="198"/>
    </row>
    <row r="162" spans="3:28" ht="13.2">
      <c r="C162" s="10"/>
      <c r="D162" s="10"/>
      <c r="E162" s="10"/>
      <c r="U162" s="198"/>
      <c r="V162" s="198"/>
      <c r="AA162" s="198"/>
      <c r="AB162" s="198"/>
    </row>
    <row r="163" spans="3:28" ht="13.2">
      <c r="C163" s="10"/>
      <c r="D163" s="10"/>
      <c r="E163" s="10"/>
      <c r="U163" s="198"/>
      <c r="V163" s="198"/>
      <c r="AA163" s="198"/>
      <c r="AB163" s="198"/>
    </row>
    <row r="164" spans="3:28" ht="13.2">
      <c r="C164" s="10"/>
      <c r="D164" s="10"/>
      <c r="E164" s="10"/>
      <c r="U164" s="198"/>
      <c r="V164" s="198"/>
      <c r="AA164" s="198"/>
      <c r="AB164" s="198"/>
    </row>
    <row r="165" spans="3:28" ht="13.2">
      <c r="C165" s="10"/>
      <c r="D165" s="10"/>
      <c r="E165" s="10"/>
      <c r="U165" s="198"/>
      <c r="V165" s="198"/>
      <c r="AA165" s="198"/>
      <c r="AB165" s="198"/>
    </row>
    <row r="166" spans="3:28" ht="13.2">
      <c r="C166" s="10"/>
      <c r="D166" s="10"/>
      <c r="E166" s="10"/>
      <c r="U166" s="198"/>
      <c r="V166" s="198"/>
      <c r="AA166" s="198"/>
      <c r="AB166" s="198"/>
    </row>
    <row r="167" spans="3:28" ht="13.2">
      <c r="C167" s="10"/>
      <c r="D167" s="10"/>
      <c r="E167" s="10"/>
      <c r="U167" s="198"/>
      <c r="V167" s="198"/>
      <c r="AA167" s="198"/>
      <c r="AB167" s="198"/>
    </row>
    <row r="168" spans="3:28" ht="13.2">
      <c r="C168" s="10"/>
      <c r="D168" s="10"/>
      <c r="E168" s="10"/>
      <c r="U168" s="198"/>
      <c r="V168" s="198"/>
      <c r="AA168" s="198"/>
      <c r="AB168" s="198"/>
    </row>
    <row r="169" spans="3:28" ht="13.2">
      <c r="C169" s="10"/>
      <c r="D169" s="10"/>
      <c r="E169" s="10"/>
      <c r="U169" s="198"/>
      <c r="V169" s="198"/>
      <c r="AA169" s="198"/>
      <c r="AB169" s="198"/>
    </row>
    <row r="170" spans="3:28" ht="13.2">
      <c r="C170" s="10"/>
      <c r="D170" s="10"/>
      <c r="E170" s="10"/>
      <c r="U170" s="198"/>
      <c r="V170" s="198"/>
      <c r="AA170" s="198"/>
      <c r="AB170" s="198"/>
    </row>
    <row r="171" spans="3:28" ht="13.2">
      <c r="C171" s="10"/>
      <c r="D171" s="10"/>
      <c r="E171" s="10"/>
      <c r="U171" s="198"/>
      <c r="V171" s="198"/>
      <c r="AA171" s="198"/>
      <c r="AB171" s="198"/>
    </row>
    <row r="172" spans="3:28" ht="13.2">
      <c r="C172" s="10"/>
      <c r="D172" s="10"/>
      <c r="E172" s="10"/>
      <c r="U172" s="198"/>
      <c r="V172" s="198"/>
      <c r="AA172" s="198"/>
      <c r="AB172" s="198"/>
    </row>
    <row r="173" spans="3:28" ht="13.2">
      <c r="C173" s="10"/>
      <c r="D173" s="10"/>
      <c r="E173" s="10"/>
      <c r="U173" s="198"/>
      <c r="V173" s="198"/>
      <c r="AA173" s="198"/>
      <c r="AB173" s="198"/>
    </row>
    <row r="174" spans="3:28" ht="13.2">
      <c r="C174" s="10"/>
      <c r="D174" s="10"/>
      <c r="E174" s="10"/>
      <c r="U174" s="198"/>
      <c r="V174" s="198"/>
      <c r="AA174" s="198"/>
      <c r="AB174" s="198"/>
    </row>
    <row r="175" spans="3:28" ht="13.2">
      <c r="C175" s="10"/>
      <c r="D175" s="10"/>
      <c r="E175" s="10"/>
      <c r="U175" s="198"/>
      <c r="V175" s="198"/>
      <c r="AA175" s="198"/>
      <c r="AB175" s="198"/>
    </row>
    <row r="176" spans="3:28" ht="13.2">
      <c r="C176" s="10"/>
      <c r="D176" s="10"/>
      <c r="E176" s="10"/>
      <c r="U176" s="198"/>
      <c r="V176" s="198"/>
      <c r="AA176" s="198"/>
      <c r="AB176" s="198"/>
    </row>
    <row r="177" spans="3:28" ht="13.2">
      <c r="C177" s="10"/>
      <c r="D177" s="10"/>
      <c r="E177" s="10"/>
      <c r="U177" s="198"/>
      <c r="V177" s="198"/>
      <c r="AA177" s="198"/>
      <c r="AB177" s="198"/>
    </row>
    <row r="178" spans="3:28" ht="13.2">
      <c r="C178" s="10"/>
      <c r="D178" s="10"/>
      <c r="E178" s="10"/>
      <c r="U178" s="198"/>
      <c r="V178" s="198"/>
      <c r="AA178" s="198"/>
      <c r="AB178" s="198"/>
    </row>
    <row r="179" spans="3:28" ht="13.2">
      <c r="C179" s="10"/>
      <c r="D179" s="10"/>
      <c r="E179" s="10"/>
      <c r="U179" s="198"/>
      <c r="V179" s="198"/>
      <c r="AA179" s="198"/>
      <c r="AB179" s="198"/>
    </row>
    <row r="180" spans="3:28" ht="13.2">
      <c r="C180" s="10"/>
      <c r="D180" s="10"/>
      <c r="E180" s="10"/>
      <c r="U180" s="198"/>
      <c r="V180" s="198"/>
      <c r="AA180" s="198"/>
      <c r="AB180" s="198"/>
    </row>
    <row r="181" spans="3:28" ht="13.2">
      <c r="C181" s="10"/>
      <c r="D181" s="10"/>
      <c r="E181" s="10"/>
      <c r="U181" s="198"/>
      <c r="V181" s="198"/>
      <c r="AA181" s="198"/>
      <c r="AB181" s="198"/>
    </row>
    <row r="182" spans="3:28" ht="13.2">
      <c r="C182" s="10"/>
      <c r="D182" s="10"/>
      <c r="E182" s="10"/>
      <c r="U182" s="198"/>
      <c r="V182" s="198"/>
      <c r="AA182" s="198"/>
      <c r="AB182" s="198"/>
    </row>
    <row r="183" spans="3:28" ht="13.2">
      <c r="C183" s="10"/>
      <c r="D183" s="10"/>
      <c r="E183" s="10"/>
      <c r="U183" s="198"/>
      <c r="V183" s="198"/>
      <c r="AA183" s="198"/>
      <c r="AB183" s="198"/>
    </row>
    <row r="184" spans="3:28" ht="13.2">
      <c r="C184" s="10"/>
      <c r="D184" s="10"/>
      <c r="E184" s="10"/>
      <c r="U184" s="198"/>
      <c r="V184" s="198"/>
      <c r="AA184" s="198"/>
      <c r="AB184" s="198"/>
    </row>
    <row r="185" spans="3:28" ht="13.2">
      <c r="C185" s="10"/>
      <c r="D185" s="10"/>
      <c r="E185" s="10"/>
      <c r="U185" s="198"/>
      <c r="V185" s="198"/>
      <c r="AA185" s="198"/>
      <c r="AB185" s="198"/>
    </row>
    <row r="186" spans="3:28" ht="13.2">
      <c r="C186" s="10"/>
      <c r="D186" s="10"/>
      <c r="E186" s="10"/>
      <c r="U186" s="198"/>
      <c r="V186" s="198"/>
      <c r="AA186" s="198"/>
      <c r="AB186" s="198"/>
    </row>
    <row r="187" spans="3:28" ht="13.2">
      <c r="C187" s="10"/>
      <c r="D187" s="10"/>
      <c r="E187" s="10"/>
      <c r="U187" s="198"/>
      <c r="V187" s="198"/>
      <c r="AA187" s="198"/>
      <c r="AB187" s="198"/>
    </row>
    <row r="188" spans="3:28" ht="13.2">
      <c r="C188" s="10"/>
      <c r="D188" s="10"/>
      <c r="E188" s="10"/>
      <c r="U188" s="198"/>
      <c r="V188" s="198"/>
      <c r="AA188" s="198"/>
      <c r="AB188" s="198"/>
    </row>
    <row r="189" spans="3:28" ht="13.2">
      <c r="C189" s="10"/>
      <c r="D189" s="10"/>
      <c r="E189" s="10"/>
      <c r="U189" s="198"/>
      <c r="V189" s="198"/>
      <c r="AA189" s="198"/>
      <c r="AB189" s="198"/>
    </row>
    <row r="190" spans="3:28" ht="13.2">
      <c r="C190" s="10"/>
      <c r="D190" s="10"/>
      <c r="E190" s="10"/>
      <c r="U190" s="198"/>
      <c r="V190" s="198"/>
      <c r="AA190" s="198"/>
      <c r="AB190" s="198"/>
    </row>
    <row r="191" spans="3:28" ht="13.2">
      <c r="C191" s="10"/>
      <c r="D191" s="10"/>
      <c r="E191" s="10"/>
      <c r="U191" s="198"/>
      <c r="V191" s="198"/>
      <c r="AA191" s="198"/>
      <c r="AB191" s="198"/>
    </row>
    <row r="192" spans="3:28" ht="13.2">
      <c r="C192" s="10"/>
      <c r="D192" s="10"/>
      <c r="E192" s="10"/>
      <c r="U192" s="198"/>
      <c r="V192" s="198"/>
      <c r="AA192" s="198"/>
      <c r="AB192" s="198"/>
    </row>
    <row r="193" spans="3:28" ht="13.2">
      <c r="C193" s="10"/>
      <c r="D193" s="10"/>
      <c r="E193" s="10"/>
      <c r="U193" s="198"/>
      <c r="V193" s="198"/>
      <c r="AA193" s="198"/>
      <c r="AB193" s="198"/>
    </row>
    <row r="194" spans="3:28" ht="13.2">
      <c r="C194" s="10"/>
      <c r="D194" s="10"/>
      <c r="E194" s="10"/>
      <c r="U194" s="198"/>
      <c r="V194" s="198"/>
      <c r="AA194" s="198"/>
      <c r="AB194" s="198"/>
    </row>
    <row r="195" spans="3:28" ht="13.2">
      <c r="C195" s="10"/>
      <c r="D195" s="10"/>
      <c r="E195" s="10"/>
      <c r="U195" s="198"/>
      <c r="V195" s="198"/>
      <c r="AA195" s="198"/>
      <c r="AB195" s="198"/>
    </row>
    <row r="196" spans="3:28" ht="13.2">
      <c r="C196" s="10"/>
      <c r="D196" s="10"/>
      <c r="E196" s="10"/>
      <c r="U196" s="198"/>
      <c r="V196" s="198"/>
      <c r="AA196" s="198"/>
      <c r="AB196" s="198"/>
    </row>
    <row r="197" spans="3:28" ht="13.2">
      <c r="C197" s="10"/>
      <c r="D197" s="10"/>
      <c r="E197" s="10"/>
      <c r="U197" s="198"/>
      <c r="V197" s="198"/>
      <c r="AA197" s="198"/>
      <c r="AB197" s="198"/>
    </row>
    <row r="198" spans="3:28" ht="13.2">
      <c r="C198" s="10"/>
      <c r="D198" s="10"/>
      <c r="E198" s="10"/>
      <c r="U198" s="198"/>
      <c r="V198" s="198"/>
      <c r="AA198" s="198"/>
      <c r="AB198" s="198"/>
    </row>
    <row r="199" spans="3:28" ht="13.2">
      <c r="C199" s="10"/>
      <c r="D199" s="10"/>
      <c r="E199" s="10"/>
      <c r="U199" s="198"/>
      <c r="V199" s="198"/>
      <c r="AA199" s="198"/>
      <c r="AB199" s="198"/>
    </row>
    <row r="200" spans="3:28" ht="13.2">
      <c r="C200" s="10"/>
      <c r="D200" s="10"/>
      <c r="E200" s="10"/>
      <c r="U200" s="198"/>
      <c r="V200" s="198"/>
      <c r="AA200" s="198"/>
      <c r="AB200" s="198"/>
    </row>
    <row r="201" spans="3:28" ht="13.2">
      <c r="C201" s="10"/>
      <c r="D201" s="10"/>
      <c r="E201" s="10"/>
      <c r="U201" s="198"/>
      <c r="V201" s="198"/>
      <c r="AA201" s="198"/>
      <c r="AB201" s="198"/>
    </row>
    <row r="202" spans="3:28" ht="13.2">
      <c r="C202" s="10"/>
      <c r="D202" s="10"/>
      <c r="E202" s="10"/>
      <c r="U202" s="198"/>
      <c r="V202" s="198"/>
      <c r="AA202" s="198"/>
      <c r="AB202" s="198"/>
    </row>
    <row r="203" spans="3:28" ht="13.2">
      <c r="C203" s="10"/>
      <c r="D203" s="10"/>
      <c r="E203" s="10"/>
      <c r="U203" s="198"/>
      <c r="V203" s="198"/>
      <c r="AA203" s="198"/>
      <c r="AB203" s="198"/>
    </row>
    <row r="204" spans="3:28" ht="13.2">
      <c r="C204" s="10"/>
      <c r="D204" s="10"/>
      <c r="E204" s="10"/>
      <c r="U204" s="198"/>
      <c r="V204" s="198"/>
      <c r="AA204" s="198"/>
      <c r="AB204" s="198"/>
    </row>
    <row r="205" spans="3:28" ht="13.2">
      <c r="C205" s="10"/>
      <c r="D205" s="10"/>
      <c r="E205" s="10"/>
      <c r="U205" s="198"/>
      <c r="V205" s="198"/>
      <c r="AA205" s="198"/>
      <c r="AB205" s="198"/>
    </row>
    <row r="206" spans="3:28" ht="13.2">
      <c r="C206" s="10"/>
      <c r="D206" s="10"/>
      <c r="E206" s="10"/>
      <c r="U206" s="198"/>
      <c r="V206" s="198"/>
      <c r="AA206" s="198"/>
      <c r="AB206" s="198"/>
    </row>
    <row r="207" spans="3:28" ht="13.2">
      <c r="C207" s="10"/>
      <c r="D207" s="10"/>
      <c r="E207" s="10"/>
      <c r="U207" s="198"/>
      <c r="V207" s="198"/>
      <c r="AA207" s="198"/>
      <c r="AB207" s="198"/>
    </row>
    <row r="208" spans="3:28" ht="13.2">
      <c r="C208" s="10"/>
      <c r="D208" s="10"/>
      <c r="E208" s="10"/>
      <c r="U208" s="198"/>
      <c r="V208" s="198"/>
      <c r="AA208" s="198"/>
      <c r="AB208" s="198"/>
    </row>
    <row r="209" spans="3:28" ht="13.2">
      <c r="C209" s="10"/>
      <c r="D209" s="10"/>
      <c r="E209" s="10"/>
      <c r="U209" s="198"/>
      <c r="V209" s="198"/>
      <c r="AA209" s="198"/>
      <c r="AB209" s="198"/>
    </row>
    <row r="210" spans="3:28" ht="13.2">
      <c r="C210" s="10"/>
      <c r="D210" s="10"/>
      <c r="E210" s="10"/>
      <c r="U210" s="198"/>
      <c r="V210" s="198"/>
      <c r="AA210" s="198"/>
      <c r="AB210" s="198"/>
    </row>
    <row r="211" spans="3:28" ht="13.2">
      <c r="C211" s="10"/>
      <c r="D211" s="10"/>
      <c r="E211" s="10"/>
      <c r="U211" s="198"/>
      <c r="V211" s="198"/>
      <c r="AA211" s="198"/>
      <c r="AB211" s="198"/>
    </row>
    <row r="212" spans="3:28" ht="13.2">
      <c r="C212" s="10"/>
      <c r="D212" s="10"/>
      <c r="E212" s="10"/>
      <c r="U212" s="198"/>
      <c r="V212" s="198"/>
      <c r="AA212" s="198"/>
      <c r="AB212" s="198"/>
    </row>
    <row r="213" spans="3:28" ht="13.2">
      <c r="C213" s="10"/>
      <c r="D213" s="10"/>
      <c r="E213" s="10"/>
      <c r="U213" s="198"/>
      <c r="V213" s="198"/>
      <c r="AA213" s="198"/>
      <c r="AB213" s="198"/>
    </row>
    <row r="214" spans="3:28" ht="13.2">
      <c r="C214" s="10"/>
      <c r="D214" s="10"/>
      <c r="E214" s="10"/>
      <c r="U214" s="198"/>
      <c r="V214" s="198"/>
      <c r="AA214" s="198"/>
      <c r="AB214" s="198"/>
    </row>
    <row r="215" spans="3:28" ht="13.2">
      <c r="C215" s="10"/>
      <c r="D215" s="10"/>
      <c r="E215" s="10"/>
      <c r="U215" s="198"/>
      <c r="V215" s="198"/>
      <c r="AA215" s="198"/>
      <c r="AB215" s="198"/>
    </row>
    <row r="216" spans="3:28" ht="13.2">
      <c r="C216" s="10"/>
      <c r="D216" s="10"/>
      <c r="E216" s="10"/>
      <c r="U216" s="198"/>
      <c r="V216" s="198"/>
      <c r="AA216" s="198"/>
      <c r="AB216" s="198"/>
    </row>
    <row r="217" spans="3:28" ht="13.2">
      <c r="C217" s="10"/>
      <c r="D217" s="10"/>
      <c r="E217" s="10"/>
      <c r="U217" s="198"/>
      <c r="V217" s="198"/>
      <c r="AA217" s="198"/>
      <c r="AB217" s="198"/>
    </row>
    <row r="218" spans="3:28" ht="13.2">
      <c r="C218" s="10"/>
      <c r="D218" s="10"/>
      <c r="E218" s="10"/>
      <c r="U218" s="198"/>
      <c r="V218" s="198"/>
      <c r="AA218" s="198"/>
      <c r="AB218" s="198"/>
    </row>
    <row r="219" spans="3:28" ht="13.2">
      <c r="C219" s="10"/>
      <c r="D219" s="10"/>
      <c r="E219" s="10"/>
      <c r="U219" s="198"/>
      <c r="V219" s="198"/>
      <c r="AA219" s="198"/>
      <c r="AB219" s="198"/>
    </row>
    <row r="220" spans="3:28" ht="13.2">
      <c r="C220" s="10"/>
      <c r="D220" s="10"/>
      <c r="E220" s="10"/>
      <c r="U220" s="198"/>
      <c r="V220" s="198"/>
      <c r="AA220" s="198"/>
      <c r="AB220" s="198"/>
    </row>
    <row r="221" spans="3:28" ht="13.2">
      <c r="C221" s="10"/>
      <c r="D221" s="10"/>
      <c r="E221" s="10"/>
      <c r="U221" s="198"/>
      <c r="V221" s="198"/>
      <c r="AA221" s="198"/>
      <c r="AB221" s="198"/>
    </row>
    <row r="222" spans="3:28" ht="13.2">
      <c r="C222" s="10"/>
      <c r="D222" s="10"/>
      <c r="E222" s="10"/>
      <c r="U222" s="198"/>
      <c r="V222" s="198"/>
      <c r="AA222" s="198"/>
      <c r="AB222" s="198"/>
    </row>
    <row r="223" spans="3:28" ht="13.2">
      <c r="C223" s="10"/>
      <c r="D223" s="10"/>
      <c r="E223" s="10"/>
      <c r="U223" s="198"/>
      <c r="V223" s="198"/>
      <c r="AA223" s="198"/>
      <c r="AB223" s="198"/>
    </row>
    <row r="224" spans="3:28" ht="13.2">
      <c r="C224" s="10"/>
      <c r="D224" s="10"/>
      <c r="E224" s="10"/>
      <c r="U224" s="198"/>
      <c r="V224" s="198"/>
      <c r="AA224" s="198"/>
      <c r="AB224" s="198"/>
    </row>
    <row r="225" spans="3:28" ht="13.2">
      <c r="C225" s="10"/>
      <c r="D225" s="10"/>
      <c r="E225" s="10"/>
      <c r="U225" s="198"/>
      <c r="V225" s="198"/>
      <c r="AA225" s="198"/>
      <c r="AB225" s="198"/>
    </row>
    <row r="226" spans="3:28" ht="13.2">
      <c r="C226" s="10"/>
      <c r="D226" s="10"/>
      <c r="E226" s="10"/>
      <c r="U226" s="198"/>
      <c r="V226" s="198"/>
      <c r="AA226" s="198"/>
      <c r="AB226" s="198"/>
    </row>
    <row r="227" spans="3:28" ht="13.2">
      <c r="C227" s="10"/>
      <c r="D227" s="10"/>
      <c r="E227" s="10"/>
      <c r="U227" s="198"/>
      <c r="V227" s="198"/>
      <c r="AA227" s="198"/>
      <c r="AB227" s="198"/>
    </row>
    <row r="228" spans="3:28" ht="13.2">
      <c r="C228" s="10"/>
      <c r="D228" s="10"/>
      <c r="E228" s="10"/>
      <c r="U228" s="198"/>
      <c r="V228" s="198"/>
      <c r="AA228" s="198"/>
      <c r="AB228" s="198"/>
    </row>
    <row r="229" spans="3:28" ht="13.2">
      <c r="C229" s="10"/>
      <c r="D229" s="10"/>
      <c r="E229" s="10"/>
      <c r="U229" s="198"/>
      <c r="V229" s="198"/>
      <c r="AA229" s="198"/>
      <c r="AB229" s="198"/>
    </row>
    <row r="230" spans="3:28" ht="13.2">
      <c r="C230" s="10"/>
      <c r="D230" s="10"/>
      <c r="E230" s="10"/>
      <c r="U230" s="198"/>
      <c r="V230" s="198"/>
      <c r="AA230" s="198"/>
      <c r="AB230" s="198"/>
    </row>
    <row r="231" spans="3:28" ht="13.2">
      <c r="C231" s="10"/>
      <c r="D231" s="10"/>
      <c r="E231" s="10"/>
      <c r="U231" s="198"/>
      <c r="V231" s="198"/>
      <c r="AA231" s="198"/>
      <c r="AB231" s="198"/>
    </row>
    <row r="232" spans="3:28" ht="13.2">
      <c r="C232" s="10"/>
      <c r="D232" s="10"/>
      <c r="E232" s="10"/>
      <c r="U232" s="198"/>
      <c r="V232" s="198"/>
      <c r="AA232" s="198"/>
      <c r="AB232" s="198"/>
    </row>
    <row r="233" spans="3:28" ht="13.2">
      <c r="C233" s="10"/>
      <c r="D233" s="10"/>
      <c r="E233" s="10"/>
      <c r="U233" s="198"/>
      <c r="V233" s="198"/>
      <c r="AA233" s="198"/>
      <c r="AB233" s="198"/>
    </row>
    <row r="234" spans="3:28" ht="13.2">
      <c r="C234" s="10"/>
      <c r="D234" s="10"/>
      <c r="E234" s="10"/>
      <c r="U234" s="198"/>
      <c r="V234" s="198"/>
      <c r="AA234" s="198"/>
      <c r="AB234" s="198"/>
    </row>
    <row r="235" spans="3:28" ht="13.2">
      <c r="C235" s="10"/>
      <c r="D235" s="10"/>
      <c r="E235" s="10"/>
      <c r="U235" s="198"/>
      <c r="V235" s="198"/>
      <c r="AA235" s="198"/>
      <c r="AB235" s="198"/>
    </row>
    <row r="236" spans="3:28" ht="13.2">
      <c r="C236" s="10"/>
      <c r="D236" s="10"/>
      <c r="E236" s="10"/>
      <c r="U236" s="198"/>
      <c r="V236" s="198"/>
      <c r="AA236" s="198"/>
      <c r="AB236" s="198"/>
    </row>
    <row r="237" spans="3:28" ht="13.2">
      <c r="C237" s="10"/>
      <c r="D237" s="10"/>
      <c r="E237" s="10"/>
      <c r="U237" s="198"/>
      <c r="V237" s="198"/>
      <c r="AA237" s="198"/>
      <c r="AB237" s="198"/>
    </row>
    <row r="238" spans="3:28" ht="13.2">
      <c r="C238" s="10"/>
      <c r="D238" s="10"/>
      <c r="E238" s="10"/>
      <c r="U238" s="198"/>
      <c r="V238" s="198"/>
      <c r="AA238" s="198"/>
      <c r="AB238" s="198"/>
    </row>
    <row r="239" spans="3:28" ht="13.2">
      <c r="C239" s="10"/>
      <c r="D239" s="10"/>
      <c r="E239" s="10"/>
      <c r="U239" s="198"/>
      <c r="V239" s="198"/>
      <c r="AA239" s="198"/>
      <c r="AB239" s="198"/>
    </row>
    <row r="240" spans="3:28" ht="13.2">
      <c r="C240" s="10"/>
      <c r="D240" s="10"/>
      <c r="E240" s="10"/>
      <c r="U240" s="198"/>
      <c r="V240" s="198"/>
      <c r="AA240" s="198"/>
      <c r="AB240" s="198"/>
    </row>
    <row r="241" spans="3:28" ht="13.2">
      <c r="C241" s="10"/>
      <c r="D241" s="10"/>
      <c r="E241" s="10"/>
      <c r="U241" s="198"/>
      <c r="V241" s="198"/>
      <c r="AA241" s="198"/>
      <c r="AB241" s="198"/>
    </row>
    <row r="242" spans="3:28" ht="13.2">
      <c r="C242" s="10"/>
      <c r="D242" s="10"/>
      <c r="E242" s="10"/>
      <c r="U242" s="198"/>
      <c r="V242" s="198"/>
      <c r="AA242" s="198"/>
      <c r="AB242" s="198"/>
    </row>
    <row r="243" spans="3:28" ht="13.2">
      <c r="C243" s="10"/>
      <c r="D243" s="10"/>
      <c r="E243" s="10"/>
      <c r="U243" s="198"/>
      <c r="V243" s="198"/>
      <c r="AA243" s="198"/>
      <c r="AB243" s="198"/>
    </row>
    <row r="244" spans="3:28" ht="13.2">
      <c r="C244" s="10"/>
      <c r="D244" s="10"/>
      <c r="E244" s="10"/>
      <c r="U244" s="198"/>
      <c r="V244" s="198"/>
      <c r="AA244" s="198"/>
      <c r="AB244" s="198"/>
    </row>
    <row r="245" spans="3:28" ht="13.2">
      <c r="C245" s="10"/>
      <c r="D245" s="10"/>
      <c r="E245" s="10"/>
      <c r="U245" s="198"/>
      <c r="V245" s="198"/>
      <c r="AA245" s="198"/>
      <c r="AB245" s="198"/>
    </row>
    <row r="246" spans="3:28" ht="13.2">
      <c r="C246" s="10"/>
      <c r="D246" s="10"/>
      <c r="E246" s="10"/>
      <c r="U246" s="198"/>
      <c r="V246" s="198"/>
      <c r="AA246" s="198"/>
      <c r="AB246" s="198"/>
    </row>
    <row r="247" spans="3:28" ht="13.2">
      <c r="C247" s="10"/>
      <c r="D247" s="10"/>
      <c r="E247" s="10"/>
      <c r="U247" s="198"/>
      <c r="V247" s="198"/>
      <c r="AA247" s="198"/>
      <c r="AB247" s="198"/>
    </row>
    <row r="248" spans="3:28" ht="13.2">
      <c r="C248" s="10"/>
      <c r="D248" s="10"/>
      <c r="E248" s="10"/>
      <c r="U248" s="198"/>
      <c r="V248" s="198"/>
      <c r="AA248" s="198"/>
      <c r="AB248" s="198"/>
    </row>
    <row r="249" spans="3:28" ht="13.2">
      <c r="C249" s="10"/>
      <c r="D249" s="10"/>
      <c r="E249" s="10"/>
      <c r="U249" s="198"/>
      <c r="V249" s="198"/>
      <c r="AA249" s="198"/>
      <c r="AB249" s="198"/>
    </row>
    <row r="250" spans="3:28" ht="13.2">
      <c r="C250" s="10"/>
      <c r="D250" s="10"/>
      <c r="E250" s="10"/>
      <c r="U250" s="198"/>
      <c r="V250" s="198"/>
      <c r="AA250" s="198"/>
      <c r="AB250" s="198"/>
    </row>
    <row r="251" spans="3:28" ht="13.2">
      <c r="C251" s="10"/>
      <c r="D251" s="10"/>
      <c r="E251" s="10"/>
      <c r="U251" s="198"/>
      <c r="V251" s="198"/>
      <c r="AA251" s="198"/>
      <c r="AB251" s="198"/>
    </row>
    <row r="252" spans="3:28" ht="13.2">
      <c r="C252" s="10"/>
      <c r="D252" s="10"/>
      <c r="E252" s="10"/>
      <c r="U252" s="198"/>
      <c r="V252" s="198"/>
      <c r="AA252" s="198"/>
      <c r="AB252" s="198"/>
    </row>
    <row r="253" spans="3:28" ht="13.2">
      <c r="C253" s="10"/>
      <c r="D253" s="10"/>
      <c r="E253" s="10"/>
      <c r="U253" s="198"/>
      <c r="V253" s="198"/>
      <c r="AA253" s="198"/>
      <c r="AB253" s="198"/>
    </row>
    <row r="254" spans="3:28" ht="13.2">
      <c r="C254" s="10"/>
      <c r="D254" s="10"/>
      <c r="E254" s="10"/>
      <c r="U254" s="198"/>
      <c r="V254" s="198"/>
      <c r="AA254" s="198"/>
      <c r="AB254" s="198"/>
    </row>
    <row r="255" spans="3:28" ht="13.2">
      <c r="C255" s="10"/>
      <c r="D255" s="10"/>
      <c r="E255" s="10"/>
      <c r="U255" s="198"/>
      <c r="V255" s="198"/>
      <c r="AA255" s="198"/>
      <c r="AB255" s="198"/>
    </row>
    <row r="256" spans="3:28" ht="13.2">
      <c r="C256" s="10"/>
      <c r="D256" s="10"/>
      <c r="E256" s="10"/>
      <c r="U256" s="198"/>
      <c r="V256" s="198"/>
      <c r="AA256" s="198"/>
      <c r="AB256" s="198"/>
    </row>
    <row r="257" spans="3:28" ht="13.2">
      <c r="C257" s="10"/>
      <c r="D257" s="10"/>
      <c r="E257" s="10"/>
      <c r="U257" s="198"/>
      <c r="V257" s="198"/>
      <c r="AA257" s="198"/>
      <c r="AB257" s="198"/>
    </row>
    <row r="258" spans="3:28" ht="13.2">
      <c r="C258" s="10"/>
      <c r="D258" s="10"/>
      <c r="E258" s="10"/>
      <c r="U258" s="198"/>
      <c r="V258" s="198"/>
      <c r="AA258" s="198"/>
      <c r="AB258" s="198"/>
    </row>
    <row r="259" spans="3:28" ht="13.2">
      <c r="C259" s="10"/>
      <c r="D259" s="10"/>
      <c r="E259" s="10"/>
      <c r="U259" s="198"/>
      <c r="V259" s="198"/>
      <c r="AA259" s="198"/>
      <c r="AB259" s="198"/>
    </row>
    <row r="260" spans="3:28" ht="13.2">
      <c r="C260" s="10"/>
      <c r="D260" s="10"/>
      <c r="E260" s="10"/>
      <c r="U260" s="198"/>
      <c r="V260" s="198"/>
      <c r="AA260" s="198"/>
      <c r="AB260" s="198"/>
    </row>
    <row r="261" spans="3:28" ht="13.2">
      <c r="C261" s="10"/>
      <c r="D261" s="10"/>
      <c r="E261" s="10"/>
      <c r="U261" s="198"/>
      <c r="V261" s="198"/>
      <c r="AA261" s="198"/>
      <c r="AB261" s="198"/>
    </row>
    <row r="262" spans="3:28" ht="13.2">
      <c r="C262" s="10"/>
      <c r="D262" s="10"/>
      <c r="E262" s="10"/>
      <c r="U262" s="198"/>
      <c r="V262" s="198"/>
      <c r="AA262" s="198"/>
      <c r="AB262" s="198"/>
    </row>
    <row r="263" spans="3:28" ht="13.2">
      <c r="C263" s="10"/>
      <c r="D263" s="10"/>
      <c r="E263" s="10"/>
      <c r="U263" s="198"/>
      <c r="V263" s="198"/>
      <c r="AA263" s="198"/>
      <c r="AB263" s="198"/>
    </row>
    <row r="264" spans="3:28" ht="13.2">
      <c r="C264" s="10"/>
      <c r="D264" s="10"/>
      <c r="E264" s="10"/>
      <c r="U264" s="198"/>
      <c r="V264" s="198"/>
      <c r="AA264" s="198"/>
      <c r="AB264" s="198"/>
    </row>
    <row r="265" spans="3:28" ht="13.2">
      <c r="C265" s="10"/>
      <c r="D265" s="10"/>
      <c r="E265" s="10"/>
      <c r="U265" s="198"/>
      <c r="V265" s="198"/>
      <c r="AA265" s="198"/>
      <c r="AB265" s="198"/>
    </row>
    <row r="266" spans="3:28" ht="13.2">
      <c r="C266" s="10"/>
      <c r="D266" s="10"/>
      <c r="E266" s="10"/>
      <c r="U266" s="198"/>
      <c r="V266" s="198"/>
      <c r="AA266" s="198"/>
      <c r="AB266" s="198"/>
    </row>
    <row r="267" spans="3:28" ht="13.2">
      <c r="C267" s="10"/>
      <c r="D267" s="10"/>
      <c r="E267" s="10"/>
      <c r="U267" s="198"/>
      <c r="V267" s="198"/>
      <c r="AA267" s="198"/>
      <c r="AB267" s="198"/>
    </row>
    <row r="268" spans="3:28" ht="13.2">
      <c r="C268" s="10"/>
      <c r="D268" s="10"/>
      <c r="E268" s="10"/>
      <c r="U268" s="198"/>
      <c r="V268" s="198"/>
      <c r="AA268" s="198"/>
      <c r="AB268" s="198"/>
    </row>
    <row r="269" spans="3:28" ht="13.2">
      <c r="C269" s="10"/>
      <c r="D269" s="10"/>
      <c r="E269" s="10"/>
      <c r="U269" s="198"/>
      <c r="V269" s="198"/>
      <c r="AA269" s="198"/>
      <c r="AB269" s="198"/>
    </row>
    <row r="270" spans="3:28" ht="13.2">
      <c r="C270" s="10"/>
      <c r="D270" s="10"/>
      <c r="E270" s="10"/>
      <c r="U270" s="198"/>
      <c r="V270" s="198"/>
      <c r="AA270" s="198"/>
      <c r="AB270" s="198"/>
    </row>
    <row r="271" spans="3:28" ht="13.2">
      <c r="C271" s="10"/>
      <c r="D271" s="10"/>
      <c r="E271" s="10"/>
      <c r="U271" s="198"/>
      <c r="V271" s="198"/>
      <c r="AA271" s="198"/>
      <c r="AB271" s="198"/>
    </row>
    <row r="272" spans="3:28" ht="13.2">
      <c r="C272" s="10"/>
      <c r="D272" s="10"/>
      <c r="E272" s="10"/>
      <c r="U272" s="198"/>
      <c r="V272" s="198"/>
      <c r="AA272" s="198"/>
      <c r="AB272" s="198"/>
    </row>
    <row r="273" spans="3:28" ht="13.2">
      <c r="C273" s="10"/>
      <c r="D273" s="10"/>
      <c r="E273" s="10"/>
      <c r="U273" s="198"/>
      <c r="V273" s="198"/>
      <c r="AA273" s="198"/>
      <c r="AB273" s="198"/>
    </row>
    <row r="274" spans="3:28" ht="13.2">
      <c r="C274" s="10"/>
      <c r="D274" s="10"/>
      <c r="E274" s="10"/>
      <c r="U274" s="198"/>
      <c r="V274" s="198"/>
      <c r="AA274" s="198"/>
      <c r="AB274" s="198"/>
    </row>
    <row r="275" spans="3:28" ht="13.2">
      <c r="C275" s="10"/>
      <c r="D275" s="10"/>
      <c r="E275" s="10"/>
      <c r="U275" s="198"/>
      <c r="V275" s="198"/>
      <c r="AA275" s="198"/>
      <c r="AB275" s="198"/>
    </row>
    <row r="276" spans="3:28" ht="13.2">
      <c r="C276" s="10"/>
      <c r="D276" s="10"/>
      <c r="E276" s="10"/>
      <c r="U276" s="198"/>
      <c r="V276" s="198"/>
      <c r="AA276" s="198"/>
      <c r="AB276" s="198"/>
    </row>
    <row r="277" spans="3:28" ht="13.2">
      <c r="C277" s="10"/>
      <c r="D277" s="10"/>
      <c r="E277" s="10"/>
      <c r="U277" s="198"/>
      <c r="V277" s="198"/>
      <c r="AA277" s="198"/>
      <c r="AB277" s="198"/>
    </row>
    <row r="278" spans="3:28" ht="13.2">
      <c r="C278" s="10"/>
      <c r="D278" s="10"/>
      <c r="E278" s="10"/>
      <c r="U278" s="198"/>
      <c r="V278" s="198"/>
      <c r="AA278" s="198"/>
      <c r="AB278" s="198"/>
    </row>
    <row r="279" spans="3:28" ht="13.2">
      <c r="C279" s="10"/>
      <c r="D279" s="10"/>
      <c r="E279" s="10"/>
      <c r="U279" s="198"/>
      <c r="V279" s="198"/>
      <c r="AA279" s="198"/>
      <c r="AB279" s="198"/>
    </row>
    <row r="280" spans="3:28" ht="13.2">
      <c r="C280" s="10"/>
      <c r="D280" s="10"/>
      <c r="E280" s="10"/>
      <c r="U280" s="198"/>
      <c r="V280" s="198"/>
      <c r="AA280" s="198"/>
      <c r="AB280" s="198"/>
    </row>
    <row r="281" spans="3:28" ht="13.2">
      <c r="C281" s="10"/>
      <c r="D281" s="10"/>
      <c r="E281" s="10"/>
      <c r="U281" s="198"/>
      <c r="V281" s="198"/>
      <c r="AA281" s="198"/>
      <c r="AB281" s="198"/>
    </row>
    <row r="282" spans="3:28" ht="13.2">
      <c r="C282" s="10"/>
      <c r="D282" s="10"/>
      <c r="E282" s="10"/>
      <c r="U282" s="198"/>
      <c r="V282" s="198"/>
      <c r="AA282" s="198"/>
      <c r="AB282" s="198"/>
    </row>
    <row r="283" spans="3:28" ht="13.2">
      <c r="C283" s="10"/>
      <c r="D283" s="10"/>
      <c r="E283" s="10"/>
      <c r="U283" s="198"/>
      <c r="V283" s="198"/>
      <c r="AA283" s="198"/>
      <c r="AB283" s="198"/>
    </row>
    <row r="284" spans="3:28" ht="13.2">
      <c r="C284" s="10"/>
      <c r="D284" s="10"/>
      <c r="E284" s="10"/>
      <c r="U284" s="198"/>
      <c r="V284" s="198"/>
      <c r="AA284" s="198"/>
      <c r="AB284" s="198"/>
    </row>
    <row r="285" spans="3:28" ht="13.2">
      <c r="C285" s="10"/>
      <c r="D285" s="10"/>
      <c r="E285" s="10"/>
      <c r="U285" s="198"/>
      <c r="V285" s="198"/>
      <c r="AA285" s="198"/>
      <c r="AB285" s="198"/>
    </row>
    <row r="286" spans="3:28" ht="13.2">
      <c r="C286" s="10"/>
      <c r="D286" s="10"/>
      <c r="E286" s="10"/>
      <c r="U286" s="198"/>
      <c r="V286" s="198"/>
      <c r="AA286" s="198"/>
      <c r="AB286" s="198"/>
    </row>
    <row r="287" spans="3:28" ht="13.2">
      <c r="C287" s="10"/>
      <c r="D287" s="10"/>
      <c r="E287" s="10"/>
      <c r="U287" s="198"/>
      <c r="V287" s="198"/>
      <c r="AA287" s="198"/>
      <c r="AB287" s="198"/>
    </row>
    <row r="288" spans="3:28" ht="13.2">
      <c r="C288" s="10"/>
      <c r="D288" s="10"/>
      <c r="E288" s="10"/>
      <c r="U288" s="198"/>
      <c r="V288" s="198"/>
      <c r="AA288" s="198"/>
      <c r="AB288" s="198"/>
    </row>
    <row r="289" spans="3:28" ht="13.2">
      <c r="C289" s="10"/>
      <c r="D289" s="10"/>
      <c r="E289" s="10"/>
      <c r="U289" s="198"/>
      <c r="V289" s="198"/>
      <c r="AA289" s="198"/>
      <c r="AB289" s="198"/>
    </row>
    <row r="290" spans="3:28" ht="13.2">
      <c r="C290" s="10"/>
      <c r="D290" s="10"/>
      <c r="E290" s="10"/>
      <c r="U290" s="198"/>
      <c r="V290" s="198"/>
      <c r="AA290" s="198"/>
      <c r="AB290" s="198"/>
    </row>
    <row r="291" spans="3:28" ht="13.2">
      <c r="C291" s="10"/>
      <c r="D291" s="10"/>
      <c r="E291" s="10"/>
      <c r="U291" s="198"/>
      <c r="V291" s="198"/>
      <c r="AA291" s="198"/>
      <c r="AB291" s="198"/>
    </row>
    <row r="292" spans="3:28" ht="13.2">
      <c r="C292" s="10"/>
      <c r="D292" s="10"/>
      <c r="E292" s="10"/>
      <c r="U292" s="198"/>
      <c r="V292" s="198"/>
      <c r="AA292" s="198"/>
      <c r="AB292" s="198"/>
    </row>
    <row r="293" spans="3:28" ht="13.2">
      <c r="C293" s="10"/>
      <c r="D293" s="10"/>
      <c r="E293" s="10"/>
      <c r="U293" s="198"/>
      <c r="V293" s="198"/>
      <c r="AA293" s="198"/>
      <c r="AB293" s="198"/>
    </row>
    <row r="294" spans="3:28" ht="13.2">
      <c r="C294" s="10"/>
      <c r="D294" s="10"/>
      <c r="E294" s="10"/>
      <c r="U294" s="198"/>
      <c r="V294" s="198"/>
      <c r="AA294" s="198"/>
      <c r="AB294" s="198"/>
    </row>
    <row r="295" spans="3:28" ht="13.2">
      <c r="C295" s="10"/>
      <c r="D295" s="10"/>
      <c r="E295" s="10"/>
      <c r="U295" s="198"/>
      <c r="V295" s="198"/>
      <c r="AA295" s="198"/>
      <c r="AB295" s="198"/>
    </row>
    <row r="296" spans="3:28" ht="13.2">
      <c r="C296" s="10"/>
      <c r="D296" s="10"/>
      <c r="E296" s="10"/>
      <c r="U296" s="198"/>
      <c r="V296" s="198"/>
      <c r="AA296" s="198"/>
      <c r="AB296" s="198"/>
    </row>
    <row r="297" spans="3:28" ht="13.2">
      <c r="C297" s="10"/>
      <c r="D297" s="10"/>
      <c r="E297" s="10"/>
      <c r="U297" s="198"/>
      <c r="V297" s="198"/>
      <c r="AA297" s="198"/>
      <c r="AB297" s="198"/>
    </row>
    <row r="298" spans="3:28" ht="13.2">
      <c r="C298" s="10"/>
      <c r="D298" s="10"/>
      <c r="E298" s="10"/>
      <c r="U298" s="198"/>
      <c r="V298" s="198"/>
      <c r="AA298" s="198"/>
      <c r="AB298" s="198"/>
    </row>
    <row r="299" spans="3:28" ht="13.2">
      <c r="C299" s="10"/>
      <c r="D299" s="10"/>
      <c r="E299" s="10"/>
      <c r="U299" s="198"/>
      <c r="V299" s="198"/>
      <c r="AA299" s="198"/>
      <c r="AB299" s="198"/>
    </row>
    <row r="300" spans="3:28" ht="13.2">
      <c r="C300" s="10"/>
      <c r="D300" s="10"/>
      <c r="E300" s="10"/>
      <c r="U300" s="198"/>
      <c r="V300" s="198"/>
      <c r="AA300" s="198"/>
      <c r="AB300" s="198"/>
    </row>
    <row r="301" spans="3:28" ht="13.2">
      <c r="C301" s="10"/>
      <c r="D301" s="10"/>
      <c r="E301" s="10"/>
      <c r="U301" s="198"/>
      <c r="V301" s="198"/>
      <c r="AA301" s="198"/>
      <c r="AB301" s="198"/>
    </row>
    <row r="302" spans="3:28" ht="13.2">
      <c r="C302" s="10"/>
      <c r="D302" s="10"/>
      <c r="E302" s="10"/>
      <c r="U302" s="198"/>
      <c r="V302" s="198"/>
      <c r="AA302" s="198"/>
      <c r="AB302" s="198"/>
    </row>
    <row r="303" spans="3:28" ht="13.2">
      <c r="C303" s="10"/>
      <c r="D303" s="10"/>
      <c r="E303" s="10"/>
      <c r="U303" s="198"/>
      <c r="V303" s="198"/>
      <c r="AA303" s="198"/>
      <c r="AB303" s="198"/>
    </row>
    <row r="304" spans="3:28" ht="13.2">
      <c r="C304" s="10"/>
      <c r="D304" s="10"/>
      <c r="E304" s="10"/>
      <c r="U304" s="198"/>
      <c r="V304" s="198"/>
      <c r="AA304" s="198"/>
      <c r="AB304" s="198"/>
    </row>
    <row r="305" spans="3:28" ht="13.2">
      <c r="C305" s="10"/>
      <c r="D305" s="10"/>
      <c r="E305" s="10"/>
      <c r="U305" s="198"/>
      <c r="V305" s="198"/>
      <c r="AA305" s="198"/>
      <c r="AB305" s="198"/>
    </row>
    <row r="306" spans="3:28" ht="13.2">
      <c r="C306" s="10"/>
      <c r="D306" s="10"/>
      <c r="E306" s="10"/>
      <c r="U306" s="198"/>
      <c r="V306" s="198"/>
      <c r="AA306" s="198"/>
      <c r="AB306" s="198"/>
    </row>
    <row r="307" spans="3:28" ht="13.2">
      <c r="C307" s="10"/>
      <c r="D307" s="10"/>
      <c r="E307" s="10"/>
      <c r="U307" s="198"/>
      <c r="V307" s="198"/>
      <c r="AA307" s="198"/>
      <c r="AB307" s="198"/>
    </row>
    <row r="308" spans="3:28" ht="13.2">
      <c r="C308" s="10"/>
      <c r="D308" s="10"/>
      <c r="E308" s="10"/>
      <c r="U308" s="198"/>
      <c r="V308" s="198"/>
      <c r="AA308" s="198"/>
      <c r="AB308" s="198"/>
    </row>
    <row r="309" spans="3:28" ht="13.2">
      <c r="C309" s="10"/>
      <c r="D309" s="10"/>
      <c r="E309" s="10"/>
      <c r="U309" s="198"/>
      <c r="V309" s="198"/>
      <c r="AA309" s="198"/>
      <c r="AB309" s="198"/>
    </row>
    <row r="310" spans="3:28" ht="13.2">
      <c r="C310" s="10"/>
      <c r="D310" s="10"/>
      <c r="E310" s="10"/>
      <c r="U310" s="198"/>
      <c r="V310" s="198"/>
      <c r="AA310" s="198"/>
      <c r="AB310" s="198"/>
    </row>
    <row r="311" spans="3:28" ht="13.2">
      <c r="C311" s="10"/>
      <c r="D311" s="10"/>
      <c r="E311" s="10"/>
      <c r="U311" s="198"/>
      <c r="V311" s="198"/>
      <c r="AA311" s="198"/>
      <c r="AB311" s="198"/>
    </row>
    <row r="312" spans="3:28" ht="13.2">
      <c r="C312" s="10"/>
      <c r="D312" s="10"/>
      <c r="E312" s="10"/>
      <c r="U312" s="198"/>
      <c r="V312" s="198"/>
      <c r="AA312" s="198"/>
      <c r="AB312" s="198"/>
    </row>
    <row r="313" spans="3:28" ht="13.2">
      <c r="C313" s="10"/>
      <c r="D313" s="10"/>
      <c r="E313" s="10"/>
      <c r="U313" s="198"/>
      <c r="V313" s="198"/>
      <c r="AA313" s="198"/>
      <c r="AB313" s="198"/>
    </row>
    <row r="314" spans="3:28" ht="13.2">
      <c r="C314" s="10"/>
      <c r="D314" s="10"/>
      <c r="E314" s="10"/>
      <c r="U314" s="198"/>
      <c r="V314" s="198"/>
      <c r="AA314" s="198"/>
      <c r="AB314" s="198"/>
    </row>
    <row r="315" spans="3:28" ht="13.2">
      <c r="C315" s="10"/>
      <c r="D315" s="10"/>
      <c r="E315" s="10"/>
      <c r="U315" s="198"/>
      <c r="V315" s="198"/>
      <c r="AA315" s="198"/>
      <c r="AB315" s="198"/>
    </row>
    <row r="316" spans="3:28" ht="13.2">
      <c r="C316" s="10"/>
      <c r="D316" s="10"/>
      <c r="E316" s="10"/>
      <c r="U316" s="198"/>
      <c r="V316" s="198"/>
      <c r="AA316" s="198"/>
      <c r="AB316" s="198"/>
    </row>
    <row r="317" spans="3:28" ht="13.2">
      <c r="C317" s="10"/>
      <c r="D317" s="10"/>
      <c r="E317" s="10"/>
      <c r="U317" s="198"/>
      <c r="V317" s="198"/>
      <c r="AA317" s="198"/>
      <c r="AB317" s="198"/>
    </row>
    <row r="318" spans="3:28" ht="13.2">
      <c r="C318" s="10"/>
      <c r="D318" s="10"/>
      <c r="E318" s="10"/>
      <c r="U318" s="198"/>
      <c r="V318" s="198"/>
      <c r="AA318" s="198"/>
      <c r="AB318" s="198"/>
    </row>
    <row r="319" spans="3:28" ht="13.2">
      <c r="C319" s="10"/>
      <c r="D319" s="10"/>
      <c r="E319" s="10"/>
      <c r="U319" s="198"/>
      <c r="V319" s="198"/>
      <c r="AA319" s="198"/>
      <c r="AB319" s="198"/>
    </row>
    <row r="320" spans="3:28" ht="13.2">
      <c r="C320" s="10"/>
      <c r="D320" s="10"/>
      <c r="E320" s="10"/>
      <c r="U320" s="198"/>
      <c r="V320" s="198"/>
      <c r="AA320" s="198"/>
      <c r="AB320" s="198"/>
    </row>
    <row r="321" spans="3:28" ht="13.2">
      <c r="C321" s="10"/>
      <c r="D321" s="10"/>
      <c r="E321" s="10"/>
      <c r="U321" s="198"/>
      <c r="V321" s="198"/>
      <c r="AA321" s="198"/>
      <c r="AB321" s="198"/>
    </row>
    <row r="322" spans="3:28" ht="13.2">
      <c r="C322" s="10"/>
      <c r="D322" s="10"/>
      <c r="E322" s="10"/>
      <c r="U322" s="198"/>
      <c r="V322" s="198"/>
      <c r="AA322" s="198"/>
      <c r="AB322" s="198"/>
    </row>
    <row r="323" spans="3:28" ht="13.2">
      <c r="C323" s="10"/>
      <c r="D323" s="10"/>
      <c r="E323" s="10"/>
      <c r="U323" s="198"/>
      <c r="V323" s="198"/>
      <c r="AA323" s="198"/>
      <c r="AB323" s="198"/>
    </row>
    <row r="324" spans="3:28" ht="13.2">
      <c r="C324" s="10"/>
      <c r="D324" s="10"/>
      <c r="E324" s="10"/>
      <c r="U324" s="198"/>
      <c r="V324" s="198"/>
      <c r="AA324" s="198"/>
      <c r="AB324" s="198"/>
    </row>
    <row r="325" spans="3:28" ht="13.2">
      <c r="C325" s="10"/>
      <c r="D325" s="10"/>
      <c r="E325" s="10"/>
      <c r="U325" s="198"/>
      <c r="V325" s="198"/>
      <c r="AA325" s="198"/>
      <c r="AB325" s="198"/>
    </row>
    <row r="326" spans="3:28" ht="13.2">
      <c r="C326" s="10"/>
      <c r="D326" s="10"/>
      <c r="E326" s="10"/>
      <c r="U326" s="198"/>
      <c r="V326" s="198"/>
      <c r="AA326" s="198"/>
      <c r="AB326" s="198"/>
    </row>
    <row r="327" spans="3:28" ht="13.2">
      <c r="C327" s="10"/>
      <c r="D327" s="10"/>
      <c r="E327" s="10"/>
      <c r="U327" s="198"/>
      <c r="V327" s="198"/>
      <c r="AA327" s="198"/>
      <c r="AB327" s="198"/>
    </row>
    <row r="328" spans="3:28" ht="13.2">
      <c r="C328" s="10"/>
      <c r="D328" s="10"/>
      <c r="E328" s="10"/>
      <c r="U328" s="198"/>
      <c r="V328" s="198"/>
      <c r="AA328" s="198"/>
      <c r="AB328" s="198"/>
    </row>
    <row r="329" spans="3:28" ht="13.2">
      <c r="C329" s="10"/>
      <c r="D329" s="10"/>
      <c r="E329" s="10"/>
      <c r="U329" s="198"/>
      <c r="V329" s="198"/>
      <c r="AA329" s="198"/>
      <c r="AB329" s="198"/>
    </row>
    <row r="330" spans="3:28" ht="13.2">
      <c r="C330" s="10"/>
      <c r="D330" s="10"/>
      <c r="E330" s="10"/>
      <c r="U330" s="198"/>
      <c r="V330" s="198"/>
      <c r="AA330" s="198"/>
      <c r="AB330" s="198"/>
    </row>
    <row r="331" spans="3:28" ht="13.2">
      <c r="C331" s="10"/>
      <c r="D331" s="10"/>
      <c r="E331" s="10"/>
      <c r="U331" s="198"/>
      <c r="V331" s="198"/>
      <c r="AA331" s="198"/>
      <c r="AB331" s="198"/>
    </row>
    <row r="332" spans="3:28" ht="13.2">
      <c r="C332" s="10"/>
      <c r="D332" s="10"/>
      <c r="E332" s="10"/>
      <c r="U332" s="198"/>
      <c r="V332" s="198"/>
      <c r="AA332" s="198"/>
      <c r="AB332" s="198"/>
    </row>
    <row r="333" spans="3:28" ht="13.2">
      <c r="C333" s="10"/>
      <c r="D333" s="10"/>
      <c r="E333" s="10"/>
      <c r="U333" s="198"/>
      <c r="V333" s="198"/>
      <c r="AA333" s="198"/>
      <c r="AB333" s="198"/>
    </row>
    <row r="334" spans="3:28" ht="13.2">
      <c r="C334" s="10"/>
      <c r="D334" s="10"/>
      <c r="E334" s="10"/>
      <c r="U334" s="198"/>
      <c r="V334" s="198"/>
      <c r="AA334" s="198"/>
      <c r="AB334" s="198"/>
    </row>
    <row r="335" spans="3:28" ht="13.2">
      <c r="C335" s="10"/>
      <c r="D335" s="10"/>
      <c r="E335" s="10"/>
      <c r="U335" s="198"/>
      <c r="V335" s="198"/>
      <c r="AA335" s="198"/>
      <c r="AB335" s="198"/>
    </row>
    <row r="336" spans="3:28" ht="13.2">
      <c r="C336" s="10"/>
      <c r="D336" s="10"/>
      <c r="E336" s="10"/>
      <c r="U336" s="198"/>
      <c r="V336" s="198"/>
      <c r="AA336" s="198"/>
      <c r="AB336" s="198"/>
    </row>
    <row r="337" spans="3:28" ht="13.2">
      <c r="C337" s="10"/>
      <c r="D337" s="10"/>
      <c r="E337" s="10"/>
      <c r="U337" s="198"/>
      <c r="V337" s="198"/>
      <c r="AA337" s="198"/>
      <c r="AB337" s="198"/>
    </row>
    <row r="338" spans="3:28" ht="13.2">
      <c r="C338" s="10"/>
      <c r="D338" s="10"/>
      <c r="E338" s="10"/>
      <c r="U338" s="198"/>
      <c r="V338" s="198"/>
      <c r="AA338" s="198"/>
      <c r="AB338" s="198"/>
    </row>
    <row r="339" spans="3:28" ht="13.2">
      <c r="C339" s="10"/>
      <c r="D339" s="10"/>
      <c r="E339" s="10"/>
      <c r="U339" s="198"/>
      <c r="V339" s="198"/>
      <c r="AA339" s="198"/>
      <c r="AB339" s="198"/>
    </row>
    <row r="340" spans="3:28" ht="13.2">
      <c r="C340" s="10"/>
      <c r="D340" s="10"/>
      <c r="E340" s="10"/>
      <c r="U340" s="198"/>
      <c r="V340" s="198"/>
      <c r="AA340" s="198"/>
      <c r="AB340" s="198"/>
    </row>
    <row r="341" spans="3:28" ht="13.2">
      <c r="C341" s="10"/>
      <c r="D341" s="10"/>
      <c r="E341" s="10"/>
      <c r="U341" s="198"/>
      <c r="V341" s="198"/>
      <c r="AA341" s="198"/>
      <c r="AB341" s="198"/>
    </row>
    <row r="342" spans="3:28" ht="13.2">
      <c r="C342" s="10"/>
      <c r="D342" s="10"/>
      <c r="E342" s="10"/>
      <c r="U342" s="198"/>
      <c r="V342" s="198"/>
      <c r="AA342" s="198"/>
      <c r="AB342" s="198"/>
    </row>
    <row r="343" spans="3:28" ht="13.2">
      <c r="C343" s="10"/>
      <c r="D343" s="10"/>
      <c r="E343" s="10"/>
      <c r="U343" s="198"/>
      <c r="V343" s="198"/>
      <c r="AA343" s="198"/>
      <c r="AB343" s="198"/>
    </row>
    <row r="344" spans="3:28" ht="13.2">
      <c r="C344" s="10"/>
      <c r="D344" s="10"/>
      <c r="E344" s="10"/>
      <c r="U344" s="198"/>
      <c r="V344" s="198"/>
      <c r="AA344" s="198"/>
      <c r="AB344" s="198"/>
    </row>
    <row r="345" spans="3:28" ht="13.2">
      <c r="C345" s="10"/>
      <c r="D345" s="10"/>
      <c r="E345" s="10"/>
      <c r="U345" s="198"/>
      <c r="V345" s="198"/>
      <c r="AA345" s="198"/>
      <c r="AB345" s="198"/>
    </row>
    <row r="346" spans="3:28" ht="13.2">
      <c r="C346" s="10"/>
      <c r="D346" s="10"/>
      <c r="E346" s="10"/>
      <c r="U346" s="198"/>
      <c r="V346" s="198"/>
      <c r="AA346" s="198"/>
      <c r="AB346" s="198"/>
    </row>
    <row r="347" spans="3:28" ht="13.2">
      <c r="C347" s="10"/>
      <c r="D347" s="10"/>
      <c r="E347" s="10"/>
      <c r="U347" s="198"/>
      <c r="V347" s="198"/>
      <c r="AA347" s="198"/>
      <c r="AB347" s="198"/>
    </row>
    <row r="348" spans="3:28" ht="13.2">
      <c r="C348" s="10"/>
      <c r="D348" s="10"/>
      <c r="E348" s="10"/>
      <c r="U348" s="198"/>
      <c r="V348" s="198"/>
      <c r="AA348" s="198"/>
      <c r="AB348" s="198"/>
    </row>
    <row r="349" spans="3:28" ht="13.2">
      <c r="C349" s="10"/>
      <c r="D349" s="10"/>
      <c r="E349" s="10"/>
      <c r="U349" s="198"/>
      <c r="V349" s="198"/>
      <c r="AA349" s="198"/>
      <c r="AB349" s="198"/>
    </row>
    <row r="350" spans="3:28" ht="13.2">
      <c r="C350" s="10"/>
      <c r="D350" s="10"/>
      <c r="E350" s="10"/>
      <c r="U350" s="198"/>
      <c r="V350" s="198"/>
      <c r="AA350" s="198"/>
      <c r="AB350" s="198"/>
    </row>
    <row r="351" spans="3:28" ht="13.2">
      <c r="C351" s="10"/>
      <c r="D351" s="10"/>
      <c r="E351" s="10"/>
      <c r="U351" s="198"/>
      <c r="V351" s="198"/>
      <c r="AA351" s="198"/>
      <c r="AB351" s="198"/>
    </row>
    <row r="352" spans="3:28" ht="13.2">
      <c r="C352" s="10"/>
      <c r="D352" s="10"/>
      <c r="E352" s="10"/>
      <c r="U352" s="198"/>
      <c r="V352" s="198"/>
      <c r="AA352" s="198"/>
      <c r="AB352" s="198"/>
    </row>
    <row r="353" spans="3:28" ht="13.2">
      <c r="C353" s="10"/>
      <c r="D353" s="10"/>
      <c r="E353" s="10"/>
      <c r="U353" s="198"/>
      <c r="V353" s="198"/>
      <c r="AA353" s="198"/>
      <c r="AB353" s="198"/>
    </row>
    <row r="354" spans="3:28" ht="13.2">
      <c r="C354" s="10"/>
      <c r="D354" s="10"/>
      <c r="E354" s="10"/>
      <c r="U354" s="198"/>
      <c r="V354" s="198"/>
      <c r="AA354" s="198"/>
      <c r="AB354" s="198"/>
    </row>
    <row r="355" spans="3:28" ht="13.2">
      <c r="C355" s="10"/>
      <c r="D355" s="10"/>
      <c r="E355" s="10"/>
      <c r="U355" s="198"/>
      <c r="V355" s="198"/>
      <c r="AA355" s="198"/>
      <c r="AB355" s="198"/>
    </row>
    <row r="356" spans="3:28" ht="13.2">
      <c r="C356" s="10"/>
      <c r="D356" s="10"/>
      <c r="E356" s="10"/>
      <c r="U356" s="198"/>
      <c r="V356" s="198"/>
      <c r="AA356" s="198"/>
      <c r="AB356" s="198"/>
    </row>
    <row r="357" spans="3:28" ht="13.2">
      <c r="C357" s="10"/>
      <c r="D357" s="10"/>
      <c r="E357" s="10"/>
      <c r="U357" s="198"/>
      <c r="V357" s="198"/>
      <c r="AA357" s="198"/>
      <c r="AB357" s="198"/>
    </row>
    <row r="358" spans="3:28" ht="13.2">
      <c r="C358" s="10"/>
      <c r="D358" s="10"/>
      <c r="E358" s="10"/>
      <c r="U358" s="198"/>
      <c r="V358" s="198"/>
      <c r="AA358" s="198"/>
      <c r="AB358" s="198"/>
    </row>
    <row r="359" spans="3:28" ht="13.2">
      <c r="C359" s="10"/>
      <c r="D359" s="10"/>
      <c r="E359" s="10"/>
      <c r="U359" s="198"/>
      <c r="V359" s="198"/>
      <c r="AA359" s="198"/>
      <c r="AB359" s="198"/>
    </row>
    <row r="360" spans="3:28" ht="13.2">
      <c r="C360" s="10"/>
      <c r="D360" s="10"/>
      <c r="E360" s="10"/>
      <c r="U360" s="198"/>
      <c r="V360" s="198"/>
      <c r="AA360" s="198"/>
      <c r="AB360" s="198"/>
    </row>
    <row r="361" spans="3:28" ht="13.2">
      <c r="C361" s="10"/>
      <c r="D361" s="10"/>
      <c r="E361" s="10"/>
      <c r="U361" s="198"/>
      <c r="V361" s="198"/>
      <c r="AA361" s="198"/>
      <c r="AB361" s="198"/>
    </row>
    <row r="362" spans="3:28" ht="13.2">
      <c r="C362" s="10"/>
      <c r="D362" s="10"/>
      <c r="E362" s="10"/>
      <c r="U362" s="198"/>
      <c r="V362" s="198"/>
      <c r="AA362" s="198"/>
      <c r="AB362" s="198"/>
    </row>
    <row r="363" spans="3:28" ht="13.2">
      <c r="C363" s="10"/>
      <c r="D363" s="10"/>
      <c r="E363" s="10"/>
      <c r="U363" s="198"/>
      <c r="V363" s="198"/>
      <c r="AA363" s="198"/>
      <c r="AB363" s="198"/>
    </row>
    <row r="364" spans="3:28" ht="13.2">
      <c r="C364" s="10"/>
      <c r="D364" s="10"/>
      <c r="E364" s="10"/>
      <c r="U364" s="198"/>
      <c r="V364" s="198"/>
      <c r="AA364" s="198"/>
      <c r="AB364" s="198"/>
    </row>
    <row r="365" spans="3:28" ht="13.2">
      <c r="C365" s="10"/>
      <c r="D365" s="10"/>
      <c r="E365" s="10"/>
      <c r="U365" s="198"/>
      <c r="V365" s="198"/>
      <c r="AA365" s="198"/>
      <c r="AB365" s="198"/>
    </row>
    <row r="366" spans="3:28" ht="13.2">
      <c r="C366" s="10"/>
      <c r="D366" s="10"/>
      <c r="E366" s="10"/>
      <c r="U366" s="198"/>
      <c r="V366" s="198"/>
      <c r="AA366" s="198"/>
      <c r="AB366" s="198"/>
    </row>
    <row r="367" spans="3:28" ht="13.2">
      <c r="C367" s="10"/>
      <c r="D367" s="10"/>
      <c r="E367" s="10"/>
      <c r="U367" s="198"/>
      <c r="V367" s="198"/>
      <c r="AA367" s="198"/>
      <c r="AB367" s="198"/>
    </row>
    <row r="368" spans="3:28" ht="13.2">
      <c r="C368" s="10"/>
      <c r="D368" s="10"/>
      <c r="E368" s="10"/>
      <c r="U368" s="198"/>
      <c r="V368" s="198"/>
      <c r="AA368" s="198"/>
      <c r="AB368" s="198"/>
    </row>
    <row r="369" spans="3:28" ht="13.2">
      <c r="C369" s="10"/>
      <c r="D369" s="10"/>
      <c r="E369" s="10"/>
      <c r="U369" s="198"/>
      <c r="V369" s="198"/>
      <c r="AA369" s="198"/>
      <c r="AB369" s="198"/>
    </row>
    <row r="370" spans="3:28" ht="13.2">
      <c r="C370" s="10"/>
      <c r="D370" s="10"/>
      <c r="E370" s="10"/>
      <c r="U370" s="198"/>
      <c r="V370" s="198"/>
      <c r="AA370" s="198"/>
      <c r="AB370" s="198"/>
    </row>
    <row r="371" spans="3:28" ht="13.2">
      <c r="C371" s="10"/>
      <c r="D371" s="10"/>
      <c r="E371" s="10"/>
      <c r="U371" s="198"/>
      <c r="V371" s="198"/>
      <c r="AA371" s="198"/>
      <c r="AB371" s="198"/>
    </row>
    <row r="372" spans="3:28" ht="13.2">
      <c r="C372" s="10"/>
      <c r="D372" s="10"/>
      <c r="E372" s="10"/>
      <c r="U372" s="198"/>
      <c r="V372" s="198"/>
      <c r="AA372" s="198"/>
      <c r="AB372" s="198"/>
    </row>
    <row r="373" spans="3:28" ht="13.2">
      <c r="C373" s="10"/>
      <c r="D373" s="10"/>
      <c r="E373" s="10"/>
      <c r="U373" s="198"/>
      <c r="V373" s="198"/>
      <c r="AA373" s="198"/>
      <c r="AB373" s="198"/>
    </row>
    <row r="374" spans="3:28" ht="13.2">
      <c r="C374" s="10"/>
      <c r="D374" s="10"/>
      <c r="E374" s="10"/>
      <c r="U374" s="198"/>
      <c r="V374" s="198"/>
      <c r="AA374" s="198"/>
      <c r="AB374" s="198"/>
    </row>
    <row r="375" spans="3:28" ht="13.2">
      <c r="C375" s="10"/>
      <c r="D375" s="10"/>
      <c r="E375" s="10"/>
      <c r="U375" s="198"/>
      <c r="V375" s="198"/>
      <c r="AA375" s="198"/>
      <c r="AB375" s="198"/>
    </row>
    <row r="376" spans="3:28" ht="13.2">
      <c r="C376" s="10"/>
      <c r="D376" s="10"/>
      <c r="E376" s="10"/>
      <c r="U376" s="198"/>
      <c r="V376" s="198"/>
      <c r="AA376" s="198"/>
      <c r="AB376" s="198"/>
    </row>
    <row r="377" spans="3:28" ht="13.2">
      <c r="C377" s="10"/>
      <c r="D377" s="10"/>
      <c r="E377" s="10"/>
      <c r="U377" s="198"/>
      <c r="V377" s="198"/>
      <c r="AA377" s="198"/>
      <c r="AB377" s="198"/>
    </row>
    <row r="378" spans="3:28" ht="13.2">
      <c r="C378" s="10"/>
      <c r="D378" s="10"/>
      <c r="E378" s="10"/>
      <c r="U378" s="198"/>
      <c r="V378" s="198"/>
      <c r="AA378" s="198"/>
      <c r="AB378" s="198"/>
    </row>
    <row r="379" spans="3:28" ht="13.2">
      <c r="C379" s="10"/>
      <c r="D379" s="10"/>
      <c r="E379" s="10"/>
      <c r="U379" s="198"/>
      <c r="V379" s="198"/>
      <c r="AA379" s="198"/>
      <c r="AB379" s="198"/>
    </row>
    <row r="380" spans="3:28" ht="13.2">
      <c r="C380" s="10"/>
      <c r="D380" s="10"/>
      <c r="E380" s="10"/>
      <c r="U380" s="198"/>
      <c r="V380" s="198"/>
      <c r="AA380" s="198"/>
      <c r="AB380" s="198"/>
    </row>
    <row r="381" spans="3:28" ht="13.2">
      <c r="C381" s="10"/>
      <c r="D381" s="10"/>
      <c r="E381" s="10"/>
      <c r="U381" s="198"/>
      <c r="V381" s="198"/>
      <c r="AA381" s="198"/>
      <c r="AB381" s="198"/>
    </row>
    <row r="382" spans="3:28" ht="13.2">
      <c r="C382" s="10"/>
      <c r="D382" s="10"/>
      <c r="E382" s="10"/>
      <c r="U382" s="198"/>
      <c r="V382" s="198"/>
      <c r="AA382" s="198"/>
      <c r="AB382" s="198"/>
    </row>
    <row r="383" spans="3:28" ht="13.2">
      <c r="C383" s="10"/>
      <c r="D383" s="10"/>
      <c r="E383" s="10"/>
      <c r="U383" s="198"/>
      <c r="V383" s="198"/>
      <c r="AA383" s="198"/>
      <c r="AB383" s="198"/>
    </row>
    <row r="384" spans="3:28" ht="13.2">
      <c r="C384" s="10"/>
      <c r="D384" s="10"/>
      <c r="E384" s="10"/>
      <c r="U384" s="198"/>
      <c r="V384" s="198"/>
      <c r="AA384" s="198"/>
      <c r="AB384" s="198"/>
    </row>
    <row r="385" spans="3:28" ht="13.2">
      <c r="C385" s="10"/>
      <c r="D385" s="10"/>
      <c r="E385" s="10"/>
      <c r="U385" s="198"/>
      <c r="V385" s="198"/>
      <c r="AA385" s="198"/>
      <c r="AB385" s="198"/>
    </row>
    <row r="386" spans="3:28" ht="13.2">
      <c r="C386" s="10"/>
      <c r="D386" s="10"/>
      <c r="E386" s="10"/>
      <c r="U386" s="198"/>
      <c r="V386" s="198"/>
      <c r="AA386" s="198"/>
      <c r="AB386" s="198"/>
    </row>
    <row r="387" spans="3:28" ht="13.2">
      <c r="C387" s="10"/>
      <c r="D387" s="10"/>
      <c r="E387" s="10"/>
      <c r="U387" s="198"/>
      <c r="V387" s="198"/>
      <c r="AA387" s="198"/>
      <c r="AB387" s="198"/>
    </row>
    <row r="388" spans="3:28" ht="13.2">
      <c r="C388" s="10"/>
      <c r="D388" s="10"/>
      <c r="E388" s="10"/>
      <c r="U388" s="198"/>
      <c r="V388" s="198"/>
      <c r="AA388" s="198"/>
      <c r="AB388" s="198"/>
    </row>
    <row r="389" spans="3:28" ht="13.2">
      <c r="C389" s="10"/>
      <c r="D389" s="10"/>
      <c r="E389" s="10"/>
      <c r="U389" s="198"/>
      <c r="V389" s="198"/>
      <c r="AA389" s="198"/>
      <c r="AB389" s="198"/>
    </row>
    <row r="390" spans="3:28" ht="13.2">
      <c r="C390" s="10"/>
      <c r="D390" s="10"/>
      <c r="E390" s="10"/>
      <c r="U390" s="198"/>
      <c r="V390" s="198"/>
      <c r="AA390" s="198"/>
      <c r="AB390" s="198"/>
    </row>
    <row r="391" spans="3:28" ht="13.2">
      <c r="C391" s="10"/>
      <c r="D391" s="10"/>
      <c r="E391" s="10"/>
      <c r="U391" s="198"/>
      <c r="V391" s="198"/>
      <c r="AA391" s="198"/>
      <c r="AB391" s="198"/>
    </row>
    <row r="392" spans="3:28" ht="13.2">
      <c r="C392" s="10"/>
      <c r="D392" s="10"/>
      <c r="E392" s="10"/>
      <c r="U392" s="198"/>
      <c r="V392" s="198"/>
      <c r="AA392" s="198"/>
      <c r="AB392" s="198"/>
    </row>
    <row r="393" spans="3:28" ht="13.2">
      <c r="C393" s="10"/>
      <c r="D393" s="10"/>
      <c r="E393" s="10"/>
      <c r="U393" s="198"/>
      <c r="V393" s="198"/>
      <c r="AA393" s="198"/>
      <c r="AB393" s="198"/>
    </row>
    <row r="394" spans="3:28" ht="13.2">
      <c r="C394" s="10"/>
      <c r="D394" s="10"/>
      <c r="E394" s="10"/>
      <c r="U394" s="198"/>
      <c r="V394" s="198"/>
      <c r="AA394" s="198"/>
      <c r="AB394" s="198"/>
    </row>
    <row r="395" spans="3:28" ht="13.2">
      <c r="C395" s="10"/>
      <c r="D395" s="10"/>
      <c r="E395" s="10"/>
      <c r="U395" s="198"/>
      <c r="V395" s="198"/>
      <c r="AA395" s="198"/>
      <c r="AB395" s="198"/>
    </row>
    <row r="396" spans="3:28" ht="13.2">
      <c r="C396" s="10"/>
      <c r="D396" s="10"/>
      <c r="E396" s="10"/>
      <c r="U396" s="198"/>
      <c r="V396" s="198"/>
      <c r="AA396" s="198"/>
      <c r="AB396" s="198"/>
    </row>
    <row r="397" spans="3:28" ht="13.2">
      <c r="C397" s="10"/>
      <c r="D397" s="10"/>
      <c r="E397" s="10"/>
      <c r="U397" s="198"/>
      <c r="V397" s="198"/>
      <c r="AA397" s="198"/>
      <c r="AB397" s="198"/>
    </row>
    <row r="398" spans="3:28" ht="13.2">
      <c r="C398" s="10"/>
      <c r="D398" s="10"/>
      <c r="E398" s="10"/>
      <c r="U398" s="198"/>
      <c r="V398" s="198"/>
      <c r="AA398" s="198"/>
      <c r="AB398" s="198"/>
    </row>
    <row r="399" spans="3:28" ht="13.2">
      <c r="C399" s="10"/>
      <c r="D399" s="10"/>
      <c r="E399" s="10"/>
      <c r="U399" s="198"/>
      <c r="V399" s="198"/>
      <c r="AA399" s="198"/>
      <c r="AB399" s="198"/>
    </row>
    <row r="400" spans="3:28" ht="13.2">
      <c r="C400" s="10"/>
      <c r="D400" s="10"/>
      <c r="E400" s="10"/>
      <c r="U400" s="198"/>
      <c r="V400" s="198"/>
      <c r="AA400" s="198"/>
      <c r="AB400" s="198"/>
    </row>
    <row r="401" spans="3:28" ht="13.2">
      <c r="C401" s="10"/>
      <c r="D401" s="10"/>
      <c r="E401" s="10"/>
      <c r="U401" s="198"/>
      <c r="V401" s="198"/>
      <c r="AA401" s="198"/>
      <c r="AB401" s="198"/>
    </row>
    <row r="402" spans="3:28" ht="13.2">
      <c r="C402" s="10"/>
      <c r="D402" s="10"/>
      <c r="E402" s="10"/>
      <c r="U402" s="198"/>
      <c r="V402" s="198"/>
      <c r="AA402" s="198"/>
      <c r="AB402" s="198"/>
    </row>
    <row r="403" spans="3:28" ht="13.2">
      <c r="C403" s="10"/>
      <c r="D403" s="10"/>
      <c r="E403" s="10"/>
      <c r="U403" s="198"/>
      <c r="V403" s="198"/>
      <c r="AA403" s="198"/>
      <c r="AB403" s="198"/>
    </row>
    <row r="404" spans="3:28" ht="13.2">
      <c r="C404" s="10"/>
      <c r="D404" s="10"/>
      <c r="E404" s="10"/>
      <c r="U404" s="198"/>
      <c r="V404" s="198"/>
      <c r="AA404" s="198"/>
      <c r="AB404" s="198"/>
    </row>
    <row r="405" spans="3:28" ht="13.2">
      <c r="C405" s="10"/>
      <c r="D405" s="10"/>
      <c r="E405" s="10"/>
      <c r="U405" s="198"/>
      <c r="V405" s="198"/>
      <c r="AA405" s="198"/>
      <c r="AB405" s="198"/>
    </row>
    <row r="406" spans="3:28" ht="13.2">
      <c r="C406" s="10"/>
      <c r="D406" s="10"/>
      <c r="E406" s="10"/>
      <c r="U406" s="198"/>
      <c r="V406" s="198"/>
      <c r="AA406" s="198"/>
      <c r="AB406" s="198"/>
    </row>
    <row r="407" spans="3:28" ht="13.2">
      <c r="C407" s="10"/>
      <c r="D407" s="10"/>
      <c r="E407" s="10"/>
      <c r="U407" s="198"/>
      <c r="V407" s="198"/>
      <c r="AA407" s="198"/>
      <c r="AB407" s="198"/>
    </row>
    <row r="408" spans="3:28" ht="13.2">
      <c r="C408" s="10"/>
      <c r="D408" s="10"/>
      <c r="E408" s="10"/>
      <c r="U408" s="198"/>
      <c r="V408" s="198"/>
      <c r="AA408" s="198"/>
      <c r="AB408" s="198"/>
    </row>
    <row r="409" spans="3:28" ht="13.2">
      <c r="C409" s="10"/>
      <c r="D409" s="10"/>
      <c r="E409" s="10"/>
      <c r="U409" s="198"/>
      <c r="V409" s="198"/>
      <c r="AA409" s="198"/>
      <c r="AB409" s="198"/>
    </row>
    <row r="410" spans="3:28" ht="13.2">
      <c r="C410" s="10"/>
      <c r="D410" s="10"/>
      <c r="E410" s="10"/>
      <c r="U410" s="198"/>
      <c r="V410" s="198"/>
      <c r="AA410" s="198"/>
      <c r="AB410" s="198"/>
    </row>
    <row r="411" spans="3:28" ht="13.2">
      <c r="C411" s="10"/>
      <c r="D411" s="10"/>
      <c r="E411" s="10"/>
      <c r="U411" s="198"/>
      <c r="V411" s="198"/>
      <c r="AA411" s="198"/>
      <c r="AB411" s="198"/>
    </row>
    <row r="412" spans="3:28" ht="13.2">
      <c r="C412" s="10"/>
      <c r="D412" s="10"/>
      <c r="E412" s="10"/>
      <c r="U412" s="198"/>
      <c r="V412" s="198"/>
      <c r="AA412" s="198"/>
      <c r="AB412" s="198"/>
    </row>
    <row r="413" spans="3:28" ht="13.2">
      <c r="C413" s="10"/>
      <c r="D413" s="10"/>
      <c r="E413" s="10"/>
      <c r="U413" s="198"/>
      <c r="V413" s="198"/>
      <c r="AA413" s="198"/>
      <c r="AB413" s="198"/>
    </row>
    <row r="414" spans="3:28" ht="13.2">
      <c r="C414" s="10"/>
      <c r="D414" s="10"/>
      <c r="E414" s="10"/>
      <c r="U414" s="198"/>
      <c r="V414" s="198"/>
      <c r="AA414" s="198"/>
      <c r="AB414" s="198"/>
    </row>
    <row r="415" spans="3:28" ht="13.2">
      <c r="C415" s="10"/>
      <c r="D415" s="10"/>
      <c r="E415" s="10"/>
      <c r="U415" s="198"/>
      <c r="V415" s="198"/>
      <c r="AA415" s="198"/>
      <c r="AB415" s="198"/>
    </row>
    <row r="416" spans="3:28" ht="13.2">
      <c r="C416" s="10"/>
      <c r="D416" s="10"/>
      <c r="E416" s="10"/>
      <c r="U416" s="198"/>
      <c r="V416" s="198"/>
      <c r="AA416" s="198"/>
      <c r="AB416" s="198"/>
    </row>
    <row r="417" spans="3:28" ht="13.2">
      <c r="C417" s="10"/>
      <c r="D417" s="10"/>
      <c r="E417" s="10"/>
      <c r="U417" s="198"/>
      <c r="V417" s="198"/>
      <c r="AA417" s="198"/>
      <c r="AB417" s="198"/>
    </row>
    <row r="418" spans="3:28" ht="13.2">
      <c r="C418" s="10"/>
      <c r="D418" s="10"/>
      <c r="E418" s="10"/>
      <c r="U418" s="198"/>
      <c r="V418" s="198"/>
      <c r="AA418" s="198"/>
      <c r="AB418" s="198"/>
    </row>
    <row r="419" spans="3:28" ht="13.2">
      <c r="C419" s="10"/>
      <c r="D419" s="10"/>
      <c r="E419" s="10"/>
      <c r="U419" s="198"/>
      <c r="V419" s="198"/>
      <c r="AA419" s="198"/>
      <c r="AB419" s="198"/>
    </row>
    <row r="420" spans="3:28" ht="13.2">
      <c r="C420" s="10"/>
      <c r="D420" s="10"/>
      <c r="E420" s="10"/>
      <c r="U420" s="198"/>
      <c r="V420" s="198"/>
      <c r="AA420" s="198"/>
      <c r="AB420" s="198"/>
    </row>
    <row r="421" spans="3:28" ht="13.2">
      <c r="C421" s="10"/>
      <c r="D421" s="10"/>
      <c r="E421" s="10"/>
      <c r="U421" s="198"/>
      <c r="V421" s="198"/>
      <c r="AA421" s="198"/>
      <c r="AB421" s="198"/>
    </row>
    <row r="422" spans="3:28" ht="13.2">
      <c r="C422" s="10"/>
      <c r="D422" s="10"/>
      <c r="E422" s="10"/>
      <c r="U422" s="198"/>
      <c r="V422" s="198"/>
      <c r="AA422" s="198"/>
      <c r="AB422" s="198"/>
    </row>
    <row r="423" spans="3:28" ht="13.2">
      <c r="C423" s="10"/>
      <c r="D423" s="10"/>
      <c r="E423" s="10"/>
      <c r="U423" s="198"/>
      <c r="V423" s="198"/>
      <c r="AA423" s="198"/>
      <c r="AB423" s="198"/>
    </row>
    <row r="424" spans="3:28" ht="13.2">
      <c r="C424" s="10"/>
      <c r="D424" s="10"/>
      <c r="E424" s="10"/>
      <c r="U424" s="198"/>
      <c r="V424" s="198"/>
      <c r="AA424" s="198"/>
      <c r="AB424" s="198"/>
    </row>
    <row r="425" spans="3:28" ht="13.2">
      <c r="C425" s="10"/>
      <c r="D425" s="10"/>
      <c r="E425" s="10"/>
      <c r="U425" s="198"/>
      <c r="V425" s="198"/>
      <c r="AA425" s="198"/>
      <c r="AB425" s="198"/>
    </row>
    <row r="426" spans="3:28" ht="13.2">
      <c r="C426" s="10"/>
      <c r="D426" s="10"/>
      <c r="E426" s="10"/>
      <c r="U426" s="198"/>
      <c r="V426" s="198"/>
      <c r="AA426" s="198"/>
      <c r="AB426" s="198"/>
    </row>
    <row r="427" spans="3:28" ht="13.2">
      <c r="C427" s="10"/>
      <c r="D427" s="10"/>
      <c r="E427" s="10"/>
      <c r="U427" s="198"/>
      <c r="V427" s="198"/>
      <c r="AA427" s="198"/>
      <c r="AB427" s="198"/>
    </row>
    <row r="428" spans="3:28" ht="13.2">
      <c r="C428" s="10"/>
      <c r="D428" s="10"/>
      <c r="E428" s="10"/>
      <c r="U428" s="198"/>
      <c r="V428" s="198"/>
      <c r="AA428" s="198"/>
      <c r="AB428" s="198"/>
    </row>
    <row r="429" spans="3:28" ht="13.2">
      <c r="C429" s="10"/>
      <c r="D429" s="10"/>
      <c r="E429" s="10"/>
      <c r="U429" s="198"/>
      <c r="V429" s="198"/>
      <c r="AA429" s="198"/>
      <c r="AB429" s="198"/>
    </row>
    <row r="430" spans="3:28" ht="13.2">
      <c r="C430" s="10"/>
      <c r="D430" s="10"/>
      <c r="E430" s="10"/>
      <c r="U430" s="198"/>
      <c r="V430" s="198"/>
      <c r="AA430" s="198"/>
      <c r="AB430" s="198"/>
    </row>
    <row r="431" spans="3:28" ht="13.2">
      <c r="C431" s="10"/>
      <c r="D431" s="10"/>
      <c r="E431" s="10"/>
      <c r="U431" s="198"/>
      <c r="V431" s="198"/>
      <c r="AA431" s="198"/>
      <c r="AB431" s="198"/>
    </row>
    <row r="432" spans="3:28" ht="13.2">
      <c r="C432" s="10"/>
      <c r="D432" s="10"/>
      <c r="E432" s="10"/>
      <c r="U432" s="198"/>
      <c r="V432" s="198"/>
      <c r="AA432" s="198"/>
      <c r="AB432" s="198"/>
    </row>
    <row r="433" spans="3:28" ht="13.2">
      <c r="C433" s="10"/>
      <c r="D433" s="10"/>
      <c r="E433" s="10"/>
      <c r="U433" s="198"/>
      <c r="V433" s="198"/>
      <c r="AA433" s="198"/>
      <c r="AB433" s="198"/>
    </row>
    <row r="434" spans="3:28" ht="13.2">
      <c r="C434" s="10"/>
      <c r="D434" s="10"/>
      <c r="E434" s="10"/>
      <c r="U434" s="198"/>
      <c r="V434" s="198"/>
      <c r="AA434" s="198"/>
      <c r="AB434" s="198"/>
    </row>
    <row r="435" spans="3:28" ht="13.2">
      <c r="C435" s="10"/>
      <c r="D435" s="10"/>
      <c r="E435" s="10"/>
      <c r="U435" s="198"/>
      <c r="V435" s="198"/>
      <c r="AA435" s="198"/>
      <c r="AB435" s="198"/>
    </row>
    <row r="436" spans="3:28" ht="13.2">
      <c r="C436" s="10"/>
      <c r="D436" s="10"/>
      <c r="E436" s="10"/>
      <c r="U436" s="198"/>
      <c r="V436" s="198"/>
      <c r="AA436" s="198"/>
      <c r="AB436" s="198"/>
    </row>
    <row r="437" spans="3:28" ht="13.2">
      <c r="C437" s="10"/>
      <c r="D437" s="10"/>
      <c r="E437" s="10"/>
      <c r="U437" s="198"/>
      <c r="V437" s="198"/>
      <c r="AA437" s="198"/>
      <c r="AB437" s="198"/>
    </row>
    <row r="438" spans="3:28" ht="13.2">
      <c r="C438" s="10"/>
      <c r="D438" s="10"/>
      <c r="E438" s="10"/>
      <c r="U438" s="198"/>
      <c r="V438" s="198"/>
      <c r="AA438" s="198"/>
      <c r="AB438" s="198"/>
    </row>
    <row r="439" spans="3:28" ht="13.2">
      <c r="C439" s="10"/>
      <c r="D439" s="10"/>
      <c r="E439" s="10"/>
      <c r="U439" s="198"/>
      <c r="V439" s="198"/>
      <c r="AA439" s="198"/>
      <c r="AB439" s="198"/>
    </row>
    <row r="440" spans="3:28" ht="13.2">
      <c r="C440" s="10"/>
      <c r="D440" s="10"/>
      <c r="E440" s="10"/>
      <c r="U440" s="198"/>
      <c r="V440" s="198"/>
      <c r="AA440" s="198"/>
      <c r="AB440" s="198"/>
    </row>
    <row r="441" spans="3:28" ht="13.2">
      <c r="C441" s="10"/>
      <c r="D441" s="10"/>
      <c r="E441" s="10"/>
      <c r="U441" s="198"/>
      <c r="V441" s="198"/>
      <c r="AA441" s="198"/>
      <c r="AB441" s="198"/>
    </row>
    <row r="442" spans="3:28" ht="13.2">
      <c r="C442" s="10"/>
      <c r="D442" s="10"/>
      <c r="E442" s="10"/>
      <c r="U442" s="198"/>
      <c r="V442" s="198"/>
      <c r="AA442" s="198"/>
      <c r="AB442" s="198"/>
    </row>
    <row r="443" spans="3:28" ht="13.2">
      <c r="C443" s="10"/>
      <c r="D443" s="10"/>
      <c r="E443" s="10"/>
      <c r="U443" s="198"/>
      <c r="V443" s="198"/>
      <c r="AA443" s="198"/>
      <c r="AB443" s="198"/>
    </row>
    <row r="444" spans="3:28" ht="13.2">
      <c r="C444" s="10"/>
      <c r="D444" s="10"/>
      <c r="E444" s="10"/>
      <c r="U444" s="198"/>
      <c r="V444" s="198"/>
      <c r="AA444" s="198"/>
      <c r="AB444" s="198"/>
    </row>
    <row r="445" spans="3:28" ht="13.2">
      <c r="C445" s="10"/>
      <c r="D445" s="10"/>
      <c r="E445" s="10"/>
      <c r="U445" s="198"/>
      <c r="V445" s="198"/>
      <c r="AA445" s="198"/>
      <c r="AB445" s="198"/>
    </row>
    <row r="446" spans="3:28" ht="13.2">
      <c r="C446" s="10"/>
      <c r="D446" s="10"/>
      <c r="E446" s="10"/>
      <c r="U446" s="198"/>
      <c r="V446" s="198"/>
      <c r="AA446" s="198"/>
      <c r="AB446" s="198"/>
    </row>
    <row r="447" spans="3:28" ht="13.2">
      <c r="C447" s="10"/>
      <c r="D447" s="10"/>
      <c r="E447" s="10"/>
      <c r="U447" s="198"/>
      <c r="V447" s="198"/>
      <c r="AA447" s="198"/>
      <c r="AB447" s="198"/>
    </row>
    <row r="448" spans="3:28" ht="13.2">
      <c r="C448" s="10"/>
      <c r="D448" s="10"/>
      <c r="E448" s="10"/>
      <c r="U448" s="198"/>
      <c r="V448" s="198"/>
      <c r="AA448" s="198"/>
      <c r="AB448" s="198"/>
    </row>
    <row r="449" spans="3:28" ht="13.2">
      <c r="C449" s="10"/>
      <c r="D449" s="10"/>
      <c r="E449" s="10"/>
      <c r="U449" s="198"/>
      <c r="V449" s="198"/>
      <c r="AA449" s="198"/>
      <c r="AB449" s="198"/>
    </row>
    <row r="450" spans="3:28" ht="13.2">
      <c r="C450" s="10"/>
      <c r="D450" s="10"/>
      <c r="E450" s="10"/>
      <c r="U450" s="198"/>
      <c r="V450" s="198"/>
      <c r="AA450" s="198"/>
      <c r="AB450" s="198"/>
    </row>
    <row r="451" spans="3:28" ht="13.2">
      <c r="C451" s="10"/>
      <c r="D451" s="10"/>
      <c r="E451" s="10"/>
      <c r="U451" s="198"/>
      <c r="V451" s="198"/>
      <c r="AA451" s="198"/>
      <c r="AB451" s="198"/>
    </row>
    <row r="452" spans="3:28" ht="13.2">
      <c r="C452" s="10"/>
      <c r="D452" s="10"/>
      <c r="E452" s="10"/>
      <c r="U452" s="198"/>
      <c r="V452" s="198"/>
      <c r="AA452" s="198"/>
      <c r="AB452" s="198"/>
    </row>
    <row r="453" spans="3:28" ht="13.2">
      <c r="C453" s="10"/>
      <c r="D453" s="10"/>
      <c r="E453" s="10"/>
      <c r="U453" s="198"/>
      <c r="V453" s="198"/>
      <c r="AA453" s="198"/>
      <c r="AB453" s="198"/>
    </row>
    <row r="454" spans="3:28" ht="13.2">
      <c r="C454" s="10"/>
      <c r="D454" s="10"/>
      <c r="E454" s="10"/>
      <c r="U454" s="198"/>
      <c r="V454" s="198"/>
      <c r="AA454" s="198"/>
      <c r="AB454" s="198"/>
    </row>
    <row r="455" spans="3:28" ht="13.2">
      <c r="C455" s="10"/>
      <c r="D455" s="10"/>
      <c r="E455" s="10"/>
      <c r="U455" s="198"/>
      <c r="V455" s="198"/>
      <c r="AA455" s="198"/>
      <c r="AB455" s="198"/>
    </row>
    <row r="456" spans="3:28" ht="13.2">
      <c r="C456" s="10"/>
      <c r="D456" s="10"/>
      <c r="E456" s="10"/>
      <c r="U456" s="198"/>
      <c r="V456" s="198"/>
      <c r="AA456" s="198"/>
      <c r="AB456" s="198"/>
    </row>
    <row r="457" spans="3:28" ht="13.2">
      <c r="C457" s="10"/>
      <c r="D457" s="10"/>
      <c r="E457" s="10"/>
      <c r="U457" s="198"/>
      <c r="V457" s="198"/>
      <c r="AA457" s="198"/>
      <c r="AB457" s="198"/>
    </row>
    <row r="458" spans="3:28" ht="13.2">
      <c r="C458" s="10"/>
      <c r="D458" s="10"/>
      <c r="E458" s="10"/>
      <c r="U458" s="198"/>
      <c r="V458" s="198"/>
      <c r="AA458" s="198"/>
      <c r="AB458" s="198"/>
    </row>
    <row r="459" spans="3:28" ht="13.2">
      <c r="C459" s="10"/>
      <c r="D459" s="10"/>
      <c r="E459" s="10"/>
      <c r="U459" s="198"/>
      <c r="V459" s="198"/>
      <c r="AA459" s="198"/>
      <c r="AB459" s="198"/>
    </row>
    <row r="460" spans="3:28" ht="13.2">
      <c r="C460" s="10"/>
      <c r="D460" s="10"/>
      <c r="E460" s="10"/>
      <c r="U460" s="198"/>
      <c r="V460" s="198"/>
      <c r="AA460" s="198"/>
      <c r="AB460" s="198"/>
    </row>
    <row r="461" spans="3:28" ht="13.2">
      <c r="C461" s="10"/>
      <c r="D461" s="10"/>
      <c r="E461" s="10"/>
      <c r="U461" s="198"/>
      <c r="V461" s="198"/>
      <c r="AA461" s="198"/>
      <c r="AB461" s="198"/>
    </row>
    <row r="462" spans="3:28" ht="13.2">
      <c r="C462" s="10"/>
      <c r="D462" s="10"/>
      <c r="E462" s="10"/>
      <c r="U462" s="198"/>
      <c r="V462" s="198"/>
      <c r="AA462" s="198"/>
      <c r="AB462" s="198"/>
    </row>
    <row r="463" spans="3:28" ht="13.2">
      <c r="C463" s="10"/>
      <c r="D463" s="10"/>
      <c r="E463" s="10"/>
      <c r="U463" s="198"/>
      <c r="V463" s="198"/>
      <c r="AA463" s="198"/>
      <c r="AB463" s="198"/>
    </row>
    <row r="464" spans="3:28" ht="13.2">
      <c r="C464" s="10"/>
      <c r="D464" s="10"/>
      <c r="E464" s="10"/>
      <c r="U464" s="198"/>
      <c r="V464" s="198"/>
      <c r="AA464" s="198"/>
      <c r="AB464" s="198"/>
    </row>
    <row r="465" spans="3:28" ht="13.2">
      <c r="C465" s="10"/>
      <c r="D465" s="10"/>
      <c r="E465" s="10"/>
      <c r="U465" s="198"/>
      <c r="V465" s="198"/>
      <c r="AA465" s="198"/>
      <c r="AB465" s="198"/>
    </row>
    <row r="466" spans="3:28" ht="13.2">
      <c r="C466" s="10"/>
      <c r="D466" s="10"/>
      <c r="E466" s="10"/>
      <c r="U466" s="198"/>
      <c r="V466" s="198"/>
      <c r="AA466" s="198"/>
      <c r="AB466" s="198"/>
    </row>
    <row r="467" spans="3:28" ht="13.2">
      <c r="C467" s="10"/>
      <c r="D467" s="10"/>
      <c r="E467" s="10"/>
      <c r="U467" s="198"/>
      <c r="V467" s="198"/>
      <c r="AA467" s="198"/>
      <c r="AB467" s="198"/>
    </row>
    <row r="468" spans="3:28" ht="13.2">
      <c r="C468" s="10"/>
      <c r="D468" s="10"/>
      <c r="E468" s="10"/>
      <c r="U468" s="198"/>
      <c r="V468" s="198"/>
      <c r="AA468" s="198"/>
      <c r="AB468" s="198"/>
    </row>
    <row r="469" spans="3:28" ht="13.2">
      <c r="C469" s="10"/>
      <c r="D469" s="10"/>
      <c r="E469" s="10"/>
      <c r="U469" s="198"/>
      <c r="V469" s="198"/>
      <c r="AA469" s="198"/>
      <c r="AB469" s="198"/>
    </row>
    <row r="470" spans="3:28" ht="13.2">
      <c r="C470" s="10"/>
      <c r="D470" s="10"/>
      <c r="E470" s="10"/>
      <c r="U470" s="198"/>
      <c r="V470" s="198"/>
      <c r="AA470" s="198"/>
      <c r="AB470" s="198"/>
    </row>
    <row r="471" spans="3:28" ht="13.2">
      <c r="C471" s="10"/>
      <c r="D471" s="10"/>
      <c r="E471" s="10"/>
      <c r="U471" s="198"/>
      <c r="V471" s="198"/>
      <c r="AA471" s="198"/>
      <c r="AB471" s="198"/>
    </row>
    <row r="472" spans="3:28" ht="13.2">
      <c r="C472" s="10"/>
      <c r="D472" s="10"/>
      <c r="E472" s="10"/>
      <c r="U472" s="198"/>
      <c r="V472" s="198"/>
      <c r="AA472" s="198"/>
      <c r="AB472" s="198"/>
    </row>
    <row r="473" spans="3:28" ht="13.2">
      <c r="C473" s="10"/>
      <c r="D473" s="10"/>
      <c r="E473" s="10"/>
      <c r="U473" s="198"/>
      <c r="V473" s="198"/>
      <c r="AA473" s="198"/>
      <c r="AB473" s="198"/>
    </row>
    <row r="474" spans="3:28" ht="13.2">
      <c r="C474" s="10"/>
      <c r="D474" s="10"/>
      <c r="E474" s="10"/>
      <c r="U474" s="198"/>
      <c r="V474" s="198"/>
      <c r="AA474" s="198"/>
      <c r="AB474" s="198"/>
    </row>
    <row r="475" spans="3:28" ht="13.2">
      <c r="C475" s="10"/>
      <c r="D475" s="10"/>
      <c r="E475" s="10"/>
      <c r="U475" s="198"/>
      <c r="V475" s="198"/>
      <c r="AA475" s="198"/>
      <c r="AB475" s="198"/>
    </row>
    <row r="476" spans="3:28" ht="13.2">
      <c r="C476" s="10"/>
      <c r="D476" s="10"/>
      <c r="E476" s="10"/>
      <c r="U476" s="198"/>
      <c r="V476" s="198"/>
      <c r="AA476" s="198"/>
      <c r="AB476" s="198"/>
    </row>
    <row r="477" spans="3:28" ht="13.2">
      <c r="C477" s="10"/>
      <c r="D477" s="10"/>
      <c r="E477" s="10"/>
      <c r="U477" s="198"/>
      <c r="V477" s="198"/>
      <c r="AA477" s="198"/>
      <c r="AB477" s="198"/>
    </row>
    <row r="478" spans="3:28" ht="13.2">
      <c r="C478" s="10"/>
      <c r="D478" s="10"/>
      <c r="E478" s="10"/>
      <c r="U478" s="198"/>
      <c r="V478" s="198"/>
      <c r="AA478" s="198"/>
      <c r="AB478" s="198"/>
    </row>
    <row r="479" spans="3:28" ht="13.2">
      <c r="C479" s="10"/>
      <c r="D479" s="10"/>
      <c r="E479" s="10"/>
      <c r="U479" s="198"/>
      <c r="V479" s="198"/>
      <c r="AA479" s="198"/>
      <c r="AB479" s="198"/>
    </row>
    <row r="480" spans="3:28" ht="13.2">
      <c r="C480" s="10"/>
      <c r="D480" s="10"/>
      <c r="E480" s="10"/>
      <c r="U480" s="198"/>
      <c r="V480" s="198"/>
      <c r="AA480" s="198"/>
      <c r="AB480" s="198"/>
    </row>
    <row r="481" spans="3:28" ht="13.2">
      <c r="C481" s="10"/>
      <c r="D481" s="10"/>
      <c r="E481" s="10"/>
      <c r="U481" s="198"/>
      <c r="V481" s="198"/>
      <c r="AA481" s="198"/>
      <c r="AB481" s="198"/>
    </row>
    <row r="482" spans="3:28" ht="13.2">
      <c r="C482" s="10"/>
      <c r="D482" s="10"/>
      <c r="E482" s="10"/>
      <c r="U482" s="198"/>
      <c r="V482" s="198"/>
      <c r="AA482" s="198"/>
      <c r="AB482" s="198"/>
    </row>
    <row r="483" spans="3:28" ht="13.2">
      <c r="C483" s="10"/>
      <c r="D483" s="10"/>
      <c r="E483" s="10"/>
      <c r="U483" s="198"/>
      <c r="V483" s="198"/>
      <c r="AA483" s="198"/>
      <c r="AB483" s="198"/>
    </row>
    <row r="484" spans="3:28" ht="13.2">
      <c r="C484" s="10"/>
      <c r="D484" s="10"/>
      <c r="E484" s="10"/>
      <c r="U484" s="198"/>
      <c r="V484" s="198"/>
      <c r="AA484" s="198"/>
      <c r="AB484" s="198"/>
    </row>
    <row r="485" spans="3:28" ht="13.2">
      <c r="C485" s="10"/>
      <c r="D485" s="10"/>
      <c r="E485" s="10"/>
      <c r="U485" s="198"/>
      <c r="V485" s="198"/>
      <c r="AA485" s="198"/>
      <c r="AB485" s="198"/>
    </row>
    <row r="486" spans="3:28" ht="13.2">
      <c r="C486" s="10"/>
      <c r="D486" s="10"/>
      <c r="E486" s="10"/>
      <c r="U486" s="198"/>
      <c r="V486" s="198"/>
      <c r="AA486" s="198"/>
      <c r="AB486" s="198"/>
    </row>
    <row r="487" spans="3:28" ht="13.2">
      <c r="C487" s="10"/>
      <c r="D487" s="10"/>
      <c r="E487" s="10"/>
      <c r="U487" s="198"/>
      <c r="V487" s="198"/>
      <c r="AA487" s="198"/>
      <c r="AB487" s="198"/>
    </row>
    <row r="488" spans="3:28" ht="13.2">
      <c r="C488" s="10"/>
      <c r="D488" s="10"/>
      <c r="E488" s="10"/>
      <c r="U488" s="198"/>
      <c r="V488" s="198"/>
      <c r="AA488" s="198"/>
      <c r="AB488" s="198"/>
    </row>
    <row r="489" spans="3:28" ht="13.2">
      <c r="C489" s="10"/>
      <c r="D489" s="10"/>
      <c r="E489" s="10"/>
      <c r="U489" s="198"/>
      <c r="V489" s="198"/>
      <c r="AA489" s="198"/>
      <c r="AB489" s="198"/>
    </row>
    <row r="490" spans="3:28" ht="13.2">
      <c r="C490" s="10"/>
      <c r="D490" s="10"/>
      <c r="E490" s="10"/>
      <c r="U490" s="198"/>
      <c r="V490" s="198"/>
      <c r="AA490" s="198"/>
      <c r="AB490" s="198"/>
    </row>
    <row r="491" spans="3:28" ht="13.2">
      <c r="C491" s="10"/>
      <c r="D491" s="10"/>
      <c r="E491" s="10"/>
      <c r="U491" s="198"/>
      <c r="V491" s="198"/>
      <c r="AA491" s="198"/>
      <c r="AB491" s="198"/>
    </row>
    <row r="492" spans="3:28" ht="13.2">
      <c r="C492" s="10"/>
      <c r="D492" s="10"/>
      <c r="E492" s="10"/>
      <c r="U492" s="198"/>
      <c r="V492" s="198"/>
      <c r="AA492" s="198"/>
      <c r="AB492" s="198"/>
    </row>
    <row r="493" spans="3:28" ht="13.2">
      <c r="C493" s="10"/>
      <c r="D493" s="10"/>
      <c r="E493" s="10"/>
      <c r="U493" s="198"/>
      <c r="V493" s="198"/>
      <c r="AA493" s="198"/>
      <c r="AB493" s="198"/>
    </row>
    <row r="494" spans="3:28" ht="13.2">
      <c r="C494" s="10"/>
      <c r="D494" s="10"/>
      <c r="E494" s="10"/>
      <c r="U494" s="198"/>
      <c r="V494" s="198"/>
      <c r="AA494" s="198"/>
      <c r="AB494" s="198"/>
    </row>
    <row r="495" spans="3:28" ht="13.2">
      <c r="C495" s="10"/>
      <c r="D495" s="10"/>
      <c r="E495" s="10"/>
      <c r="U495" s="198"/>
      <c r="V495" s="198"/>
      <c r="AA495" s="198"/>
      <c r="AB495" s="198"/>
    </row>
    <row r="496" spans="3:28" ht="13.2">
      <c r="C496" s="10"/>
      <c r="D496" s="10"/>
      <c r="E496" s="10"/>
      <c r="U496" s="198"/>
      <c r="V496" s="198"/>
      <c r="AA496" s="198"/>
      <c r="AB496" s="198"/>
    </row>
    <row r="497" spans="3:28" ht="13.2">
      <c r="C497" s="10"/>
      <c r="D497" s="10"/>
      <c r="E497" s="10"/>
      <c r="U497" s="198"/>
      <c r="V497" s="198"/>
      <c r="AA497" s="198"/>
      <c r="AB497" s="198"/>
    </row>
    <row r="498" spans="3:28" ht="13.2">
      <c r="C498" s="10"/>
      <c r="D498" s="10"/>
      <c r="E498" s="10"/>
      <c r="U498" s="198"/>
      <c r="V498" s="198"/>
      <c r="AA498" s="198"/>
      <c r="AB498" s="198"/>
    </row>
    <row r="499" spans="3:28" ht="13.2">
      <c r="C499" s="10"/>
      <c r="D499" s="10"/>
      <c r="E499" s="10"/>
      <c r="U499" s="198"/>
      <c r="V499" s="198"/>
      <c r="AA499" s="198"/>
      <c r="AB499" s="198"/>
    </row>
    <row r="500" spans="3:28" ht="13.2">
      <c r="C500" s="10"/>
      <c r="D500" s="10"/>
      <c r="E500" s="10"/>
      <c r="U500" s="198"/>
      <c r="V500" s="198"/>
      <c r="AA500" s="198"/>
      <c r="AB500" s="198"/>
    </row>
    <row r="501" spans="3:28" ht="13.2">
      <c r="C501" s="10"/>
      <c r="D501" s="10"/>
      <c r="E501" s="10"/>
      <c r="U501" s="198"/>
      <c r="V501" s="198"/>
      <c r="AA501" s="198"/>
      <c r="AB501" s="198"/>
    </row>
    <row r="502" spans="3:28" ht="13.2">
      <c r="C502" s="10"/>
      <c r="D502" s="10"/>
      <c r="E502" s="10"/>
      <c r="U502" s="198"/>
      <c r="V502" s="198"/>
      <c r="AA502" s="198"/>
      <c r="AB502" s="198"/>
    </row>
    <row r="503" spans="3:28" ht="13.2">
      <c r="C503" s="10"/>
      <c r="D503" s="10"/>
      <c r="E503" s="10"/>
      <c r="U503" s="198"/>
      <c r="V503" s="198"/>
      <c r="AA503" s="198"/>
      <c r="AB503" s="198"/>
    </row>
    <row r="504" spans="3:28" ht="13.2">
      <c r="C504" s="10"/>
      <c r="D504" s="10"/>
      <c r="E504" s="10"/>
      <c r="U504" s="198"/>
      <c r="V504" s="198"/>
      <c r="AA504" s="198"/>
      <c r="AB504" s="198"/>
    </row>
    <row r="505" spans="3:28" ht="13.2">
      <c r="C505" s="10"/>
      <c r="D505" s="10"/>
      <c r="E505" s="10"/>
      <c r="U505" s="198"/>
      <c r="V505" s="198"/>
      <c r="AA505" s="198"/>
      <c r="AB505" s="198"/>
    </row>
    <row r="506" spans="3:28" ht="13.2">
      <c r="C506" s="10"/>
      <c r="D506" s="10"/>
      <c r="E506" s="10"/>
      <c r="U506" s="198"/>
      <c r="V506" s="198"/>
      <c r="AA506" s="198"/>
      <c r="AB506" s="198"/>
    </row>
    <row r="507" spans="3:28" ht="13.2">
      <c r="C507" s="10"/>
      <c r="D507" s="10"/>
      <c r="E507" s="10"/>
      <c r="U507" s="198"/>
      <c r="V507" s="198"/>
      <c r="AA507" s="198"/>
      <c r="AB507" s="198"/>
    </row>
    <row r="508" spans="3:28" ht="13.2">
      <c r="C508" s="10"/>
      <c r="D508" s="10"/>
      <c r="E508" s="10"/>
      <c r="U508" s="198"/>
      <c r="V508" s="198"/>
      <c r="AA508" s="198"/>
      <c r="AB508" s="198"/>
    </row>
    <row r="509" spans="3:28" ht="13.2">
      <c r="C509" s="10"/>
      <c r="D509" s="10"/>
      <c r="E509" s="10"/>
      <c r="U509" s="198"/>
      <c r="V509" s="198"/>
      <c r="AA509" s="198"/>
      <c r="AB509" s="198"/>
    </row>
    <row r="510" spans="3:28" ht="13.2">
      <c r="C510" s="10"/>
      <c r="D510" s="10"/>
      <c r="E510" s="10"/>
      <c r="U510" s="198"/>
      <c r="V510" s="198"/>
      <c r="AA510" s="198"/>
      <c r="AB510" s="198"/>
    </row>
    <row r="511" spans="3:28" ht="13.2">
      <c r="C511" s="10"/>
      <c r="D511" s="10"/>
      <c r="E511" s="10"/>
      <c r="U511" s="198"/>
      <c r="V511" s="198"/>
      <c r="AA511" s="198"/>
      <c r="AB511" s="198"/>
    </row>
    <row r="512" spans="3:28" ht="13.2">
      <c r="C512" s="10"/>
      <c r="D512" s="10"/>
      <c r="E512" s="10"/>
      <c r="U512" s="198"/>
      <c r="V512" s="198"/>
      <c r="AA512" s="198"/>
      <c r="AB512" s="198"/>
    </row>
    <row r="513" spans="3:28" ht="13.2">
      <c r="C513" s="10"/>
      <c r="D513" s="10"/>
      <c r="E513" s="10"/>
      <c r="U513" s="198"/>
      <c r="V513" s="198"/>
      <c r="AA513" s="198"/>
      <c r="AB513" s="198"/>
    </row>
    <row r="514" spans="3:28" ht="13.2">
      <c r="C514" s="10"/>
      <c r="D514" s="10"/>
      <c r="E514" s="10"/>
      <c r="U514" s="198"/>
      <c r="V514" s="198"/>
      <c r="AA514" s="198"/>
      <c r="AB514" s="198"/>
    </row>
    <row r="515" spans="3:28" ht="13.2">
      <c r="C515" s="10"/>
      <c r="D515" s="10"/>
      <c r="E515" s="10"/>
      <c r="U515" s="198"/>
      <c r="V515" s="198"/>
      <c r="AA515" s="198"/>
      <c r="AB515" s="198"/>
    </row>
    <row r="516" spans="3:28" ht="13.2">
      <c r="C516" s="10"/>
      <c r="D516" s="10"/>
      <c r="E516" s="10"/>
      <c r="U516" s="198"/>
      <c r="V516" s="198"/>
      <c r="AA516" s="198"/>
      <c r="AB516" s="198"/>
    </row>
    <row r="517" spans="3:28" ht="13.2">
      <c r="C517" s="10"/>
      <c r="D517" s="10"/>
      <c r="E517" s="10"/>
      <c r="U517" s="198"/>
      <c r="V517" s="198"/>
      <c r="AA517" s="198"/>
      <c r="AB517" s="198"/>
    </row>
    <row r="518" spans="3:28" ht="13.2">
      <c r="C518" s="10"/>
      <c r="D518" s="10"/>
      <c r="E518" s="10"/>
      <c r="U518" s="198"/>
      <c r="V518" s="198"/>
      <c r="AA518" s="198"/>
      <c r="AB518" s="198"/>
    </row>
    <row r="519" spans="3:28" ht="13.2">
      <c r="C519" s="10"/>
      <c r="D519" s="10"/>
      <c r="E519" s="10"/>
      <c r="U519" s="198"/>
      <c r="V519" s="198"/>
      <c r="AA519" s="198"/>
      <c r="AB519" s="198"/>
    </row>
    <row r="520" spans="3:28" ht="13.2">
      <c r="C520" s="10"/>
      <c r="D520" s="10"/>
      <c r="E520" s="10"/>
      <c r="U520" s="198"/>
      <c r="V520" s="198"/>
      <c r="AA520" s="198"/>
      <c r="AB520" s="198"/>
    </row>
    <row r="521" spans="3:28" ht="13.2">
      <c r="C521" s="10"/>
      <c r="D521" s="10"/>
      <c r="E521" s="10"/>
      <c r="U521" s="198"/>
      <c r="V521" s="198"/>
      <c r="AA521" s="198"/>
      <c r="AB521" s="198"/>
    </row>
    <row r="522" spans="3:28" ht="13.2">
      <c r="C522" s="10"/>
      <c r="D522" s="10"/>
      <c r="E522" s="10"/>
      <c r="U522" s="198"/>
      <c r="V522" s="198"/>
      <c r="AA522" s="198"/>
      <c r="AB522" s="198"/>
    </row>
    <row r="523" spans="3:28" ht="13.2">
      <c r="C523" s="10"/>
      <c r="D523" s="10"/>
      <c r="E523" s="10"/>
      <c r="U523" s="198"/>
      <c r="V523" s="198"/>
      <c r="AA523" s="198"/>
      <c r="AB523" s="198"/>
    </row>
    <row r="524" spans="3:28" ht="13.2">
      <c r="C524" s="10"/>
      <c r="D524" s="10"/>
      <c r="E524" s="10"/>
      <c r="U524" s="198"/>
      <c r="V524" s="198"/>
      <c r="AA524" s="198"/>
      <c r="AB524" s="198"/>
    </row>
    <row r="525" spans="3:28" ht="13.2">
      <c r="C525" s="10"/>
      <c r="D525" s="10"/>
      <c r="E525" s="10"/>
      <c r="U525" s="198"/>
      <c r="V525" s="198"/>
      <c r="AA525" s="198"/>
      <c r="AB525" s="198"/>
    </row>
    <row r="526" spans="3:28" ht="13.2">
      <c r="C526" s="10"/>
      <c r="D526" s="10"/>
      <c r="E526" s="10"/>
      <c r="U526" s="198"/>
      <c r="V526" s="198"/>
      <c r="AA526" s="198"/>
      <c r="AB526" s="198"/>
    </row>
    <row r="527" spans="3:28" ht="13.2">
      <c r="C527" s="10"/>
      <c r="D527" s="10"/>
      <c r="E527" s="10"/>
      <c r="U527" s="198"/>
      <c r="V527" s="198"/>
      <c r="AA527" s="198"/>
      <c r="AB527" s="198"/>
    </row>
    <row r="528" spans="3:28" ht="13.2">
      <c r="C528" s="10"/>
      <c r="D528" s="10"/>
      <c r="E528" s="10"/>
      <c r="U528" s="198"/>
      <c r="V528" s="198"/>
      <c r="AA528" s="198"/>
      <c r="AB528" s="198"/>
    </row>
    <row r="529" spans="3:28" ht="13.2">
      <c r="C529" s="10"/>
      <c r="D529" s="10"/>
      <c r="E529" s="10"/>
      <c r="U529" s="198"/>
      <c r="V529" s="198"/>
      <c r="AA529" s="198"/>
      <c r="AB529" s="198"/>
    </row>
    <row r="530" spans="3:28" ht="13.2">
      <c r="C530" s="10"/>
      <c r="D530" s="10"/>
      <c r="E530" s="10"/>
      <c r="U530" s="198"/>
      <c r="V530" s="198"/>
      <c r="AA530" s="198"/>
      <c r="AB530" s="198"/>
    </row>
    <row r="531" spans="3:28" ht="13.2">
      <c r="C531" s="10"/>
      <c r="D531" s="10"/>
      <c r="E531" s="10"/>
      <c r="U531" s="198"/>
      <c r="V531" s="198"/>
      <c r="AA531" s="198"/>
      <c r="AB531" s="198"/>
    </row>
    <row r="532" spans="3:28" ht="13.2">
      <c r="C532" s="10"/>
      <c r="D532" s="10"/>
      <c r="E532" s="10"/>
      <c r="U532" s="198"/>
      <c r="V532" s="198"/>
      <c r="AA532" s="198"/>
      <c r="AB532" s="198"/>
    </row>
    <row r="533" spans="3:28" ht="13.2">
      <c r="C533" s="10"/>
      <c r="D533" s="10"/>
      <c r="E533" s="10"/>
      <c r="U533" s="198"/>
      <c r="V533" s="198"/>
      <c r="AA533" s="198"/>
      <c r="AB533" s="198"/>
    </row>
    <row r="534" spans="3:28" ht="13.2">
      <c r="C534" s="10"/>
      <c r="D534" s="10"/>
      <c r="E534" s="10"/>
      <c r="U534" s="198"/>
      <c r="V534" s="198"/>
      <c r="AA534" s="198"/>
      <c r="AB534" s="198"/>
    </row>
    <row r="535" spans="3:28" ht="13.2">
      <c r="C535" s="10"/>
      <c r="D535" s="10"/>
      <c r="E535" s="10"/>
      <c r="U535" s="198"/>
      <c r="V535" s="198"/>
      <c r="AA535" s="198"/>
      <c r="AB535" s="198"/>
    </row>
    <row r="536" spans="3:28" ht="13.2">
      <c r="C536" s="10"/>
      <c r="D536" s="10"/>
      <c r="E536" s="10"/>
      <c r="U536" s="198"/>
      <c r="V536" s="198"/>
      <c r="AA536" s="198"/>
      <c r="AB536" s="198"/>
    </row>
    <row r="537" spans="3:28" ht="13.2">
      <c r="C537" s="10"/>
      <c r="D537" s="10"/>
      <c r="E537" s="10"/>
      <c r="U537" s="198"/>
      <c r="V537" s="198"/>
      <c r="AA537" s="198"/>
      <c r="AB537" s="198"/>
    </row>
    <row r="538" spans="3:28" ht="13.2">
      <c r="C538" s="10"/>
      <c r="D538" s="10"/>
      <c r="E538" s="10"/>
      <c r="U538" s="198"/>
      <c r="V538" s="198"/>
      <c r="AA538" s="198"/>
      <c r="AB538" s="198"/>
    </row>
    <row r="539" spans="3:28" ht="13.2">
      <c r="C539" s="10"/>
      <c r="D539" s="10"/>
      <c r="E539" s="10"/>
      <c r="U539" s="198"/>
      <c r="V539" s="198"/>
      <c r="AA539" s="198"/>
      <c r="AB539" s="198"/>
    </row>
    <row r="540" spans="3:28" ht="13.2">
      <c r="C540" s="10"/>
      <c r="D540" s="10"/>
      <c r="E540" s="10"/>
      <c r="U540" s="198"/>
      <c r="V540" s="198"/>
      <c r="AA540" s="198"/>
      <c r="AB540" s="198"/>
    </row>
    <row r="541" spans="3:28" ht="13.2">
      <c r="C541" s="10"/>
      <c r="D541" s="10"/>
      <c r="E541" s="10"/>
      <c r="U541" s="198"/>
      <c r="V541" s="198"/>
      <c r="AA541" s="198"/>
      <c r="AB541" s="198"/>
    </row>
    <row r="542" spans="3:28" ht="13.2">
      <c r="C542" s="10"/>
      <c r="D542" s="10"/>
      <c r="E542" s="10"/>
      <c r="U542" s="198"/>
      <c r="V542" s="198"/>
      <c r="AA542" s="198"/>
      <c r="AB542" s="198"/>
    </row>
    <row r="543" spans="3:28" ht="13.2">
      <c r="C543" s="10"/>
      <c r="D543" s="10"/>
      <c r="E543" s="10"/>
      <c r="U543" s="198"/>
      <c r="V543" s="198"/>
      <c r="AA543" s="198"/>
      <c r="AB543" s="198"/>
    </row>
    <row r="544" spans="3:28" ht="13.2">
      <c r="C544" s="10"/>
      <c r="D544" s="10"/>
      <c r="E544" s="10"/>
      <c r="U544" s="198"/>
      <c r="V544" s="198"/>
      <c r="AA544" s="198"/>
      <c r="AB544" s="198"/>
    </row>
    <row r="545" spans="3:28" ht="13.2">
      <c r="C545" s="10"/>
      <c r="D545" s="10"/>
      <c r="E545" s="10"/>
      <c r="U545" s="198"/>
      <c r="V545" s="198"/>
      <c r="AA545" s="198"/>
      <c r="AB545" s="198"/>
    </row>
    <row r="546" spans="3:28" ht="13.2">
      <c r="C546" s="10"/>
      <c r="D546" s="10"/>
      <c r="E546" s="10"/>
      <c r="U546" s="198"/>
      <c r="V546" s="198"/>
      <c r="AA546" s="198"/>
      <c r="AB546" s="198"/>
    </row>
    <row r="547" spans="3:28" ht="13.2">
      <c r="C547" s="10"/>
      <c r="D547" s="10"/>
      <c r="E547" s="10"/>
      <c r="U547" s="198"/>
      <c r="V547" s="198"/>
      <c r="AA547" s="198"/>
      <c r="AB547" s="198"/>
    </row>
    <row r="548" spans="3:28" ht="13.2">
      <c r="C548" s="10"/>
      <c r="D548" s="10"/>
      <c r="E548" s="10"/>
      <c r="U548" s="198"/>
      <c r="V548" s="198"/>
      <c r="AA548" s="198"/>
      <c r="AB548" s="198"/>
    </row>
    <row r="549" spans="3:28" ht="13.2">
      <c r="C549" s="10"/>
      <c r="D549" s="10"/>
      <c r="E549" s="10"/>
      <c r="U549" s="198"/>
      <c r="V549" s="198"/>
      <c r="AA549" s="198"/>
      <c r="AB549" s="198"/>
    </row>
    <row r="550" spans="3:28" ht="13.2">
      <c r="C550" s="10"/>
      <c r="D550" s="10"/>
      <c r="E550" s="10"/>
      <c r="U550" s="198"/>
      <c r="V550" s="198"/>
      <c r="AA550" s="198"/>
      <c r="AB550" s="198"/>
    </row>
    <row r="551" spans="3:28" ht="13.2">
      <c r="C551" s="10"/>
      <c r="D551" s="10"/>
      <c r="E551" s="10"/>
      <c r="U551" s="198"/>
      <c r="V551" s="198"/>
      <c r="AA551" s="198"/>
      <c r="AB551" s="198"/>
    </row>
    <row r="552" spans="3:28" ht="13.2">
      <c r="C552" s="10"/>
      <c r="D552" s="10"/>
      <c r="E552" s="10"/>
      <c r="U552" s="198"/>
      <c r="V552" s="198"/>
      <c r="AA552" s="198"/>
      <c r="AB552" s="198"/>
    </row>
    <row r="553" spans="3:28" ht="13.2">
      <c r="C553" s="10"/>
      <c r="D553" s="10"/>
      <c r="E553" s="10"/>
      <c r="U553" s="198"/>
      <c r="V553" s="198"/>
      <c r="AA553" s="198"/>
      <c r="AB553" s="198"/>
    </row>
    <row r="554" spans="3:28" ht="13.2">
      <c r="C554" s="10"/>
      <c r="D554" s="10"/>
      <c r="E554" s="10"/>
      <c r="U554" s="198"/>
      <c r="V554" s="198"/>
      <c r="AA554" s="198"/>
      <c r="AB554" s="198"/>
    </row>
    <row r="555" spans="3:28" ht="13.2">
      <c r="C555" s="10"/>
      <c r="D555" s="10"/>
      <c r="E555" s="10"/>
      <c r="U555" s="198"/>
      <c r="V555" s="198"/>
      <c r="AA555" s="198"/>
      <c r="AB555" s="198"/>
    </row>
    <row r="556" spans="3:28" ht="13.2">
      <c r="C556" s="10"/>
      <c r="D556" s="10"/>
      <c r="E556" s="10"/>
      <c r="U556" s="198"/>
      <c r="V556" s="198"/>
      <c r="AA556" s="198"/>
      <c r="AB556" s="198"/>
    </row>
    <row r="557" spans="3:28" ht="13.2">
      <c r="C557" s="10"/>
      <c r="D557" s="10"/>
      <c r="E557" s="10"/>
      <c r="U557" s="198"/>
      <c r="V557" s="198"/>
      <c r="AA557" s="198"/>
      <c r="AB557" s="198"/>
    </row>
    <row r="558" spans="3:28" ht="13.2">
      <c r="C558" s="10"/>
      <c r="D558" s="10"/>
      <c r="E558" s="10"/>
      <c r="U558" s="198"/>
      <c r="V558" s="198"/>
      <c r="AA558" s="198"/>
      <c r="AB558" s="198"/>
    </row>
    <row r="559" spans="3:28" ht="13.2">
      <c r="C559" s="10"/>
      <c r="D559" s="10"/>
      <c r="E559" s="10"/>
      <c r="U559" s="198"/>
      <c r="V559" s="198"/>
      <c r="AA559" s="198"/>
      <c r="AB559" s="198"/>
    </row>
    <row r="560" spans="3:28" ht="13.2">
      <c r="C560" s="10"/>
      <c r="D560" s="10"/>
      <c r="E560" s="10"/>
      <c r="U560" s="198"/>
      <c r="V560" s="198"/>
      <c r="AA560" s="198"/>
      <c r="AB560" s="198"/>
    </row>
    <row r="561" spans="3:28" ht="13.2">
      <c r="C561" s="10"/>
      <c r="D561" s="10"/>
      <c r="E561" s="10"/>
      <c r="U561" s="198"/>
      <c r="V561" s="198"/>
      <c r="AA561" s="198"/>
      <c r="AB561" s="198"/>
    </row>
    <row r="562" spans="3:28" ht="13.2">
      <c r="C562" s="10"/>
      <c r="D562" s="10"/>
      <c r="E562" s="10"/>
      <c r="U562" s="198"/>
      <c r="V562" s="198"/>
      <c r="AA562" s="198"/>
      <c r="AB562" s="198"/>
    </row>
    <row r="563" spans="3:28" ht="13.2">
      <c r="C563" s="10"/>
      <c r="D563" s="10"/>
      <c r="E563" s="10"/>
      <c r="U563" s="198"/>
      <c r="V563" s="198"/>
      <c r="AA563" s="198"/>
      <c r="AB563" s="198"/>
    </row>
    <row r="564" spans="3:28" ht="13.2">
      <c r="C564" s="10"/>
      <c r="D564" s="10"/>
      <c r="E564" s="10"/>
      <c r="U564" s="198"/>
      <c r="V564" s="198"/>
      <c r="AA564" s="198"/>
      <c r="AB564" s="198"/>
    </row>
    <row r="565" spans="3:28" ht="13.2">
      <c r="C565" s="10"/>
      <c r="D565" s="10"/>
      <c r="E565" s="10"/>
      <c r="U565" s="198"/>
      <c r="V565" s="198"/>
      <c r="AA565" s="198"/>
      <c r="AB565" s="198"/>
    </row>
    <row r="566" spans="3:28" ht="13.2">
      <c r="C566" s="10"/>
      <c r="D566" s="10"/>
      <c r="E566" s="10"/>
      <c r="U566" s="198"/>
      <c r="V566" s="198"/>
      <c r="AA566" s="198"/>
      <c r="AB566" s="198"/>
    </row>
    <row r="567" spans="3:28" ht="13.2">
      <c r="C567" s="10"/>
      <c r="D567" s="10"/>
      <c r="E567" s="10"/>
      <c r="U567" s="198"/>
      <c r="V567" s="198"/>
      <c r="AA567" s="198"/>
      <c r="AB567" s="198"/>
    </row>
    <row r="568" spans="3:28" ht="13.2">
      <c r="C568" s="10"/>
      <c r="D568" s="10"/>
      <c r="E568" s="10"/>
      <c r="U568" s="198"/>
      <c r="V568" s="198"/>
      <c r="AA568" s="198"/>
      <c r="AB568" s="198"/>
    </row>
    <row r="569" spans="3:28" ht="13.2">
      <c r="C569" s="10"/>
      <c r="D569" s="10"/>
      <c r="E569" s="10"/>
      <c r="U569" s="198"/>
      <c r="V569" s="198"/>
      <c r="AA569" s="198"/>
      <c r="AB569" s="198"/>
    </row>
    <row r="570" spans="3:28" ht="13.2">
      <c r="C570" s="10"/>
      <c r="D570" s="10"/>
      <c r="E570" s="10"/>
      <c r="U570" s="198"/>
      <c r="V570" s="198"/>
      <c r="AA570" s="198"/>
      <c r="AB570" s="198"/>
    </row>
    <row r="571" spans="3:28" ht="13.2">
      <c r="C571" s="10"/>
      <c r="D571" s="10"/>
      <c r="E571" s="10"/>
      <c r="U571" s="198"/>
      <c r="V571" s="198"/>
      <c r="AA571" s="198"/>
      <c r="AB571" s="198"/>
    </row>
    <row r="572" spans="3:28" ht="13.2">
      <c r="C572" s="10"/>
      <c r="D572" s="10"/>
      <c r="E572" s="10"/>
      <c r="U572" s="198"/>
      <c r="V572" s="198"/>
      <c r="AA572" s="198"/>
      <c r="AB572" s="198"/>
    </row>
    <row r="573" spans="3:28" ht="13.2">
      <c r="C573" s="10"/>
      <c r="D573" s="10"/>
      <c r="E573" s="10"/>
      <c r="U573" s="198"/>
      <c r="V573" s="198"/>
      <c r="AA573" s="198"/>
      <c r="AB573" s="198"/>
    </row>
    <row r="574" spans="3:28" ht="13.2">
      <c r="C574" s="10"/>
      <c r="D574" s="10"/>
      <c r="E574" s="10"/>
      <c r="U574" s="198"/>
      <c r="V574" s="198"/>
      <c r="AA574" s="198"/>
      <c r="AB574" s="198"/>
    </row>
    <row r="575" spans="3:28" ht="13.2">
      <c r="C575" s="10"/>
      <c r="D575" s="10"/>
      <c r="E575" s="10"/>
      <c r="U575" s="198"/>
      <c r="V575" s="198"/>
      <c r="AA575" s="198"/>
      <c r="AB575" s="198"/>
    </row>
    <row r="576" spans="3:28" ht="13.2">
      <c r="C576" s="10"/>
      <c r="D576" s="10"/>
      <c r="E576" s="10"/>
      <c r="U576" s="198"/>
      <c r="V576" s="198"/>
      <c r="AA576" s="198"/>
      <c r="AB576" s="198"/>
    </row>
    <row r="577" spans="3:28" ht="13.2">
      <c r="C577" s="10"/>
      <c r="D577" s="10"/>
      <c r="E577" s="10"/>
      <c r="U577" s="198"/>
      <c r="V577" s="198"/>
      <c r="AA577" s="198"/>
      <c r="AB577" s="198"/>
    </row>
    <row r="578" spans="3:28" ht="13.2">
      <c r="C578" s="10"/>
      <c r="D578" s="10"/>
      <c r="E578" s="10"/>
      <c r="U578" s="198"/>
      <c r="V578" s="198"/>
      <c r="AA578" s="198"/>
      <c r="AB578" s="198"/>
    </row>
    <row r="579" spans="3:28" ht="13.2">
      <c r="C579" s="10"/>
      <c r="D579" s="10"/>
      <c r="E579" s="10"/>
      <c r="U579" s="198"/>
      <c r="V579" s="198"/>
      <c r="AA579" s="198"/>
      <c r="AB579" s="198"/>
    </row>
    <row r="580" spans="3:28" ht="13.2">
      <c r="C580" s="10"/>
      <c r="D580" s="10"/>
      <c r="E580" s="10"/>
      <c r="U580" s="198"/>
      <c r="V580" s="198"/>
      <c r="AA580" s="198"/>
      <c r="AB580" s="198"/>
    </row>
    <row r="581" spans="3:28" ht="13.2">
      <c r="C581" s="10"/>
      <c r="D581" s="10"/>
      <c r="E581" s="10"/>
      <c r="U581" s="198"/>
      <c r="V581" s="198"/>
      <c r="AA581" s="198"/>
      <c r="AB581" s="198"/>
    </row>
    <row r="582" spans="3:28" ht="13.2">
      <c r="C582" s="10"/>
      <c r="D582" s="10"/>
      <c r="E582" s="10"/>
      <c r="U582" s="198"/>
      <c r="V582" s="198"/>
      <c r="AA582" s="198"/>
      <c r="AB582" s="198"/>
    </row>
    <row r="583" spans="3:28" ht="13.2">
      <c r="C583" s="10"/>
      <c r="D583" s="10"/>
      <c r="E583" s="10"/>
      <c r="U583" s="198"/>
      <c r="V583" s="198"/>
      <c r="AA583" s="198"/>
      <c r="AB583" s="198"/>
    </row>
    <row r="584" spans="3:28" ht="13.2">
      <c r="C584" s="10"/>
      <c r="D584" s="10"/>
      <c r="E584" s="10"/>
      <c r="U584" s="198"/>
      <c r="V584" s="198"/>
      <c r="AA584" s="198"/>
      <c r="AB584" s="198"/>
    </row>
    <row r="585" spans="3:28" ht="13.2">
      <c r="C585" s="10"/>
      <c r="D585" s="10"/>
      <c r="E585" s="10"/>
      <c r="U585" s="198"/>
      <c r="V585" s="198"/>
      <c r="AA585" s="198"/>
      <c r="AB585" s="198"/>
    </row>
    <row r="586" spans="3:28" ht="13.2">
      <c r="C586" s="10"/>
      <c r="D586" s="10"/>
      <c r="E586" s="10"/>
      <c r="U586" s="198"/>
      <c r="V586" s="198"/>
      <c r="AA586" s="198"/>
      <c r="AB586" s="198"/>
    </row>
    <row r="587" spans="3:28" ht="13.2">
      <c r="C587" s="10"/>
      <c r="D587" s="10"/>
      <c r="E587" s="10"/>
      <c r="U587" s="198"/>
      <c r="V587" s="198"/>
      <c r="AA587" s="198"/>
      <c r="AB587" s="198"/>
    </row>
    <row r="588" spans="3:28" ht="13.2">
      <c r="C588" s="10"/>
      <c r="D588" s="10"/>
      <c r="E588" s="10"/>
      <c r="U588" s="198"/>
      <c r="V588" s="198"/>
      <c r="AA588" s="198"/>
      <c r="AB588" s="198"/>
    </row>
    <row r="589" spans="3:28" ht="13.2">
      <c r="C589" s="10"/>
      <c r="D589" s="10"/>
      <c r="E589" s="10"/>
      <c r="U589" s="198"/>
      <c r="V589" s="198"/>
      <c r="AA589" s="198"/>
      <c r="AB589" s="198"/>
    </row>
    <row r="590" spans="3:28" ht="13.2">
      <c r="C590" s="10"/>
      <c r="D590" s="10"/>
      <c r="E590" s="10"/>
      <c r="U590" s="198"/>
      <c r="V590" s="198"/>
      <c r="AA590" s="198"/>
      <c r="AB590" s="198"/>
    </row>
    <row r="591" spans="3:28" ht="13.2">
      <c r="C591" s="10"/>
      <c r="D591" s="10"/>
      <c r="E591" s="10"/>
      <c r="U591" s="198"/>
      <c r="V591" s="198"/>
      <c r="AA591" s="198"/>
      <c r="AB591" s="198"/>
    </row>
    <row r="592" spans="3:28" ht="13.2">
      <c r="C592" s="10"/>
      <c r="D592" s="10"/>
      <c r="E592" s="10"/>
      <c r="U592" s="198"/>
      <c r="V592" s="198"/>
      <c r="AA592" s="198"/>
      <c r="AB592" s="198"/>
    </row>
    <row r="593" spans="3:28" ht="13.2">
      <c r="C593" s="10"/>
      <c r="D593" s="10"/>
      <c r="E593" s="10"/>
      <c r="U593" s="198"/>
      <c r="V593" s="198"/>
      <c r="AA593" s="198"/>
      <c r="AB593" s="198"/>
    </row>
    <row r="594" spans="3:28" ht="13.2">
      <c r="C594" s="10"/>
      <c r="D594" s="10"/>
      <c r="E594" s="10"/>
      <c r="U594" s="198"/>
      <c r="V594" s="198"/>
      <c r="AA594" s="198"/>
      <c r="AB594" s="198"/>
    </row>
    <row r="595" spans="3:28" ht="13.2">
      <c r="C595" s="10"/>
      <c r="D595" s="10"/>
      <c r="E595" s="10"/>
      <c r="U595" s="198"/>
      <c r="V595" s="198"/>
      <c r="AA595" s="198"/>
      <c r="AB595" s="198"/>
    </row>
    <row r="596" spans="3:28" ht="13.2">
      <c r="C596" s="10"/>
      <c r="D596" s="10"/>
      <c r="E596" s="10"/>
      <c r="U596" s="198"/>
      <c r="V596" s="198"/>
      <c r="AA596" s="198"/>
      <c r="AB596" s="198"/>
    </row>
    <row r="597" spans="3:28" ht="13.2">
      <c r="C597" s="10"/>
      <c r="D597" s="10"/>
      <c r="E597" s="10"/>
      <c r="U597" s="198"/>
      <c r="V597" s="198"/>
      <c r="AA597" s="198"/>
      <c r="AB597" s="198"/>
    </row>
    <row r="598" spans="3:28" ht="13.2">
      <c r="C598" s="10"/>
      <c r="D598" s="10"/>
      <c r="E598" s="10"/>
      <c r="U598" s="198"/>
      <c r="V598" s="198"/>
      <c r="AA598" s="198"/>
      <c r="AB598" s="198"/>
    </row>
    <row r="599" spans="3:28" ht="13.2">
      <c r="C599" s="10"/>
      <c r="D599" s="10"/>
      <c r="E599" s="10"/>
      <c r="U599" s="198"/>
      <c r="V599" s="198"/>
      <c r="AA599" s="198"/>
      <c r="AB599" s="198"/>
    </row>
    <row r="600" spans="3:28" ht="13.2">
      <c r="C600" s="10"/>
      <c r="D600" s="10"/>
      <c r="E600" s="10"/>
      <c r="U600" s="198"/>
      <c r="V600" s="198"/>
      <c r="AA600" s="198"/>
      <c r="AB600" s="198"/>
    </row>
    <row r="601" spans="3:28" ht="13.2">
      <c r="C601" s="10"/>
      <c r="D601" s="10"/>
      <c r="E601" s="10"/>
      <c r="U601" s="198"/>
      <c r="V601" s="198"/>
      <c r="AA601" s="198"/>
      <c r="AB601" s="198"/>
    </row>
    <row r="602" spans="3:28" ht="13.2">
      <c r="C602" s="10"/>
      <c r="D602" s="10"/>
      <c r="E602" s="10"/>
      <c r="U602" s="198"/>
      <c r="V602" s="198"/>
      <c r="AA602" s="198"/>
      <c r="AB602" s="198"/>
    </row>
    <row r="603" spans="3:28" ht="13.2">
      <c r="C603" s="10"/>
      <c r="D603" s="10"/>
      <c r="E603" s="10"/>
      <c r="U603" s="198"/>
      <c r="V603" s="198"/>
      <c r="AA603" s="198"/>
      <c r="AB603" s="198"/>
    </row>
    <row r="604" spans="3:28" ht="13.2">
      <c r="C604" s="10"/>
      <c r="D604" s="10"/>
      <c r="E604" s="10"/>
      <c r="U604" s="198"/>
      <c r="V604" s="198"/>
      <c r="AA604" s="198"/>
      <c r="AB604" s="198"/>
    </row>
    <row r="605" spans="3:28" ht="13.2">
      <c r="C605" s="10"/>
      <c r="D605" s="10"/>
      <c r="E605" s="10"/>
      <c r="U605" s="198"/>
      <c r="V605" s="198"/>
      <c r="AA605" s="198"/>
      <c r="AB605" s="198"/>
    </row>
    <row r="606" spans="3:28" ht="13.2">
      <c r="C606" s="10"/>
      <c r="D606" s="10"/>
      <c r="E606" s="10"/>
      <c r="U606" s="198"/>
      <c r="V606" s="198"/>
      <c r="AA606" s="198"/>
      <c r="AB606" s="198"/>
    </row>
    <row r="607" spans="3:28" ht="13.2">
      <c r="C607" s="10"/>
      <c r="D607" s="10"/>
      <c r="E607" s="10"/>
      <c r="U607" s="198"/>
      <c r="V607" s="198"/>
      <c r="AA607" s="198"/>
      <c r="AB607" s="198"/>
    </row>
    <row r="608" spans="3:28" ht="13.2">
      <c r="C608" s="10"/>
      <c r="D608" s="10"/>
      <c r="E608" s="10"/>
      <c r="U608" s="198"/>
      <c r="V608" s="198"/>
      <c r="AA608" s="198"/>
      <c r="AB608" s="198"/>
    </row>
    <row r="609" spans="3:28" ht="13.2">
      <c r="C609" s="10"/>
      <c r="D609" s="10"/>
      <c r="E609" s="10"/>
      <c r="U609" s="198"/>
      <c r="V609" s="198"/>
      <c r="AA609" s="198"/>
      <c r="AB609" s="198"/>
    </row>
    <row r="610" spans="3:28" ht="13.2">
      <c r="C610" s="10"/>
      <c r="D610" s="10"/>
      <c r="E610" s="10"/>
      <c r="U610" s="198"/>
      <c r="V610" s="198"/>
      <c r="AA610" s="198"/>
      <c r="AB610" s="198"/>
    </row>
    <row r="611" spans="3:28" ht="13.2">
      <c r="C611" s="10"/>
      <c r="D611" s="10"/>
      <c r="E611" s="10"/>
      <c r="U611" s="198"/>
      <c r="V611" s="198"/>
      <c r="AA611" s="198"/>
      <c r="AB611" s="198"/>
    </row>
    <row r="612" spans="3:28" ht="13.2">
      <c r="C612" s="10"/>
      <c r="D612" s="10"/>
      <c r="E612" s="10"/>
      <c r="U612" s="198"/>
      <c r="V612" s="198"/>
      <c r="AA612" s="198"/>
      <c r="AB612" s="198"/>
    </row>
    <row r="613" spans="3:28" ht="13.2">
      <c r="C613" s="10"/>
      <c r="D613" s="10"/>
      <c r="E613" s="10"/>
      <c r="U613" s="198"/>
      <c r="V613" s="198"/>
      <c r="AA613" s="198"/>
      <c r="AB613" s="198"/>
    </row>
    <row r="614" spans="3:28" ht="13.2">
      <c r="C614" s="10"/>
      <c r="D614" s="10"/>
      <c r="E614" s="10"/>
      <c r="U614" s="198"/>
      <c r="V614" s="198"/>
      <c r="AA614" s="198"/>
      <c r="AB614" s="198"/>
    </row>
    <row r="615" spans="3:28" ht="13.2">
      <c r="C615" s="10"/>
      <c r="D615" s="10"/>
      <c r="E615" s="10"/>
      <c r="U615" s="198"/>
      <c r="V615" s="198"/>
      <c r="AA615" s="198"/>
      <c r="AB615" s="198"/>
    </row>
    <row r="616" spans="3:28" ht="13.2">
      <c r="C616" s="10"/>
      <c r="D616" s="10"/>
      <c r="E616" s="10"/>
      <c r="U616" s="198"/>
      <c r="V616" s="198"/>
      <c r="AA616" s="198"/>
      <c r="AB616" s="198"/>
    </row>
    <row r="617" spans="3:28" ht="13.2">
      <c r="C617" s="10"/>
      <c r="D617" s="10"/>
      <c r="E617" s="10"/>
      <c r="U617" s="198"/>
      <c r="V617" s="198"/>
      <c r="AA617" s="198"/>
      <c r="AB617" s="198"/>
    </row>
    <row r="618" spans="3:28" ht="13.2">
      <c r="C618" s="10"/>
      <c r="D618" s="10"/>
      <c r="E618" s="10"/>
      <c r="U618" s="198"/>
      <c r="V618" s="198"/>
      <c r="AA618" s="198"/>
      <c r="AB618" s="198"/>
    </row>
    <row r="619" spans="3:28" ht="13.2">
      <c r="C619" s="10"/>
      <c r="D619" s="10"/>
      <c r="E619" s="10"/>
      <c r="U619" s="198"/>
      <c r="V619" s="198"/>
      <c r="AA619" s="198"/>
      <c r="AB619" s="198"/>
    </row>
    <row r="620" spans="3:28" ht="13.2">
      <c r="C620" s="10"/>
      <c r="D620" s="10"/>
      <c r="E620" s="10"/>
      <c r="U620" s="198"/>
      <c r="V620" s="198"/>
      <c r="AA620" s="198"/>
      <c r="AB620" s="198"/>
    </row>
    <row r="621" spans="3:28" ht="13.2">
      <c r="C621" s="10"/>
      <c r="D621" s="10"/>
      <c r="E621" s="10"/>
      <c r="U621" s="198"/>
      <c r="V621" s="198"/>
      <c r="AA621" s="198"/>
      <c r="AB621" s="198"/>
    </row>
    <row r="622" spans="3:28" ht="13.2">
      <c r="C622" s="10"/>
      <c r="D622" s="10"/>
      <c r="E622" s="10"/>
      <c r="U622" s="198"/>
      <c r="V622" s="198"/>
      <c r="AA622" s="198"/>
      <c r="AB622" s="198"/>
    </row>
    <row r="623" spans="3:28" ht="13.2">
      <c r="C623" s="10"/>
      <c r="D623" s="10"/>
      <c r="E623" s="10"/>
      <c r="U623" s="198"/>
      <c r="V623" s="198"/>
      <c r="AA623" s="198"/>
      <c r="AB623" s="198"/>
    </row>
    <row r="624" spans="3:28" ht="13.2">
      <c r="C624" s="10"/>
      <c r="D624" s="10"/>
      <c r="E624" s="10"/>
      <c r="U624" s="198"/>
      <c r="V624" s="198"/>
      <c r="AA624" s="198"/>
      <c r="AB624" s="198"/>
    </row>
    <row r="625" spans="3:28" ht="13.2">
      <c r="C625" s="10"/>
      <c r="D625" s="10"/>
      <c r="E625" s="10"/>
      <c r="U625" s="198"/>
      <c r="V625" s="198"/>
      <c r="AA625" s="198"/>
      <c r="AB625" s="198"/>
    </row>
    <row r="626" spans="3:28" ht="13.2">
      <c r="C626" s="10"/>
      <c r="D626" s="10"/>
      <c r="E626" s="10"/>
      <c r="U626" s="198"/>
      <c r="V626" s="198"/>
      <c r="AA626" s="198"/>
      <c r="AB626" s="198"/>
    </row>
    <row r="627" spans="3:28" ht="13.2">
      <c r="C627" s="10"/>
      <c r="D627" s="10"/>
      <c r="E627" s="10"/>
      <c r="U627" s="198"/>
      <c r="V627" s="198"/>
      <c r="AA627" s="198"/>
      <c r="AB627" s="198"/>
    </row>
    <row r="628" spans="3:28" ht="13.2">
      <c r="C628" s="10"/>
      <c r="D628" s="10"/>
      <c r="E628" s="10"/>
      <c r="U628" s="198"/>
      <c r="V628" s="198"/>
      <c r="AA628" s="198"/>
      <c r="AB628" s="198"/>
    </row>
    <row r="629" spans="3:28" ht="13.2">
      <c r="C629" s="10"/>
      <c r="D629" s="10"/>
      <c r="E629" s="10"/>
      <c r="U629" s="198"/>
      <c r="V629" s="198"/>
      <c r="AA629" s="198"/>
      <c r="AB629" s="198"/>
    </row>
    <row r="630" spans="3:28" ht="13.2">
      <c r="C630" s="10"/>
      <c r="D630" s="10"/>
      <c r="E630" s="10"/>
      <c r="U630" s="198"/>
      <c r="V630" s="198"/>
      <c r="AA630" s="198"/>
      <c r="AB630" s="198"/>
    </row>
    <row r="631" spans="3:28" ht="13.2">
      <c r="C631" s="10"/>
      <c r="D631" s="10"/>
      <c r="E631" s="10"/>
      <c r="U631" s="198"/>
      <c r="V631" s="198"/>
      <c r="AA631" s="198"/>
      <c r="AB631" s="198"/>
    </row>
    <row r="632" spans="3:28" ht="13.2">
      <c r="C632" s="10"/>
      <c r="D632" s="10"/>
      <c r="E632" s="10"/>
      <c r="U632" s="198"/>
      <c r="V632" s="198"/>
      <c r="AA632" s="198"/>
      <c r="AB632" s="198"/>
    </row>
    <row r="633" spans="3:28" ht="13.2">
      <c r="C633" s="10"/>
      <c r="D633" s="10"/>
      <c r="E633" s="10"/>
      <c r="U633" s="198"/>
      <c r="V633" s="198"/>
      <c r="AA633" s="198"/>
      <c r="AB633" s="198"/>
    </row>
    <row r="634" spans="3:28" ht="13.2">
      <c r="C634" s="10"/>
      <c r="D634" s="10"/>
      <c r="E634" s="10"/>
      <c r="U634" s="198"/>
      <c r="V634" s="198"/>
      <c r="AA634" s="198"/>
      <c r="AB634" s="198"/>
    </row>
    <row r="635" spans="3:28" ht="13.2">
      <c r="C635" s="10"/>
      <c r="D635" s="10"/>
      <c r="E635" s="10"/>
      <c r="U635" s="198"/>
      <c r="V635" s="198"/>
      <c r="AA635" s="198"/>
      <c r="AB635" s="198"/>
    </row>
    <row r="636" spans="3:28" ht="13.2">
      <c r="C636" s="10"/>
      <c r="D636" s="10"/>
      <c r="E636" s="10"/>
      <c r="U636" s="198"/>
      <c r="V636" s="198"/>
      <c r="AA636" s="198"/>
      <c r="AB636" s="198"/>
    </row>
    <row r="637" spans="3:28" ht="13.2">
      <c r="C637" s="10"/>
      <c r="D637" s="10"/>
      <c r="E637" s="10"/>
      <c r="U637" s="198"/>
      <c r="V637" s="198"/>
      <c r="AA637" s="198"/>
      <c r="AB637" s="198"/>
    </row>
    <row r="638" spans="3:28" ht="13.2">
      <c r="C638" s="10"/>
      <c r="D638" s="10"/>
      <c r="E638" s="10"/>
      <c r="U638" s="198"/>
      <c r="V638" s="198"/>
      <c r="AA638" s="198"/>
      <c r="AB638" s="198"/>
    </row>
    <row r="639" spans="3:28" ht="13.2">
      <c r="C639" s="10"/>
      <c r="D639" s="10"/>
      <c r="E639" s="10"/>
      <c r="U639" s="198"/>
      <c r="V639" s="198"/>
      <c r="AA639" s="198"/>
      <c r="AB639" s="198"/>
    </row>
    <row r="640" spans="3:28" ht="13.2">
      <c r="C640" s="10"/>
      <c r="D640" s="10"/>
      <c r="E640" s="10"/>
      <c r="U640" s="198"/>
      <c r="V640" s="198"/>
      <c r="AA640" s="198"/>
      <c r="AB640" s="198"/>
    </row>
    <row r="641" spans="3:28" ht="13.2">
      <c r="C641" s="10"/>
      <c r="D641" s="10"/>
      <c r="E641" s="10"/>
      <c r="U641" s="198"/>
      <c r="V641" s="198"/>
      <c r="AA641" s="198"/>
      <c r="AB641" s="198"/>
    </row>
    <row r="642" spans="3:28" ht="13.2">
      <c r="C642" s="10"/>
      <c r="D642" s="10"/>
      <c r="E642" s="10"/>
      <c r="U642" s="198"/>
      <c r="V642" s="198"/>
      <c r="AA642" s="198"/>
      <c r="AB642" s="198"/>
    </row>
    <row r="643" spans="3:28" ht="13.2">
      <c r="C643" s="10"/>
      <c r="D643" s="10"/>
      <c r="E643" s="10"/>
      <c r="U643" s="198"/>
      <c r="V643" s="198"/>
      <c r="AA643" s="198"/>
      <c r="AB643" s="198"/>
    </row>
    <row r="644" spans="3:28" ht="13.2">
      <c r="C644" s="10"/>
      <c r="D644" s="10"/>
      <c r="E644" s="10"/>
      <c r="U644" s="198"/>
      <c r="V644" s="198"/>
      <c r="AA644" s="198"/>
      <c r="AB644" s="198"/>
    </row>
    <row r="645" spans="3:28" ht="13.2">
      <c r="C645" s="10"/>
      <c r="D645" s="10"/>
      <c r="E645" s="10"/>
      <c r="U645" s="198"/>
      <c r="V645" s="198"/>
      <c r="AA645" s="198"/>
      <c r="AB645" s="198"/>
    </row>
    <row r="646" spans="3:28" ht="13.2">
      <c r="C646" s="10"/>
      <c r="D646" s="10"/>
      <c r="E646" s="10"/>
      <c r="U646" s="198"/>
      <c r="V646" s="198"/>
      <c r="AA646" s="198"/>
      <c r="AB646" s="198"/>
    </row>
    <row r="647" spans="3:28" ht="13.2">
      <c r="C647" s="10"/>
      <c r="D647" s="10"/>
      <c r="E647" s="10"/>
      <c r="U647" s="198"/>
      <c r="V647" s="198"/>
      <c r="AA647" s="198"/>
      <c r="AB647" s="198"/>
    </row>
    <row r="648" spans="3:28" ht="13.2">
      <c r="C648" s="10"/>
      <c r="D648" s="10"/>
      <c r="E648" s="10"/>
      <c r="U648" s="198"/>
      <c r="V648" s="198"/>
      <c r="AA648" s="198"/>
      <c r="AB648" s="198"/>
    </row>
    <row r="649" spans="3:28" ht="13.2">
      <c r="C649" s="10"/>
      <c r="D649" s="10"/>
      <c r="E649" s="10"/>
      <c r="U649" s="198"/>
      <c r="V649" s="198"/>
      <c r="AA649" s="198"/>
      <c r="AB649" s="198"/>
    </row>
    <row r="650" spans="3:28" ht="13.2">
      <c r="C650" s="10"/>
      <c r="D650" s="10"/>
      <c r="E650" s="10"/>
      <c r="U650" s="198"/>
      <c r="V650" s="198"/>
      <c r="AA650" s="198"/>
      <c r="AB650" s="198"/>
    </row>
    <row r="651" spans="3:28" ht="13.2">
      <c r="C651" s="10"/>
      <c r="D651" s="10"/>
      <c r="E651" s="10"/>
      <c r="U651" s="198"/>
      <c r="V651" s="198"/>
      <c r="AA651" s="198"/>
      <c r="AB651" s="198"/>
    </row>
    <row r="652" spans="3:28" ht="13.2">
      <c r="C652" s="10"/>
      <c r="D652" s="10"/>
      <c r="E652" s="10"/>
      <c r="U652" s="198"/>
      <c r="V652" s="198"/>
      <c r="AA652" s="198"/>
      <c r="AB652" s="198"/>
    </row>
    <row r="653" spans="3:28" ht="13.2">
      <c r="C653" s="10"/>
      <c r="D653" s="10"/>
      <c r="E653" s="10"/>
      <c r="U653" s="198"/>
      <c r="V653" s="198"/>
      <c r="AA653" s="198"/>
      <c r="AB653" s="198"/>
    </row>
    <row r="654" spans="3:28" ht="13.2">
      <c r="C654" s="10"/>
      <c r="D654" s="10"/>
      <c r="E654" s="10"/>
      <c r="U654" s="198"/>
      <c r="V654" s="198"/>
      <c r="AA654" s="198"/>
      <c r="AB654" s="198"/>
    </row>
    <row r="655" spans="3:28" ht="13.2">
      <c r="C655" s="10"/>
      <c r="D655" s="10"/>
      <c r="E655" s="10"/>
      <c r="U655" s="198"/>
      <c r="V655" s="198"/>
      <c r="AA655" s="198"/>
      <c r="AB655" s="198"/>
    </row>
    <row r="656" spans="3:28" ht="13.2">
      <c r="C656" s="10"/>
      <c r="D656" s="10"/>
      <c r="E656" s="10"/>
      <c r="U656" s="198"/>
      <c r="V656" s="198"/>
      <c r="AA656" s="198"/>
      <c r="AB656" s="198"/>
    </row>
    <row r="657" spans="3:28" ht="13.2">
      <c r="C657" s="10"/>
      <c r="D657" s="10"/>
      <c r="E657" s="10"/>
      <c r="U657" s="198"/>
      <c r="V657" s="198"/>
      <c r="AA657" s="198"/>
      <c r="AB657" s="198"/>
    </row>
    <row r="658" spans="3:28" ht="13.2">
      <c r="C658" s="10"/>
      <c r="D658" s="10"/>
      <c r="E658" s="10"/>
      <c r="U658" s="198"/>
      <c r="V658" s="198"/>
      <c r="AA658" s="198"/>
      <c r="AB658" s="198"/>
    </row>
    <row r="659" spans="3:28" ht="13.2">
      <c r="C659" s="10"/>
      <c r="D659" s="10"/>
      <c r="E659" s="10"/>
      <c r="U659" s="198"/>
      <c r="V659" s="198"/>
      <c r="AA659" s="198"/>
      <c r="AB659" s="198"/>
    </row>
    <row r="660" spans="3:28" ht="13.2">
      <c r="C660" s="10"/>
      <c r="D660" s="10"/>
      <c r="E660" s="10"/>
      <c r="U660" s="198"/>
      <c r="V660" s="198"/>
      <c r="AA660" s="198"/>
      <c r="AB660" s="198"/>
    </row>
    <row r="661" spans="3:28" ht="13.2">
      <c r="C661" s="10"/>
      <c r="D661" s="10"/>
      <c r="E661" s="10"/>
      <c r="U661" s="198"/>
      <c r="V661" s="198"/>
      <c r="AA661" s="198"/>
      <c r="AB661" s="198"/>
    </row>
    <row r="662" spans="3:28" ht="13.2">
      <c r="C662" s="10"/>
      <c r="D662" s="10"/>
      <c r="E662" s="10"/>
      <c r="U662" s="198"/>
      <c r="V662" s="198"/>
      <c r="AA662" s="198"/>
      <c r="AB662" s="198"/>
    </row>
    <row r="663" spans="3:28" ht="13.2">
      <c r="C663" s="10"/>
      <c r="D663" s="10"/>
      <c r="E663" s="10"/>
      <c r="U663" s="198"/>
      <c r="V663" s="198"/>
      <c r="AA663" s="198"/>
      <c r="AB663" s="198"/>
    </row>
    <row r="664" spans="3:28" ht="13.2">
      <c r="C664" s="10"/>
      <c r="D664" s="10"/>
      <c r="E664" s="10"/>
      <c r="U664" s="198"/>
      <c r="V664" s="198"/>
      <c r="AA664" s="198"/>
      <c r="AB664" s="198"/>
    </row>
    <row r="665" spans="3:28" ht="13.2">
      <c r="C665" s="10"/>
      <c r="D665" s="10"/>
      <c r="E665" s="10"/>
      <c r="U665" s="198"/>
      <c r="V665" s="198"/>
      <c r="AA665" s="198"/>
      <c r="AB665" s="198"/>
    </row>
    <row r="666" spans="3:28" ht="13.2">
      <c r="C666" s="10"/>
      <c r="D666" s="10"/>
      <c r="E666" s="10"/>
      <c r="U666" s="198"/>
      <c r="V666" s="198"/>
      <c r="AA666" s="198"/>
      <c r="AB666" s="198"/>
    </row>
    <row r="667" spans="3:28" ht="13.2">
      <c r="C667" s="10"/>
      <c r="D667" s="10"/>
      <c r="E667" s="10"/>
      <c r="U667" s="198"/>
      <c r="V667" s="198"/>
      <c r="AA667" s="198"/>
      <c r="AB667" s="198"/>
    </row>
    <row r="668" spans="3:28" ht="13.2">
      <c r="C668" s="10"/>
      <c r="D668" s="10"/>
      <c r="E668" s="10"/>
      <c r="U668" s="198"/>
      <c r="V668" s="198"/>
      <c r="AA668" s="198"/>
      <c r="AB668" s="198"/>
    </row>
    <row r="669" spans="3:28" ht="13.2">
      <c r="C669" s="10"/>
      <c r="D669" s="10"/>
      <c r="E669" s="10"/>
      <c r="U669" s="198"/>
      <c r="V669" s="198"/>
      <c r="AA669" s="198"/>
      <c r="AB669" s="198"/>
    </row>
    <row r="670" spans="3:28" ht="13.2">
      <c r="C670" s="10"/>
      <c r="D670" s="10"/>
      <c r="E670" s="10"/>
      <c r="U670" s="198"/>
      <c r="V670" s="198"/>
      <c r="AA670" s="198"/>
      <c r="AB670" s="198"/>
    </row>
    <row r="671" spans="3:28" ht="13.2">
      <c r="C671" s="10"/>
      <c r="D671" s="10"/>
      <c r="E671" s="10"/>
      <c r="U671" s="198"/>
      <c r="V671" s="198"/>
      <c r="AA671" s="198"/>
      <c r="AB671" s="198"/>
    </row>
    <row r="672" spans="3:28" ht="13.2">
      <c r="C672" s="10"/>
      <c r="D672" s="10"/>
      <c r="E672" s="10"/>
      <c r="U672" s="198"/>
      <c r="V672" s="198"/>
      <c r="AA672" s="198"/>
      <c r="AB672" s="198"/>
    </row>
    <row r="673" spans="3:28" ht="13.2">
      <c r="C673" s="10"/>
      <c r="D673" s="10"/>
      <c r="E673" s="10"/>
      <c r="U673" s="198"/>
      <c r="V673" s="198"/>
      <c r="AA673" s="198"/>
      <c r="AB673" s="198"/>
    </row>
    <row r="674" spans="3:28" ht="13.2">
      <c r="C674" s="10"/>
      <c r="D674" s="10"/>
      <c r="E674" s="10"/>
      <c r="U674" s="198"/>
      <c r="V674" s="198"/>
      <c r="AA674" s="198"/>
      <c r="AB674" s="198"/>
    </row>
    <row r="675" spans="3:28" ht="13.2">
      <c r="C675" s="10"/>
      <c r="D675" s="10"/>
      <c r="E675" s="10"/>
      <c r="U675" s="198"/>
      <c r="V675" s="198"/>
      <c r="AA675" s="198"/>
      <c r="AB675" s="198"/>
    </row>
    <row r="676" spans="3:28" ht="13.2">
      <c r="C676" s="10"/>
      <c r="D676" s="10"/>
      <c r="E676" s="10"/>
      <c r="U676" s="198"/>
      <c r="V676" s="198"/>
      <c r="AA676" s="198"/>
      <c r="AB676" s="198"/>
    </row>
    <row r="677" spans="3:28" ht="13.2">
      <c r="C677" s="10"/>
      <c r="D677" s="10"/>
      <c r="E677" s="10"/>
      <c r="U677" s="198"/>
      <c r="V677" s="198"/>
      <c r="AA677" s="198"/>
      <c r="AB677" s="198"/>
    </row>
    <row r="678" spans="3:28" ht="13.2">
      <c r="C678" s="10"/>
      <c r="D678" s="10"/>
      <c r="E678" s="10"/>
      <c r="U678" s="198"/>
      <c r="V678" s="198"/>
      <c r="AA678" s="198"/>
      <c r="AB678" s="198"/>
    </row>
    <row r="679" spans="3:28" ht="13.2">
      <c r="C679" s="10"/>
      <c r="D679" s="10"/>
      <c r="E679" s="10"/>
      <c r="U679" s="198"/>
      <c r="V679" s="198"/>
      <c r="AA679" s="198"/>
      <c r="AB679" s="198"/>
    </row>
    <row r="680" spans="3:28" ht="13.2">
      <c r="C680" s="10"/>
      <c r="D680" s="10"/>
      <c r="E680" s="10"/>
      <c r="U680" s="198"/>
      <c r="V680" s="198"/>
      <c r="AA680" s="198"/>
      <c r="AB680" s="198"/>
    </row>
    <row r="681" spans="3:28" ht="13.2">
      <c r="C681" s="10"/>
      <c r="D681" s="10"/>
      <c r="E681" s="10"/>
      <c r="U681" s="198"/>
      <c r="V681" s="198"/>
      <c r="AA681" s="198"/>
      <c r="AB681" s="198"/>
    </row>
    <row r="682" spans="3:28" ht="13.2">
      <c r="C682" s="10"/>
      <c r="D682" s="10"/>
      <c r="E682" s="10"/>
      <c r="U682" s="198"/>
      <c r="V682" s="198"/>
      <c r="AA682" s="198"/>
      <c r="AB682" s="198"/>
    </row>
    <row r="683" spans="3:28" ht="13.2">
      <c r="C683" s="10"/>
      <c r="D683" s="10"/>
      <c r="E683" s="10"/>
      <c r="U683" s="198"/>
      <c r="V683" s="198"/>
      <c r="AA683" s="198"/>
      <c r="AB683" s="198"/>
    </row>
    <row r="684" spans="3:28" ht="13.2">
      <c r="C684" s="10"/>
      <c r="D684" s="10"/>
      <c r="E684" s="10"/>
      <c r="U684" s="198"/>
      <c r="V684" s="198"/>
      <c r="AA684" s="198"/>
      <c r="AB684" s="198"/>
    </row>
    <row r="685" spans="3:28" ht="13.2">
      <c r="C685" s="10"/>
      <c r="D685" s="10"/>
      <c r="E685" s="10"/>
      <c r="U685" s="198"/>
      <c r="V685" s="198"/>
      <c r="AA685" s="198"/>
      <c r="AB685" s="198"/>
    </row>
    <row r="686" spans="3:28" ht="13.2">
      <c r="C686" s="10"/>
      <c r="D686" s="10"/>
      <c r="E686" s="10"/>
      <c r="U686" s="198"/>
      <c r="V686" s="198"/>
      <c r="AA686" s="198"/>
      <c r="AB686" s="198"/>
    </row>
    <row r="687" spans="3:28" ht="13.2">
      <c r="C687" s="10"/>
      <c r="D687" s="10"/>
      <c r="E687" s="10"/>
      <c r="U687" s="198"/>
      <c r="V687" s="198"/>
      <c r="AA687" s="198"/>
      <c r="AB687" s="198"/>
    </row>
    <row r="688" spans="3:28" ht="13.2">
      <c r="C688" s="10"/>
      <c r="D688" s="10"/>
      <c r="E688" s="10"/>
      <c r="U688" s="198"/>
      <c r="V688" s="198"/>
      <c r="AA688" s="198"/>
      <c r="AB688" s="198"/>
    </row>
    <row r="689" spans="3:28" ht="13.2">
      <c r="C689" s="10"/>
      <c r="D689" s="10"/>
      <c r="E689" s="10"/>
      <c r="U689" s="198"/>
      <c r="V689" s="198"/>
      <c r="AA689" s="198"/>
      <c r="AB689" s="198"/>
    </row>
    <row r="690" spans="3:28" ht="13.2">
      <c r="C690" s="10"/>
      <c r="D690" s="10"/>
      <c r="E690" s="10"/>
      <c r="U690" s="198"/>
      <c r="V690" s="198"/>
      <c r="AA690" s="198"/>
      <c r="AB690" s="198"/>
    </row>
    <row r="691" spans="3:28" ht="13.2">
      <c r="C691" s="10"/>
      <c r="D691" s="10"/>
      <c r="E691" s="10"/>
      <c r="U691" s="198"/>
      <c r="V691" s="198"/>
      <c r="AA691" s="198"/>
      <c r="AB691" s="198"/>
    </row>
    <row r="692" spans="3:28" ht="13.2">
      <c r="C692" s="10"/>
      <c r="D692" s="10"/>
      <c r="E692" s="10"/>
      <c r="U692" s="198"/>
      <c r="V692" s="198"/>
      <c r="AA692" s="198"/>
      <c r="AB692" s="198"/>
    </row>
    <row r="693" spans="3:28" ht="13.2">
      <c r="C693" s="10"/>
      <c r="D693" s="10"/>
      <c r="E693" s="10"/>
      <c r="U693" s="198"/>
      <c r="V693" s="198"/>
      <c r="AA693" s="198"/>
      <c r="AB693" s="198"/>
    </row>
    <row r="694" spans="3:28" ht="13.2">
      <c r="C694" s="10"/>
      <c r="D694" s="10"/>
      <c r="E694" s="10"/>
      <c r="U694" s="198"/>
      <c r="V694" s="198"/>
      <c r="AA694" s="198"/>
      <c r="AB694" s="198"/>
    </row>
    <row r="695" spans="3:28" ht="13.2">
      <c r="C695" s="10"/>
      <c r="D695" s="10"/>
      <c r="E695" s="10"/>
      <c r="U695" s="198"/>
      <c r="V695" s="198"/>
      <c r="AA695" s="198"/>
      <c r="AB695" s="198"/>
    </row>
    <row r="696" spans="3:28" ht="13.2">
      <c r="C696" s="10"/>
      <c r="D696" s="10"/>
      <c r="E696" s="10"/>
      <c r="U696" s="198"/>
      <c r="V696" s="198"/>
      <c r="AA696" s="198"/>
      <c r="AB696" s="198"/>
    </row>
    <row r="697" spans="3:28" ht="13.2">
      <c r="C697" s="10"/>
      <c r="D697" s="10"/>
      <c r="E697" s="10"/>
      <c r="U697" s="198"/>
      <c r="V697" s="198"/>
      <c r="AA697" s="198"/>
      <c r="AB697" s="198"/>
    </row>
    <row r="698" spans="3:28" ht="13.2">
      <c r="C698" s="10"/>
      <c r="D698" s="10"/>
      <c r="E698" s="10"/>
      <c r="U698" s="198"/>
      <c r="V698" s="198"/>
      <c r="AA698" s="198"/>
      <c r="AB698" s="198"/>
    </row>
    <row r="699" spans="3:28" ht="13.2">
      <c r="C699" s="10"/>
      <c r="D699" s="10"/>
      <c r="E699" s="10"/>
      <c r="U699" s="198"/>
      <c r="V699" s="198"/>
      <c r="AA699" s="198"/>
      <c r="AB699" s="198"/>
    </row>
    <row r="700" spans="3:28" ht="13.2">
      <c r="C700" s="10"/>
      <c r="D700" s="10"/>
      <c r="E700" s="10"/>
      <c r="U700" s="198"/>
      <c r="V700" s="198"/>
      <c r="AA700" s="198"/>
      <c r="AB700" s="198"/>
    </row>
    <row r="701" spans="3:28" ht="13.2">
      <c r="C701" s="10"/>
      <c r="D701" s="10"/>
      <c r="E701" s="10"/>
      <c r="U701" s="198"/>
      <c r="V701" s="198"/>
      <c r="AA701" s="198"/>
      <c r="AB701" s="198"/>
    </row>
    <row r="702" spans="3:28" ht="13.2">
      <c r="C702" s="10"/>
      <c r="D702" s="10"/>
      <c r="E702" s="10"/>
      <c r="U702" s="198"/>
      <c r="V702" s="198"/>
      <c r="AA702" s="198"/>
      <c r="AB702" s="198"/>
    </row>
    <row r="703" spans="3:28" ht="13.2">
      <c r="C703" s="10"/>
      <c r="D703" s="10"/>
      <c r="E703" s="10"/>
      <c r="U703" s="198"/>
      <c r="V703" s="198"/>
      <c r="AA703" s="198"/>
      <c r="AB703" s="198"/>
    </row>
    <row r="704" spans="3:28" ht="13.2">
      <c r="C704" s="10"/>
      <c r="D704" s="10"/>
      <c r="E704" s="10"/>
      <c r="U704" s="198"/>
      <c r="V704" s="198"/>
      <c r="AA704" s="198"/>
      <c r="AB704" s="198"/>
    </row>
    <row r="705" spans="3:28" ht="13.2">
      <c r="C705" s="10"/>
      <c r="D705" s="10"/>
      <c r="E705" s="10"/>
      <c r="U705" s="198"/>
      <c r="V705" s="198"/>
      <c r="AA705" s="198"/>
      <c r="AB705" s="198"/>
    </row>
    <row r="706" spans="3:28" ht="13.2">
      <c r="C706" s="10"/>
      <c r="D706" s="10"/>
      <c r="E706" s="10"/>
      <c r="U706" s="198"/>
      <c r="V706" s="198"/>
      <c r="AA706" s="198"/>
      <c r="AB706" s="198"/>
    </row>
    <row r="707" spans="3:28" ht="13.2">
      <c r="C707" s="10"/>
      <c r="D707" s="10"/>
      <c r="E707" s="10"/>
      <c r="U707" s="198"/>
      <c r="V707" s="198"/>
      <c r="AA707" s="198"/>
      <c r="AB707" s="198"/>
    </row>
    <row r="708" spans="3:28" ht="13.2">
      <c r="C708" s="10"/>
      <c r="D708" s="10"/>
      <c r="E708" s="10"/>
      <c r="U708" s="198"/>
      <c r="V708" s="198"/>
      <c r="AA708" s="198"/>
      <c r="AB708" s="198"/>
    </row>
    <row r="709" spans="3:28" ht="13.2">
      <c r="C709" s="10"/>
      <c r="D709" s="10"/>
      <c r="E709" s="10"/>
      <c r="U709" s="198"/>
      <c r="V709" s="198"/>
      <c r="AA709" s="198"/>
      <c r="AB709" s="198"/>
    </row>
    <row r="710" spans="3:28" ht="13.2">
      <c r="C710" s="10"/>
      <c r="D710" s="10"/>
      <c r="E710" s="10"/>
      <c r="U710" s="198"/>
      <c r="V710" s="198"/>
      <c r="AA710" s="198"/>
      <c r="AB710" s="198"/>
    </row>
    <row r="711" spans="3:28" ht="13.2">
      <c r="C711" s="10"/>
      <c r="D711" s="10"/>
      <c r="E711" s="10"/>
      <c r="U711" s="198"/>
      <c r="V711" s="198"/>
      <c r="AA711" s="198"/>
      <c r="AB711" s="198"/>
    </row>
    <row r="712" spans="3:28" ht="13.2">
      <c r="C712" s="10"/>
      <c r="D712" s="10"/>
      <c r="E712" s="10"/>
      <c r="U712" s="198"/>
      <c r="V712" s="198"/>
      <c r="AA712" s="198"/>
      <c r="AB712" s="198"/>
    </row>
    <row r="713" spans="3:28" ht="13.2">
      <c r="C713" s="10"/>
      <c r="D713" s="10"/>
      <c r="E713" s="10"/>
      <c r="U713" s="198"/>
      <c r="V713" s="198"/>
      <c r="AA713" s="198"/>
      <c r="AB713" s="198"/>
    </row>
    <row r="714" spans="3:28" ht="13.2">
      <c r="C714" s="10"/>
      <c r="D714" s="10"/>
      <c r="E714" s="10"/>
      <c r="U714" s="198"/>
      <c r="V714" s="198"/>
      <c r="AA714" s="198"/>
      <c r="AB714" s="198"/>
    </row>
    <row r="715" spans="3:28" ht="13.2">
      <c r="C715" s="10"/>
      <c r="D715" s="10"/>
      <c r="E715" s="10"/>
      <c r="U715" s="198"/>
      <c r="V715" s="198"/>
      <c r="AA715" s="198"/>
      <c r="AB715" s="198"/>
    </row>
    <row r="716" spans="3:28" ht="13.2">
      <c r="C716" s="10"/>
      <c r="D716" s="10"/>
      <c r="E716" s="10"/>
      <c r="U716" s="198"/>
      <c r="V716" s="198"/>
      <c r="AA716" s="198"/>
      <c r="AB716" s="198"/>
    </row>
    <row r="717" spans="3:28" ht="13.2">
      <c r="C717" s="10"/>
      <c r="D717" s="10"/>
      <c r="E717" s="10"/>
      <c r="U717" s="198"/>
      <c r="V717" s="198"/>
      <c r="AA717" s="198"/>
      <c r="AB717" s="198"/>
    </row>
    <row r="718" spans="3:28" ht="13.2">
      <c r="C718" s="10"/>
      <c r="D718" s="10"/>
      <c r="E718" s="10"/>
      <c r="U718" s="198"/>
      <c r="V718" s="198"/>
      <c r="AA718" s="198"/>
      <c r="AB718" s="198"/>
    </row>
    <row r="719" spans="3:28" ht="13.2">
      <c r="C719" s="10"/>
      <c r="D719" s="10"/>
      <c r="E719" s="10"/>
      <c r="U719" s="198"/>
      <c r="V719" s="198"/>
      <c r="AA719" s="198"/>
      <c r="AB719" s="198"/>
    </row>
    <row r="720" spans="3:28" ht="13.2">
      <c r="C720" s="10"/>
      <c r="D720" s="10"/>
      <c r="E720" s="10"/>
      <c r="U720" s="198"/>
      <c r="V720" s="198"/>
      <c r="AA720" s="198"/>
      <c r="AB720" s="198"/>
    </row>
    <row r="721" spans="3:28" ht="13.2">
      <c r="C721" s="10"/>
      <c r="D721" s="10"/>
      <c r="E721" s="10"/>
      <c r="U721" s="198"/>
      <c r="V721" s="198"/>
      <c r="AA721" s="198"/>
      <c r="AB721" s="198"/>
    </row>
    <row r="722" spans="3:28" ht="13.2">
      <c r="C722" s="10"/>
      <c r="D722" s="10"/>
      <c r="E722" s="10"/>
      <c r="U722" s="198"/>
      <c r="V722" s="198"/>
      <c r="AA722" s="198"/>
      <c r="AB722" s="198"/>
    </row>
    <row r="723" spans="3:28" ht="13.2">
      <c r="C723" s="10"/>
      <c r="D723" s="10"/>
      <c r="E723" s="10"/>
      <c r="U723" s="198"/>
      <c r="V723" s="198"/>
      <c r="AA723" s="198"/>
      <c r="AB723" s="198"/>
    </row>
    <row r="724" spans="3:28" ht="13.2">
      <c r="C724" s="10"/>
      <c r="D724" s="10"/>
      <c r="E724" s="10"/>
      <c r="U724" s="198"/>
      <c r="V724" s="198"/>
      <c r="AA724" s="198"/>
      <c r="AB724" s="198"/>
    </row>
    <row r="725" spans="3:28" ht="13.2">
      <c r="C725" s="10"/>
      <c r="D725" s="10"/>
      <c r="E725" s="10"/>
      <c r="U725" s="198"/>
      <c r="V725" s="198"/>
      <c r="AA725" s="198"/>
      <c r="AB725" s="198"/>
    </row>
    <row r="726" spans="3:28" ht="13.2">
      <c r="C726" s="10"/>
      <c r="D726" s="10"/>
      <c r="E726" s="10"/>
      <c r="U726" s="198"/>
      <c r="V726" s="198"/>
      <c r="AA726" s="198"/>
      <c r="AB726" s="198"/>
    </row>
    <row r="727" spans="3:28" ht="13.2">
      <c r="C727" s="10"/>
      <c r="D727" s="10"/>
      <c r="E727" s="10"/>
      <c r="U727" s="198"/>
      <c r="V727" s="198"/>
      <c r="AA727" s="198"/>
      <c r="AB727" s="198"/>
    </row>
    <row r="728" spans="3:28" ht="13.2">
      <c r="C728" s="10"/>
      <c r="D728" s="10"/>
      <c r="E728" s="10"/>
      <c r="U728" s="198"/>
      <c r="V728" s="198"/>
      <c r="AA728" s="198"/>
      <c r="AB728" s="198"/>
    </row>
    <row r="729" spans="3:28" ht="13.2">
      <c r="C729" s="10"/>
      <c r="D729" s="10"/>
      <c r="E729" s="10"/>
      <c r="U729" s="198"/>
      <c r="V729" s="198"/>
      <c r="AA729" s="198"/>
      <c r="AB729" s="198"/>
    </row>
    <row r="730" spans="3:28" ht="13.2">
      <c r="C730" s="10"/>
      <c r="D730" s="10"/>
      <c r="E730" s="10"/>
      <c r="U730" s="198"/>
      <c r="V730" s="198"/>
      <c r="AA730" s="198"/>
      <c r="AB730" s="198"/>
    </row>
    <row r="731" spans="3:28" ht="13.2">
      <c r="C731" s="10"/>
      <c r="D731" s="10"/>
      <c r="E731" s="10"/>
      <c r="U731" s="198"/>
      <c r="V731" s="198"/>
      <c r="AA731" s="198"/>
      <c r="AB731" s="198"/>
    </row>
    <row r="732" spans="3:28" ht="13.2">
      <c r="C732" s="10"/>
      <c r="D732" s="10"/>
      <c r="E732" s="10"/>
      <c r="U732" s="198"/>
      <c r="V732" s="198"/>
      <c r="AA732" s="198"/>
      <c r="AB732" s="198"/>
    </row>
    <row r="733" spans="3:28" ht="13.2">
      <c r="C733" s="10"/>
      <c r="D733" s="10"/>
      <c r="E733" s="10"/>
      <c r="U733" s="198"/>
      <c r="V733" s="198"/>
      <c r="AA733" s="198"/>
      <c r="AB733" s="198"/>
    </row>
    <row r="734" spans="3:28" ht="13.2">
      <c r="C734" s="10"/>
      <c r="D734" s="10"/>
      <c r="E734" s="10"/>
      <c r="U734" s="198"/>
      <c r="V734" s="198"/>
      <c r="AA734" s="198"/>
      <c r="AB734" s="198"/>
    </row>
    <row r="735" spans="3:28" ht="13.2">
      <c r="C735" s="10"/>
      <c r="D735" s="10"/>
      <c r="E735" s="10"/>
      <c r="U735" s="198"/>
      <c r="V735" s="198"/>
      <c r="AA735" s="198"/>
      <c r="AB735" s="198"/>
    </row>
    <row r="736" spans="3:28" ht="13.2">
      <c r="C736" s="10"/>
      <c r="D736" s="10"/>
      <c r="E736" s="10"/>
      <c r="U736" s="198"/>
      <c r="V736" s="198"/>
      <c r="AA736" s="198"/>
      <c r="AB736" s="198"/>
    </row>
    <row r="737" spans="3:28" ht="13.2">
      <c r="C737" s="10"/>
      <c r="D737" s="10"/>
      <c r="E737" s="10"/>
      <c r="U737" s="198"/>
      <c r="V737" s="198"/>
      <c r="AA737" s="198"/>
      <c r="AB737" s="198"/>
    </row>
    <row r="738" spans="3:28" ht="13.2">
      <c r="C738" s="10"/>
      <c r="D738" s="10"/>
      <c r="E738" s="10"/>
      <c r="U738" s="198"/>
      <c r="V738" s="198"/>
      <c r="AA738" s="198"/>
      <c r="AB738" s="198"/>
    </row>
    <row r="739" spans="3:28" ht="13.2">
      <c r="C739" s="10"/>
      <c r="D739" s="10"/>
      <c r="E739" s="10"/>
      <c r="U739" s="198"/>
      <c r="V739" s="198"/>
      <c r="AA739" s="198"/>
      <c r="AB739" s="198"/>
    </row>
    <row r="740" spans="3:28" ht="13.2">
      <c r="C740" s="10"/>
      <c r="D740" s="10"/>
      <c r="E740" s="10"/>
      <c r="U740" s="198"/>
      <c r="V740" s="198"/>
      <c r="AA740" s="198"/>
      <c r="AB740" s="198"/>
    </row>
    <row r="741" spans="3:28" ht="13.2">
      <c r="C741" s="10"/>
      <c r="D741" s="10"/>
      <c r="E741" s="10"/>
      <c r="U741" s="198"/>
      <c r="V741" s="198"/>
      <c r="AA741" s="198"/>
      <c r="AB741" s="198"/>
    </row>
    <row r="742" spans="3:28" ht="13.2">
      <c r="C742" s="10"/>
      <c r="D742" s="10"/>
      <c r="E742" s="10"/>
      <c r="U742" s="198"/>
      <c r="V742" s="198"/>
      <c r="AA742" s="198"/>
      <c r="AB742" s="198"/>
    </row>
    <row r="743" spans="3:28" ht="13.2">
      <c r="C743" s="10"/>
      <c r="D743" s="10"/>
      <c r="E743" s="10"/>
      <c r="U743" s="198"/>
      <c r="V743" s="198"/>
      <c r="AA743" s="198"/>
      <c r="AB743" s="198"/>
    </row>
    <row r="744" spans="3:28" ht="13.2">
      <c r="C744" s="10"/>
      <c r="D744" s="10"/>
      <c r="E744" s="10"/>
      <c r="U744" s="198"/>
      <c r="V744" s="198"/>
      <c r="AA744" s="198"/>
      <c r="AB744" s="198"/>
    </row>
    <row r="745" spans="3:28" ht="13.2">
      <c r="C745" s="10"/>
      <c r="D745" s="10"/>
      <c r="E745" s="10"/>
      <c r="U745" s="198"/>
      <c r="V745" s="198"/>
      <c r="AA745" s="198"/>
      <c r="AB745" s="198"/>
    </row>
    <row r="746" spans="3:28" ht="13.2">
      <c r="C746" s="10"/>
      <c r="D746" s="10"/>
      <c r="E746" s="10"/>
      <c r="U746" s="198"/>
      <c r="V746" s="198"/>
      <c r="AA746" s="198"/>
      <c r="AB746" s="198"/>
    </row>
    <row r="747" spans="3:28" ht="13.2">
      <c r="C747" s="10"/>
      <c r="D747" s="10"/>
      <c r="E747" s="10"/>
      <c r="U747" s="198"/>
      <c r="V747" s="198"/>
      <c r="AA747" s="198"/>
      <c r="AB747" s="198"/>
    </row>
    <row r="748" spans="3:28" ht="13.2">
      <c r="C748" s="10"/>
      <c r="D748" s="10"/>
      <c r="E748" s="10"/>
      <c r="U748" s="198"/>
      <c r="V748" s="198"/>
      <c r="AA748" s="198"/>
      <c r="AB748" s="198"/>
    </row>
    <row r="749" spans="3:28" ht="13.2">
      <c r="C749" s="10"/>
      <c r="D749" s="10"/>
      <c r="E749" s="10"/>
      <c r="U749" s="198"/>
      <c r="V749" s="198"/>
      <c r="AA749" s="198"/>
      <c r="AB749" s="198"/>
    </row>
    <row r="750" spans="3:28" ht="13.2">
      <c r="C750" s="10"/>
      <c r="D750" s="10"/>
      <c r="E750" s="10"/>
      <c r="U750" s="198"/>
      <c r="V750" s="198"/>
      <c r="AA750" s="198"/>
      <c r="AB750" s="198"/>
    </row>
    <row r="751" spans="3:28" ht="13.2">
      <c r="C751" s="10"/>
      <c r="D751" s="10"/>
      <c r="E751" s="10"/>
      <c r="U751" s="198"/>
      <c r="V751" s="198"/>
      <c r="AA751" s="198"/>
      <c r="AB751" s="198"/>
    </row>
    <row r="752" spans="3:28" ht="13.2">
      <c r="C752" s="10"/>
      <c r="D752" s="10"/>
      <c r="E752" s="10"/>
      <c r="U752" s="198"/>
      <c r="V752" s="198"/>
      <c r="AA752" s="198"/>
      <c r="AB752" s="198"/>
    </row>
    <row r="753" spans="3:28" ht="13.2">
      <c r="C753" s="10"/>
      <c r="D753" s="10"/>
      <c r="E753" s="10"/>
      <c r="U753" s="198"/>
      <c r="V753" s="198"/>
      <c r="AA753" s="198"/>
      <c r="AB753" s="198"/>
    </row>
    <row r="754" spans="3:28" ht="13.2">
      <c r="C754" s="10"/>
      <c r="D754" s="10"/>
      <c r="E754" s="10"/>
      <c r="U754" s="198"/>
      <c r="V754" s="198"/>
      <c r="AA754" s="198"/>
      <c r="AB754" s="198"/>
    </row>
    <row r="755" spans="3:28" ht="13.2">
      <c r="C755" s="10"/>
      <c r="D755" s="10"/>
      <c r="E755" s="10"/>
      <c r="U755" s="198"/>
      <c r="V755" s="198"/>
      <c r="AA755" s="198"/>
      <c r="AB755" s="198"/>
    </row>
    <row r="756" spans="3:28" ht="13.2">
      <c r="C756" s="10"/>
      <c r="D756" s="10"/>
      <c r="E756" s="10"/>
      <c r="U756" s="198"/>
      <c r="V756" s="198"/>
      <c r="AA756" s="198"/>
      <c r="AB756" s="198"/>
    </row>
    <row r="757" spans="3:28" ht="13.2">
      <c r="C757" s="10"/>
      <c r="D757" s="10"/>
      <c r="E757" s="10"/>
      <c r="U757" s="198"/>
      <c r="V757" s="198"/>
      <c r="AA757" s="198"/>
      <c r="AB757" s="198"/>
    </row>
    <row r="758" spans="3:28" ht="13.2">
      <c r="C758" s="10"/>
      <c r="D758" s="10"/>
      <c r="E758" s="10"/>
      <c r="U758" s="198"/>
      <c r="V758" s="198"/>
      <c r="AA758" s="198"/>
      <c r="AB758" s="198"/>
    </row>
    <row r="759" spans="3:28" ht="13.2">
      <c r="C759" s="10"/>
      <c r="D759" s="10"/>
      <c r="E759" s="10"/>
      <c r="U759" s="198"/>
      <c r="V759" s="198"/>
      <c r="AA759" s="198"/>
      <c r="AB759" s="198"/>
    </row>
    <row r="760" spans="3:28" ht="13.2">
      <c r="C760" s="10"/>
      <c r="D760" s="10"/>
      <c r="E760" s="10"/>
      <c r="U760" s="198"/>
      <c r="V760" s="198"/>
      <c r="AA760" s="198"/>
      <c r="AB760" s="198"/>
    </row>
    <row r="761" spans="3:28" ht="13.2">
      <c r="C761" s="10"/>
      <c r="D761" s="10"/>
      <c r="E761" s="10"/>
      <c r="U761" s="198"/>
      <c r="V761" s="198"/>
      <c r="AA761" s="198"/>
      <c r="AB761" s="198"/>
    </row>
    <row r="762" spans="3:28" ht="13.2">
      <c r="C762" s="10"/>
      <c r="D762" s="10"/>
      <c r="E762" s="10"/>
      <c r="U762" s="198"/>
      <c r="V762" s="198"/>
      <c r="AA762" s="198"/>
      <c r="AB762" s="198"/>
    </row>
    <row r="763" spans="3:28" ht="13.2">
      <c r="C763" s="10"/>
      <c r="D763" s="10"/>
      <c r="E763" s="10"/>
      <c r="U763" s="198"/>
      <c r="V763" s="198"/>
      <c r="AA763" s="198"/>
      <c r="AB763" s="198"/>
    </row>
    <row r="764" spans="3:28" ht="13.2">
      <c r="C764" s="10"/>
      <c r="D764" s="10"/>
      <c r="E764" s="10"/>
      <c r="U764" s="198"/>
      <c r="V764" s="198"/>
      <c r="AA764" s="198"/>
      <c r="AB764" s="198"/>
    </row>
    <row r="765" spans="3:28" ht="13.2">
      <c r="C765" s="10"/>
      <c r="D765" s="10"/>
      <c r="E765" s="10"/>
      <c r="U765" s="198"/>
      <c r="V765" s="198"/>
      <c r="AA765" s="198"/>
      <c r="AB765" s="198"/>
    </row>
    <row r="766" spans="3:28" ht="13.2">
      <c r="C766" s="10"/>
      <c r="D766" s="10"/>
      <c r="E766" s="10"/>
      <c r="U766" s="198"/>
      <c r="V766" s="198"/>
      <c r="AA766" s="198"/>
      <c r="AB766" s="198"/>
    </row>
    <row r="767" spans="3:28" ht="13.2">
      <c r="C767" s="10"/>
      <c r="D767" s="10"/>
      <c r="E767" s="10"/>
      <c r="U767" s="198"/>
      <c r="V767" s="198"/>
      <c r="AA767" s="198"/>
      <c r="AB767" s="198"/>
    </row>
    <row r="768" spans="3:28" ht="13.2">
      <c r="C768" s="10"/>
      <c r="D768" s="10"/>
      <c r="E768" s="10"/>
      <c r="U768" s="198"/>
      <c r="V768" s="198"/>
      <c r="AA768" s="198"/>
      <c r="AB768" s="198"/>
    </row>
    <row r="769" spans="3:28" ht="13.2">
      <c r="C769" s="10"/>
      <c r="D769" s="10"/>
      <c r="E769" s="10"/>
      <c r="U769" s="198"/>
      <c r="V769" s="198"/>
      <c r="AA769" s="198"/>
      <c r="AB769" s="198"/>
    </row>
    <row r="770" spans="3:28" ht="13.2">
      <c r="C770" s="10"/>
      <c r="D770" s="10"/>
      <c r="E770" s="10"/>
      <c r="U770" s="198"/>
      <c r="V770" s="198"/>
      <c r="AA770" s="198"/>
      <c r="AB770" s="198"/>
    </row>
    <row r="771" spans="3:28" ht="13.2">
      <c r="C771" s="10"/>
      <c r="D771" s="10"/>
      <c r="E771" s="10"/>
      <c r="U771" s="198"/>
      <c r="V771" s="198"/>
      <c r="AA771" s="198"/>
      <c r="AB771" s="198"/>
    </row>
    <row r="772" spans="3:28" ht="13.2">
      <c r="C772" s="10"/>
      <c r="D772" s="10"/>
      <c r="E772" s="10"/>
      <c r="U772" s="198"/>
      <c r="V772" s="198"/>
      <c r="AA772" s="198"/>
      <c r="AB772" s="198"/>
    </row>
    <row r="773" spans="3:28" ht="13.2">
      <c r="C773" s="10"/>
      <c r="D773" s="10"/>
      <c r="E773" s="10"/>
      <c r="U773" s="198"/>
      <c r="V773" s="198"/>
      <c r="AA773" s="198"/>
      <c r="AB773" s="198"/>
    </row>
    <row r="774" spans="3:28" ht="13.2">
      <c r="C774" s="10"/>
      <c r="D774" s="10"/>
      <c r="E774" s="10"/>
      <c r="U774" s="198"/>
      <c r="V774" s="198"/>
      <c r="AA774" s="198"/>
      <c r="AB774" s="198"/>
    </row>
    <row r="775" spans="3:28" ht="13.2">
      <c r="C775" s="10"/>
      <c r="D775" s="10"/>
      <c r="E775" s="10"/>
      <c r="U775" s="198"/>
      <c r="V775" s="198"/>
      <c r="AA775" s="198"/>
      <c r="AB775" s="198"/>
    </row>
    <row r="776" spans="3:28" ht="13.2">
      <c r="C776" s="10"/>
      <c r="D776" s="10"/>
      <c r="E776" s="10"/>
      <c r="U776" s="198"/>
      <c r="V776" s="198"/>
      <c r="AA776" s="198"/>
      <c r="AB776" s="198"/>
    </row>
    <row r="777" spans="3:28" ht="13.2">
      <c r="C777" s="10"/>
      <c r="D777" s="10"/>
      <c r="E777" s="10"/>
      <c r="U777" s="198"/>
      <c r="V777" s="198"/>
      <c r="AA777" s="198"/>
      <c r="AB777" s="198"/>
    </row>
    <row r="778" spans="3:28" ht="13.2">
      <c r="C778" s="10"/>
      <c r="D778" s="10"/>
      <c r="E778" s="10"/>
      <c r="U778" s="198"/>
      <c r="V778" s="198"/>
      <c r="AA778" s="198"/>
      <c r="AB778" s="198"/>
    </row>
    <row r="779" spans="3:28" ht="13.2">
      <c r="C779" s="10"/>
      <c r="D779" s="10"/>
      <c r="E779" s="10"/>
      <c r="U779" s="198"/>
      <c r="V779" s="198"/>
      <c r="AA779" s="198"/>
      <c r="AB779" s="198"/>
    </row>
    <row r="780" spans="3:28" ht="13.2">
      <c r="C780" s="10"/>
      <c r="D780" s="10"/>
      <c r="E780" s="10"/>
      <c r="U780" s="198"/>
      <c r="V780" s="198"/>
      <c r="AA780" s="198"/>
      <c r="AB780" s="198"/>
    </row>
    <row r="781" spans="3:28" ht="13.2">
      <c r="C781" s="10"/>
      <c r="D781" s="10"/>
      <c r="E781" s="10"/>
      <c r="U781" s="198"/>
      <c r="V781" s="198"/>
      <c r="AA781" s="198"/>
      <c r="AB781" s="198"/>
    </row>
    <row r="782" spans="3:28" ht="13.2">
      <c r="C782" s="10"/>
      <c r="D782" s="10"/>
      <c r="E782" s="10"/>
      <c r="U782" s="198"/>
      <c r="V782" s="198"/>
      <c r="AA782" s="198"/>
      <c r="AB782" s="198"/>
    </row>
    <row r="783" spans="3:28" ht="13.2">
      <c r="C783" s="10"/>
      <c r="D783" s="10"/>
      <c r="E783" s="10"/>
      <c r="U783" s="198"/>
      <c r="V783" s="198"/>
      <c r="AA783" s="198"/>
      <c r="AB783" s="198"/>
    </row>
    <row r="784" spans="3:28" ht="13.2">
      <c r="C784" s="10"/>
      <c r="D784" s="10"/>
      <c r="E784" s="10"/>
      <c r="U784" s="198"/>
      <c r="V784" s="198"/>
      <c r="AA784" s="198"/>
      <c r="AB784" s="198"/>
    </row>
    <row r="785" spans="3:28" ht="13.2">
      <c r="C785" s="10"/>
      <c r="D785" s="10"/>
      <c r="E785" s="10"/>
      <c r="U785" s="198"/>
      <c r="V785" s="198"/>
      <c r="AA785" s="198"/>
      <c r="AB785" s="198"/>
    </row>
    <row r="786" spans="3:28" ht="13.2">
      <c r="C786" s="10"/>
      <c r="D786" s="10"/>
      <c r="E786" s="10"/>
      <c r="U786" s="198"/>
      <c r="V786" s="198"/>
      <c r="AA786" s="198"/>
      <c r="AB786" s="198"/>
    </row>
    <row r="787" spans="3:28" ht="13.2">
      <c r="C787" s="10"/>
      <c r="D787" s="10"/>
      <c r="E787" s="10"/>
      <c r="U787" s="198"/>
      <c r="V787" s="198"/>
      <c r="AA787" s="198"/>
      <c r="AB787" s="198"/>
    </row>
    <row r="788" spans="3:28" ht="13.2">
      <c r="C788" s="10"/>
      <c r="D788" s="10"/>
      <c r="E788" s="10"/>
      <c r="U788" s="198"/>
      <c r="V788" s="198"/>
      <c r="AA788" s="198"/>
      <c r="AB788" s="198"/>
    </row>
    <row r="789" spans="3:28" ht="13.2">
      <c r="C789" s="10"/>
      <c r="D789" s="10"/>
      <c r="E789" s="10"/>
      <c r="U789" s="198"/>
      <c r="V789" s="198"/>
      <c r="AA789" s="198"/>
      <c r="AB789" s="198"/>
    </row>
    <row r="790" spans="3:28" ht="13.2">
      <c r="C790" s="10"/>
      <c r="D790" s="10"/>
      <c r="E790" s="10"/>
      <c r="U790" s="198"/>
      <c r="V790" s="198"/>
      <c r="AA790" s="198"/>
      <c r="AB790" s="198"/>
    </row>
    <row r="791" spans="3:28" ht="13.2">
      <c r="C791" s="10"/>
      <c r="D791" s="10"/>
      <c r="E791" s="10"/>
      <c r="U791" s="198"/>
      <c r="V791" s="198"/>
      <c r="AA791" s="198"/>
      <c r="AB791" s="198"/>
    </row>
    <row r="792" spans="3:28" ht="13.2">
      <c r="C792" s="10"/>
      <c r="D792" s="10"/>
      <c r="E792" s="10"/>
      <c r="U792" s="198"/>
      <c r="V792" s="198"/>
      <c r="AA792" s="198"/>
      <c r="AB792" s="198"/>
    </row>
    <row r="793" spans="3:28" ht="13.2">
      <c r="C793" s="10"/>
      <c r="D793" s="10"/>
      <c r="E793" s="10"/>
      <c r="U793" s="198"/>
      <c r="V793" s="198"/>
      <c r="AA793" s="198"/>
      <c r="AB793" s="198"/>
    </row>
    <row r="794" spans="3:28" ht="13.2">
      <c r="C794" s="10"/>
      <c r="D794" s="10"/>
      <c r="E794" s="10"/>
      <c r="U794" s="198"/>
      <c r="V794" s="198"/>
      <c r="AA794" s="198"/>
      <c r="AB794" s="198"/>
    </row>
    <row r="795" spans="3:28" ht="13.2">
      <c r="C795" s="10"/>
      <c r="D795" s="10"/>
      <c r="E795" s="10"/>
      <c r="U795" s="198"/>
      <c r="V795" s="198"/>
      <c r="AA795" s="198"/>
      <c r="AB795" s="198"/>
    </row>
    <row r="796" spans="3:28" ht="13.2">
      <c r="C796" s="10"/>
      <c r="D796" s="10"/>
      <c r="E796" s="10"/>
      <c r="U796" s="198"/>
      <c r="V796" s="198"/>
      <c r="AA796" s="198"/>
      <c r="AB796" s="198"/>
    </row>
    <row r="797" spans="3:28" ht="13.2">
      <c r="C797" s="10"/>
      <c r="D797" s="10"/>
      <c r="E797" s="10"/>
      <c r="U797" s="198"/>
      <c r="V797" s="198"/>
      <c r="AA797" s="198"/>
      <c r="AB797" s="198"/>
    </row>
    <row r="798" spans="3:28" ht="13.2">
      <c r="C798" s="10"/>
      <c r="D798" s="10"/>
      <c r="E798" s="10"/>
      <c r="U798" s="198"/>
      <c r="V798" s="198"/>
      <c r="AA798" s="198"/>
      <c r="AB798" s="198"/>
    </row>
    <row r="799" spans="3:28" ht="13.2">
      <c r="C799" s="10"/>
      <c r="D799" s="10"/>
      <c r="E799" s="10"/>
      <c r="U799" s="198"/>
      <c r="V799" s="198"/>
      <c r="AA799" s="198"/>
      <c r="AB799" s="198"/>
    </row>
    <row r="800" spans="3:28" ht="13.2">
      <c r="C800" s="10"/>
      <c r="D800" s="10"/>
      <c r="E800" s="10"/>
      <c r="U800" s="198"/>
      <c r="V800" s="198"/>
      <c r="AA800" s="198"/>
      <c r="AB800" s="198"/>
    </row>
    <row r="801" spans="3:28" ht="13.2">
      <c r="C801" s="10"/>
      <c r="D801" s="10"/>
      <c r="E801" s="10"/>
      <c r="U801" s="198"/>
      <c r="V801" s="198"/>
      <c r="AA801" s="198"/>
      <c r="AB801" s="198"/>
    </row>
    <row r="802" spans="3:28" ht="13.2">
      <c r="C802" s="10"/>
      <c r="D802" s="10"/>
      <c r="E802" s="10"/>
      <c r="U802" s="198"/>
      <c r="V802" s="198"/>
      <c r="AA802" s="198"/>
      <c r="AB802" s="198"/>
    </row>
    <row r="803" spans="3:28" ht="13.2">
      <c r="C803" s="10"/>
      <c r="D803" s="10"/>
      <c r="E803" s="10"/>
      <c r="U803" s="198"/>
      <c r="V803" s="198"/>
      <c r="AA803" s="198"/>
      <c r="AB803" s="198"/>
    </row>
    <row r="804" spans="3:28" ht="13.2">
      <c r="C804" s="10"/>
      <c r="D804" s="10"/>
      <c r="E804" s="10"/>
      <c r="U804" s="198"/>
      <c r="V804" s="198"/>
      <c r="AA804" s="198"/>
      <c r="AB804" s="198"/>
    </row>
    <row r="805" spans="3:28" ht="13.2">
      <c r="C805" s="10"/>
      <c r="D805" s="10"/>
      <c r="E805" s="10"/>
      <c r="U805" s="198"/>
      <c r="V805" s="198"/>
      <c r="AA805" s="198"/>
      <c r="AB805" s="198"/>
    </row>
    <row r="806" spans="3:28" ht="13.2">
      <c r="C806" s="10"/>
      <c r="D806" s="10"/>
      <c r="E806" s="10"/>
      <c r="U806" s="198"/>
      <c r="V806" s="198"/>
      <c r="AA806" s="198"/>
      <c r="AB806" s="198"/>
    </row>
    <row r="807" spans="3:28" ht="13.2">
      <c r="C807" s="10"/>
      <c r="D807" s="10"/>
      <c r="E807" s="10"/>
      <c r="U807" s="198"/>
      <c r="V807" s="198"/>
      <c r="AA807" s="198"/>
      <c r="AB807" s="198"/>
    </row>
    <row r="808" spans="3:28" ht="13.2">
      <c r="C808" s="10"/>
      <c r="D808" s="10"/>
      <c r="E808" s="10"/>
      <c r="U808" s="198"/>
      <c r="V808" s="198"/>
      <c r="AA808" s="198"/>
      <c r="AB808" s="198"/>
    </row>
    <row r="809" spans="3:28" ht="13.2">
      <c r="C809" s="10"/>
      <c r="D809" s="10"/>
      <c r="E809" s="10"/>
      <c r="U809" s="198"/>
      <c r="V809" s="198"/>
      <c r="AA809" s="198"/>
      <c r="AB809" s="198"/>
    </row>
    <row r="810" spans="3:28" ht="13.2">
      <c r="C810" s="10"/>
      <c r="D810" s="10"/>
      <c r="E810" s="10"/>
      <c r="U810" s="198"/>
      <c r="V810" s="198"/>
      <c r="AA810" s="198"/>
      <c r="AB810" s="198"/>
    </row>
    <row r="811" spans="3:28" ht="13.2">
      <c r="C811" s="10"/>
      <c r="D811" s="10"/>
      <c r="E811" s="10"/>
      <c r="U811" s="198"/>
      <c r="V811" s="198"/>
      <c r="AA811" s="198"/>
      <c r="AB811" s="198"/>
    </row>
    <row r="812" spans="3:28" ht="13.2">
      <c r="C812" s="10"/>
      <c r="D812" s="10"/>
      <c r="E812" s="10"/>
      <c r="U812" s="198"/>
      <c r="V812" s="198"/>
      <c r="AA812" s="198"/>
      <c r="AB812" s="198"/>
    </row>
    <row r="813" spans="3:28" ht="13.2">
      <c r="C813" s="10"/>
      <c r="D813" s="10"/>
      <c r="E813" s="10"/>
      <c r="U813" s="198"/>
      <c r="V813" s="198"/>
      <c r="AA813" s="198"/>
      <c r="AB813" s="198"/>
    </row>
    <row r="814" spans="3:28" ht="13.2">
      <c r="C814" s="10"/>
      <c r="D814" s="10"/>
      <c r="E814" s="10"/>
      <c r="U814" s="198"/>
      <c r="V814" s="198"/>
      <c r="AA814" s="198"/>
      <c r="AB814" s="198"/>
    </row>
    <row r="815" spans="3:28" ht="13.2">
      <c r="C815" s="10"/>
      <c r="D815" s="10"/>
      <c r="E815" s="10"/>
      <c r="U815" s="198"/>
      <c r="V815" s="198"/>
      <c r="AA815" s="198"/>
      <c r="AB815" s="198"/>
    </row>
    <row r="816" spans="3:28" ht="13.2">
      <c r="C816" s="10"/>
      <c r="D816" s="10"/>
      <c r="E816" s="10"/>
      <c r="U816" s="198"/>
      <c r="V816" s="198"/>
      <c r="AA816" s="198"/>
      <c r="AB816" s="198"/>
    </row>
    <row r="817" spans="3:28" ht="13.2">
      <c r="C817" s="10"/>
      <c r="D817" s="10"/>
      <c r="E817" s="10"/>
      <c r="U817" s="198"/>
      <c r="V817" s="198"/>
      <c r="AA817" s="198"/>
      <c r="AB817" s="198"/>
    </row>
    <row r="818" spans="3:28" ht="13.2">
      <c r="C818" s="10"/>
      <c r="D818" s="10"/>
      <c r="E818" s="10"/>
      <c r="U818" s="198"/>
      <c r="V818" s="198"/>
      <c r="AA818" s="198"/>
      <c r="AB818" s="198"/>
    </row>
    <row r="819" spans="3:28" ht="13.2">
      <c r="C819" s="10"/>
      <c r="D819" s="10"/>
      <c r="E819" s="10"/>
      <c r="U819" s="198"/>
      <c r="V819" s="198"/>
      <c r="AA819" s="198"/>
      <c r="AB819" s="198"/>
    </row>
    <row r="820" spans="3:28" ht="13.2">
      <c r="C820" s="10"/>
      <c r="D820" s="10"/>
      <c r="E820" s="10"/>
      <c r="U820" s="198"/>
      <c r="V820" s="198"/>
      <c r="AA820" s="198"/>
      <c r="AB820" s="198"/>
    </row>
    <row r="821" spans="3:28" ht="13.2">
      <c r="C821" s="10"/>
      <c r="D821" s="10"/>
      <c r="E821" s="10"/>
      <c r="U821" s="198"/>
      <c r="V821" s="198"/>
      <c r="AA821" s="198"/>
      <c r="AB821" s="198"/>
    </row>
    <row r="822" spans="3:28" ht="13.2">
      <c r="C822" s="10"/>
      <c r="D822" s="10"/>
      <c r="E822" s="10"/>
      <c r="U822" s="198"/>
      <c r="V822" s="198"/>
      <c r="AA822" s="198"/>
      <c r="AB822" s="198"/>
    </row>
    <row r="823" spans="3:28" ht="13.2">
      <c r="C823" s="10"/>
      <c r="D823" s="10"/>
      <c r="E823" s="10"/>
      <c r="U823" s="198"/>
      <c r="V823" s="198"/>
      <c r="AA823" s="198"/>
      <c r="AB823" s="198"/>
    </row>
    <row r="824" spans="3:28" ht="13.2">
      <c r="C824" s="10"/>
      <c r="D824" s="10"/>
      <c r="E824" s="10"/>
      <c r="U824" s="198"/>
      <c r="V824" s="198"/>
      <c r="AA824" s="198"/>
      <c r="AB824" s="198"/>
    </row>
    <row r="825" spans="3:28" ht="13.2">
      <c r="C825" s="10"/>
      <c r="D825" s="10"/>
      <c r="E825" s="10"/>
      <c r="U825" s="198"/>
      <c r="V825" s="198"/>
      <c r="AA825" s="198"/>
      <c r="AB825" s="198"/>
    </row>
    <row r="826" spans="3:28" ht="13.2">
      <c r="C826" s="10"/>
      <c r="D826" s="10"/>
      <c r="E826" s="10"/>
      <c r="U826" s="198"/>
      <c r="V826" s="198"/>
      <c r="AA826" s="198"/>
      <c r="AB826" s="198"/>
    </row>
    <row r="827" spans="3:28" ht="13.2">
      <c r="C827" s="10"/>
      <c r="D827" s="10"/>
      <c r="E827" s="10"/>
      <c r="U827" s="198"/>
      <c r="V827" s="198"/>
      <c r="AA827" s="198"/>
      <c r="AB827" s="198"/>
    </row>
    <row r="828" spans="3:28" ht="13.2">
      <c r="C828" s="10"/>
      <c r="D828" s="10"/>
      <c r="E828" s="10"/>
      <c r="U828" s="198"/>
      <c r="V828" s="198"/>
      <c r="AA828" s="198"/>
      <c r="AB828" s="198"/>
    </row>
    <row r="829" spans="3:28" ht="13.2">
      <c r="C829" s="10"/>
      <c r="D829" s="10"/>
      <c r="E829" s="10"/>
      <c r="U829" s="198"/>
      <c r="V829" s="198"/>
      <c r="AA829" s="198"/>
      <c r="AB829" s="198"/>
    </row>
    <row r="830" spans="3:28" ht="13.2">
      <c r="C830" s="10"/>
      <c r="D830" s="10"/>
      <c r="E830" s="10"/>
      <c r="U830" s="198"/>
      <c r="V830" s="198"/>
      <c r="AA830" s="198"/>
      <c r="AB830" s="198"/>
    </row>
    <row r="831" spans="3:28" ht="13.2">
      <c r="C831" s="10"/>
      <c r="D831" s="10"/>
      <c r="E831" s="10"/>
      <c r="U831" s="198"/>
      <c r="V831" s="198"/>
      <c r="AA831" s="198"/>
      <c r="AB831" s="198"/>
    </row>
    <row r="832" spans="3:28" ht="13.2">
      <c r="C832" s="10"/>
      <c r="D832" s="10"/>
      <c r="E832" s="10"/>
      <c r="U832" s="198"/>
      <c r="V832" s="198"/>
      <c r="AA832" s="198"/>
      <c r="AB832" s="198"/>
    </row>
    <row r="833" spans="3:28" ht="13.2">
      <c r="C833" s="10"/>
      <c r="D833" s="10"/>
      <c r="E833" s="10"/>
      <c r="U833" s="198"/>
      <c r="V833" s="198"/>
      <c r="AA833" s="198"/>
      <c r="AB833" s="198"/>
    </row>
    <row r="834" spans="3:28" ht="13.2">
      <c r="C834" s="10"/>
      <c r="D834" s="10"/>
      <c r="E834" s="10"/>
      <c r="U834" s="198"/>
      <c r="V834" s="198"/>
      <c r="AA834" s="198"/>
      <c r="AB834" s="198"/>
    </row>
    <row r="835" spans="3:28" ht="13.2">
      <c r="C835" s="10"/>
      <c r="D835" s="10"/>
      <c r="E835" s="10"/>
      <c r="U835" s="198"/>
      <c r="V835" s="198"/>
      <c r="AA835" s="198"/>
      <c r="AB835" s="198"/>
    </row>
    <row r="836" spans="3:28" ht="13.2">
      <c r="C836" s="10"/>
      <c r="D836" s="10"/>
      <c r="E836" s="10"/>
      <c r="U836" s="198"/>
      <c r="V836" s="198"/>
      <c r="AA836" s="198"/>
      <c r="AB836" s="198"/>
    </row>
    <row r="837" spans="3:28" ht="13.2">
      <c r="C837" s="10"/>
      <c r="D837" s="10"/>
      <c r="E837" s="10"/>
      <c r="U837" s="198"/>
      <c r="V837" s="198"/>
      <c r="AA837" s="198"/>
      <c r="AB837" s="198"/>
    </row>
    <row r="838" spans="3:28" ht="13.2">
      <c r="C838" s="10"/>
      <c r="D838" s="10"/>
      <c r="E838" s="10"/>
      <c r="U838" s="198"/>
      <c r="V838" s="198"/>
      <c r="AA838" s="198"/>
      <c r="AB838" s="198"/>
    </row>
    <row r="839" spans="3:28" ht="13.2">
      <c r="C839" s="10"/>
      <c r="D839" s="10"/>
      <c r="E839" s="10"/>
      <c r="U839" s="198"/>
      <c r="V839" s="198"/>
      <c r="AA839" s="198"/>
      <c r="AB839" s="198"/>
    </row>
    <row r="840" spans="3:28" ht="13.2">
      <c r="C840" s="10"/>
      <c r="D840" s="10"/>
      <c r="E840" s="10"/>
      <c r="U840" s="198"/>
      <c r="V840" s="198"/>
      <c r="AA840" s="198"/>
      <c r="AB840" s="198"/>
    </row>
    <row r="841" spans="3:28" ht="13.2">
      <c r="C841" s="10"/>
      <c r="D841" s="10"/>
      <c r="E841" s="10"/>
      <c r="U841" s="198"/>
      <c r="V841" s="198"/>
      <c r="AA841" s="198"/>
      <c r="AB841" s="198"/>
    </row>
    <row r="842" spans="3:28" ht="13.2">
      <c r="C842" s="10"/>
      <c r="D842" s="10"/>
      <c r="E842" s="10"/>
      <c r="U842" s="198"/>
      <c r="V842" s="198"/>
      <c r="AA842" s="198"/>
      <c r="AB842" s="198"/>
    </row>
    <row r="843" spans="3:28" ht="13.2">
      <c r="C843" s="10"/>
      <c r="D843" s="10"/>
      <c r="E843" s="10"/>
      <c r="U843" s="198"/>
      <c r="V843" s="198"/>
      <c r="AA843" s="198"/>
      <c r="AB843" s="198"/>
    </row>
    <row r="844" spans="3:28" ht="13.2">
      <c r="C844" s="10"/>
      <c r="D844" s="10"/>
      <c r="E844" s="10"/>
      <c r="U844" s="198"/>
      <c r="V844" s="198"/>
      <c r="AA844" s="198"/>
      <c r="AB844" s="198"/>
    </row>
    <row r="845" spans="3:28" ht="13.2">
      <c r="C845" s="10"/>
      <c r="D845" s="10"/>
      <c r="E845" s="10"/>
      <c r="U845" s="198"/>
      <c r="V845" s="198"/>
      <c r="AA845" s="198"/>
      <c r="AB845" s="198"/>
    </row>
    <row r="846" spans="3:28" ht="13.2">
      <c r="C846" s="10"/>
      <c r="D846" s="10"/>
      <c r="E846" s="10"/>
      <c r="U846" s="198"/>
      <c r="V846" s="198"/>
      <c r="AA846" s="198"/>
      <c r="AB846" s="198"/>
    </row>
    <row r="847" spans="3:28" ht="13.2">
      <c r="C847" s="10"/>
      <c r="D847" s="10"/>
      <c r="E847" s="10"/>
      <c r="U847" s="198"/>
      <c r="V847" s="198"/>
      <c r="AA847" s="198"/>
      <c r="AB847" s="198"/>
    </row>
    <row r="848" spans="3:28" ht="13.2">
      <c r="C848" s="10"/>
      <c r="D848" s="10"/>
      <c r="E848" s="10"/>
      <c r="U848" s="198"/>
      <c r="V848" s="198"/>
      <c r="AA848" s="198"/>
      <c r="AB848" s="198"/>
    </row>
    <row r="849" spans="3:28" ht="13.2">
      <c r="C849" s="10"/>
      <c r="D849" s="10"/>
      <c r="E849" s="10"/>
      <c r="U849" s="198"/>
      <c r="V849" s="198"/>
      <c r="AA849" s="198"/>
      <c r="AB849" s="198"/>
    </row>
    <row r="850" spans="3:28" ht="13.2">
      <c r="C850" s="10"/>
      <c r="D850" s="10"/>
      <c r="E850" s="10"/>
      <c r="U850" s="198"/>
      <c r="V850" s="198"/>
      <c r="AA850" s="198"/>
      <c r="AB850" s="198"/>
    </row>
    <row r="851" spans="3:28" ht="13.2">
      <c r="C851" s="10"/>
      <c r="D851" s="10"/>
      <c r="E851" s="10"/>
      <c r="U851" s="198"/>
      <c r="V851" s="198"/>
      <c r="AA851" s="198"/>
      <c r="AB851" s="198"/>
    </row>
    <row r="852" spans="3:28" ht="13.2">
      <c r="C852" s="10"/>
      <c r="D852" s="10"/>
      <c r="E852" s="10"/>
      <c r="U852" s="198"/>
      <c r="V852" s="198"/>
      <c r="AA852" s="198"/>
      <c r="AB852" s="198"/>
    </row>
    <row r="853" spans="3:28" ht="13.2">
      <c r="C853" s="10"/>
      <c r="D853" s="10"/>
      <c r="E853" s="10"/>
      <c r="U853" s="198"/>
      <c r="V853" s="198"/>
      <c r="AA853" s="198"/>
      <c r="AB853" s="198"/>
    </row>
    <row r="854" spans="3:28" ht="13.2">
      <c r="C854" s="10"/>
      <c r="D854" s="10"/>
      <c r="E854" s="10"/>
      <c r="U854" s="198"/>
      <c r="V854" s="198"/>
      <c r="AA854" s="198"/>
      <c r="AB854" s="198"/>
    </row>
    <row r="855" spans="3:28" ht="13.2">
      <c r="C855" s="10"/>
      <c r="D855" s="10"/>
      <c r="E855" s="10"/>
      <c r="U855" s="198"/>
      <c r="V855" s="198"/>
      <c r="AA855" s="198"/>
      <c r="AB855" s="198"/>
    </row>
    <row r="856" spans="3:28" ht="13.2">
      <c r="C856" s="10"/>
      <c r="D856" s="10"/>
      <c r="E856" s="10"/>
      <c r="U856" s="198"/>
      <c r="V856" s="198"/>
      <c r="AA856" s="198"/>
      <c r="AB856" s="198"/>
    </row>
    <row r="857" spans="3:28" ht="13.2">
      <c r="C857" s="10"/>
      <c r="D857" s="10"/>
      <c r="E857" s="10"/>
      <c r="U857" s="198"/>
      <c r="V857" s="198"/>
      <c r="AA857" s="198"/>
      <c r="AB857" s="198"/>
    </row>
    <row r="858" spans="3:28" ht="13.2">
      <c r="C858" s="10"/>
      <c r="D858" s="10"/>
      <c r="E858" s="10"/>
      <c r="U858" s="198"/>
      <c r="V858" s="198"/>
      <c r="AA858" s="198"/>
      <c r="AB858" s="198"/>
    </row>
    <row r="859" spans="3:28" ht="13.2">
      <c r="C859" s="10"/>
      <c r="D859" s="10"/>
      <c r="E859" s="10"/>
      <c r="U859" s="198"/>
      <c r="V859" s="198"/>
      <c r="AA859" s="198"/>
      <c r="AB859" s="198"/>
    </row>
    <row r="860" spans="3:28" ht="13.2">
      <c r="C860" s="10"/>
      <c r="D860" s="10"/>
      <c r="E860" s="10"/>
      <c r="U860" s="198"/>
      <c r="V860" s="198"/>
      <c r="AA860" s="198"/>
      <c r="AB860" s="198"/>
    </row>
    <row r="861" spans="3:28" ht="13.2">
      <c r="C861" s="10"/>
      <c r="D861" s="10"/>
      <c r="E861" s="10"/>
      <c r="U861" s="198"/>
      <c r="V861" s="198"/>
      <c r="AA861" s="198"/>
      <c r="AB861" s="198"/>
    </row>
    <row r="862" spans="3:28" ht="13.2">
      <c r="C862" s="10"/>
      <c r="D862" s="10"/>
      <c r="E862" s="10"/>
      <c r="U862" s="198"/>
      <c r="V862" s="198"/>
      <c r="AA862" s="198"/>
      <c r="AB862" s="198"/>
    </row>
    <row r="863" spans="3:28" ht="13.2">
      <c r="C863" s="10"/>
      <c r="D863" s="10"/>
      <c r="E863" s="10"/>
      <c r="U863" s="198"/>
      <c r="V863" s="198"/>
      <c r="AA863" s="198"/>
      <c r="AB863" s="198"/>
    </row>
    <row r="864" spans="3:28" ht="13.2">
      <c r="C864" s="10"/>
      <c r="D864" s="10"/>
      <c r="E864" s="10"/>
      <c r="U864" s="198"/>
      <c r="V864" s="198"/>
      <c r="AA864" s="198"/>
      <c r="AB864" s="198"/>
    </row>
    <row r="865" spans="3:28" ht="13.2">
      <c r="C865" s="10"/>
      <c r="D865" s="10"/>
      <c r="E865" s="10"/>
      <c r="U865" s="198"/>
      <c r="V865" s="198"/>
      <c r="AA865" s="198"/>
      <c r="AB865" s="198"/>
    </row>
    <row r="866" spans="3:28" ht="13.2">
      <c r="C866" s="10"/>
      <c r="D866" s="10"/>
      <c r="E866" s="10"/>
      <c r="U866" s="198"/>
      <c r="V866" s="198"/>
      <c r="AA866" s="198"/>
      <c r="AB866" s="198"/>
    </row>
    <row r="867" spans="3:28" ht="13.2">
      <c r="C867" s="10"/>
      <c r="D867" s="10"/>
      <c r="E867" s="10"/>
      <c r="U867" s="198"/>
      <c r="V867" s="198"/>
      <c r="AA867" s="198"/>
      <c r="AB867" s="198"/>
    </row>
    <row r="868" spans="3:28" ht="13.2">
      <c r="C868" s="10"/>
      <c r="D868" s="10"/>
      <c r="E868" s="10"/>
      <c r="U868" s="198"/>
      <c r="V868" s="198"/>
      <c r="AA868" s="198"/>
      <c r="AB868" s="198"/>
    </row>
    <row r="869" spans="3:28" ht="13.2">
      <c r="C869" s="10"/>
      <c r="D869" s="10"/>
      <c r="E869" s="10"/>
      <c r="U869" s="198"/>
      <c r="V869" s="198"/>
      <c r="AA869" s="198"/>
      <c r="AB869" s="198"/>
    </row>
    <row r="870" spans="3:28" ht="13.2">
      <c r="C870" s="10"/>
      <c r="D870" s="10"/>
      <c r="E870" s="10"/>
      <c r="U870" s="198"/>
      <c r="V870" s="198"/>
      <c r="AA870" s="198"/>
      <c r="AB870" s="198"/>
    </row>
    <row r="871" spans="3:28" ht="13.2">
      <c r="C871" s="10"/>
      <c r="D871" s="10"/>
      <c r="E871" s="10"/>
      <c r="U871" s="198"/>
      <c r="V871" s="198"/>
      <c r="AA871" s="198"/>
      <c r="AB871" s="198"/>
    </row>
    <row r="872" spans="3:28" ht="13.2">
      <c r="C872" s="10"/>
      <c r="D872" s="10"/>
      <c r="E872" s="10"/>
      <c r="U872" s="198"/>
      <c r="V872" s="198"/>
      <c r="AA872" s="198"/>
      <c r="AB872" s="198"/>
    </row>
    <row r="873" spans="3:28" ht="13.2">
      <c r="C873" s="10"/>
      <c r="D873" s="10"/>
      <c r="E873" s="10"/>
      <c r="U873" s="198"/>
      <c r="V873" s="198"/>
      <c r="AA873" s="198"/>
      <c r="AB873" s="198"/>
    </row>
    <row r="874" spans="3:28" ht="13.2">
      <c r="C874" s="10"/>
      <c r="D874" s="10"/>
      <c r="E874" s="10"/>
      <c r="U874" s="198"/>
      <c r="V874" s="198"/>
      <c r="AA874" s="198"/>
      <c r="AB874" s="198"/>
    </row>
    <row r="875" spans="3:28" ht="13.2">
      <c r="C875" s="10"/>
      <c r="D875" s="10"/>
      <c r="E875" s="10"/>
      <c r="U875" s="198"/>
      <c r="V875" s="198"/>
      <c r="AA875" s="198"/>
      <c r="AB875" s="198"/>
    </row>
    <row r="876" spans="3:28" ht="13.2">
      <c r="C876" s="10"/>
      <c r="D876" s="10"/>
      <c r="E876" s="10"/>
      <c r="U876" s="198"/>
      <c r="V876" s="198"/>
      <c r="AA876" s="198"/>
      <c r="AB876" s="198"/>
    </row>
    <row r="877" spans="3:28" ht="13.2">
      <c r="C877" s="10"/>
      <c r="D877" s="10"/>
      <c r="E877" s="10"/>
      <c r="U877" s="198"/>
      <c r="V877" s="198"/>
      <c r="AA877" s="198"/>
      <c r="AB877" s="198"/>
    </row>
    <row r="878" spans="3:28" ht="13.2">
      <c r="C878" s="10"/>
      <c r="D878" s="10"/>
      <c r="E878" s="10"/>
      <c r="U878" s="198"/>
      <c r="V878" s="198"/>
      <c r="AA878" s="198"/>
      <c r="AB878" s="198"/>
    </row>
    <row r="879" spans="3:28" ht="13.2">
      <c r="C879" s="10"/>
      <c r="D879" s="10"/>
      <c r="E879" s="10"/>
      <c r="U879" s="198"/>
      <c r="V879" s="198"/>
      <c r="AA879" s="198"/>
      <c r="AB879" s="198"/>
    </row>
    <row r="880" spans="3:28" ht="13.2">
      <c r="C880" s="10"/>
      <c r="D880" s="10"/>
      <c r="E880" s="10"/>
      <c r="U880" s="198"/>
      <c r="V880" s="198"/>
      <c r="AA880" s="198"/>
      <c r="AB880" s="198"/>
    </row>
    <row r="881" spans="3:28" ht="13.2">
      <c r="C881" s="10"/>
      <c r="D881" s="10"/>
      <c r="E881" s="10"/>
      <c r="U881" s="198"/>
      <c r="V881" s="198"/>
      <c r="AA881" s="198"/>
      <c r="AB881" s="198"/>
    </row>
    <row r="882" spans="3:28" ht="13.2">
      <c r="C882" s="10"/>
      <c r="D882" s="10"/>
      <c r="E882" s="10"/>
      <c r="U882" s="198"/>
      <c r="V882" s="198"/>
      <c r="AA882" s="198"/>
      <c r="AB882" s="198"/>
    </row>
    <row r="883" spans="3:28" ht="13.2">
      <c r="C883" s="10"/>
      <c r="D883" s="10"/>
      <c r="E883" s="10"/>
      <c r="U883" s="198"/>
      <c r="V883" s="198"/>
      <c r="AA883" s="198"/>
      <c r="AB883" s="198"/>
    </row>
    <row r="884" spans="3:28" ht="13.2">
      <c r="C884" s="10"/>
      <c r="D884" s="10"/>
      <c r="E884" s="10"/>
      <c r="U884" s="198"/>
      <c r="V884" s="198"/>
      <c r="AA884" s="198"/>
      <c r="AB884" s="198"/>
    </row>
    <row r="885" spans="3:28" ht="13.2">
      <c r="C885" s="10"/>
      <c r="D885" s="10"/>
      <c r="E885" s="10"/>
      <c r="U885" s="198"/>
      <c r="V885" s="198"/>
      <c r="AA885" s="198"/>
      <c r="AB885" s="198"/>
    </row>
    <row r="886" spans="3:28" ht="13.2">
      <c r="C886" s="10"/>
      <c r="D886" s="10"/>
      <c r="E886" s="10"/>
      <c r="U886" s="198"/>
      <c r="V886" s="198"/>
      <c r="AA886" s="198"/>
      <c r="AB886" s="198"/>
    </row>
    <row r="887" spans="3:28" ht="13.2">
      <c r="C887" s="10"/>
      <c r="D887" s="10"/>
      <c r="E887" s="10"/>
      <c r="U887" s="198"/>
      <c r="V887" s="198"/>
      <c r="AA887" s="198"/>
      <c r="AB887" s="198"/>
    </row>
    <row r="888" spans="3:28" ht="13.2">
      <c r="C888" s="10"/>
      <c r="D888" s="10"/>
      <c r="E888" s="10"/>
      <c r="U888" s="198"/>
      <c r="V888" s="198"/>
      <c r="AA888" s="198"/>
      <c r="AB888" s="198"/>
    </row>
    <row r="889" spans="3:28" ht="13.2">
      <c r="C889" s="10"/>
      <c r="D889" s="10"/>
      <c r="E889" s="10"/>
      <c r="U889" s="198"/>
      <c r="V889" s="198"/>
      <c r="AA889" s="198"/>
      <c r="AB889" s="198"/>
    </row>
    <row r="890" spans="3:28" ht="13.2">
      <c r="C890" s="10"/>
      <c r="D890" s="10"/>
      <c r="E890" s="10"/>
      <c r="U890" s="198"/>
      <c r="V890" s="198"/>
      <c r="AA890" s="198"/>
      <c r="AB890" s="198"/>
    </row>
    <row r="891" spans="3:28" ht="13.2">
      <c r="C891" s="10"/>
      <c r="D891" s="10"/>
      <c r="E891" s="10"/>
      <c r="U891" s="198"/>
      <c r="V891" s="198"/>
      <c r="AA891" s="198"/>
      <c r="AB891" s="198"/>
    </row>
    <row r="892" spans="3:28" ht="13.2">
      <c r="C892" s="10"/>
      <c r="D892" s="10"/>
      <c r="E892" s="10"/>
      <c r="U892" s="198"/>
      <c r="V892" s="198"/>
      <c r="AA892" s="198"/>
      <c r="AB892" s="198"/>
    </row>
    <row r="893" spans="3:28" ht="13.2">
      <c r="C893" s="10"/>
      <c r="D893" s="10"/>
      <c r="E893" s="10"/>
      <c r="U893" s="198"/>
      <c r="V893" s="198"/>
      <c r="AA893" s="198"/>
      <c r="AB893" s="198"/>
    </row>
    <row r="894" spans="3:28" ht="13.2">
      <c r="C894" s="10"/>
      <c r="D894" s="10"/>
      <c r="E894" s="10"/>
      <c r="U894" s="198"/>
      <c r="V894" s="198"/>
      <c r="AA894" s="198"/>
      <c r="AB894" s="198"/>
    </row>
    <row r="895" spans="3:28" ht="13.2">
      <c r="C895" s="10"/>
      <c r="D895" s="10"/>
      <c r="E895" s="10"/>
      <c r="U895" s="198"/>
      <c r="V895" s="198"/>
      <c r="AA895" s="198"/>
      <c r="AB895" s="198"/>
    </row>
    <row r="896" spans="3:28" ht="13.2">
      <c r="C896" s="10"/>
      <c r="D896" s="10"/>
      <c r="E896" s="10"/>
      <c r="U896" s="198"/>
      <c r="V896" s="198"/>
      <c r="AA896" s="198"/>
      <c r="AB896" s="198"/>
    </row>
    <row r="897" spans="3:28" ht="13.2">
      <c r="C897" s="10"/>
      <c r="D897" s="10"/>
      <c r="E897" s="10"/>
      <c r="U897" s="198"/>
      <c r="V897" s="198"/>
      <c r="AA897" s="198"/>
      <c r="AB897" s="198"/>
    </row>
    <row r="898" spans="3:28" ht="13.2">
      <c r="C898" s="10"/>
      <c r="D898" s="10"/>
      <c r="E898" s="10"/>
      <c r="U898" s="198"/>
      <c r="V898" s="198"/>
      <c r="AA898" s="198"/>
      <c r="AB898" s="198"/>
    </row>
    <row r="899" spans="3:28" ht="13.2">
      <c r="C899" s="10"/>
      <c r="D899" s="10"/>
      <c r="E899" s="10"/>
      <c r="U899" s="198"/>
      <c r="V899" s="198"/>
      <c r="AA899" s="198"/>
      <c r="AB899" s="198"/>
    </row>
    <row r="900" spans="3:28" ht="13.2">
      <c r="C900" s="10"/>
      <c r="D900" s="10"/>
      <c r="E900" s="10"/>
      <c r="U900" s="198"/>
      <c r="V900" s="198"/>
      <c r="AA900" s="198"/>
      <c r="AB900" s="198"/>
    </row>
    <row r="901" spans="3:28" ht="13.2">
      <c r="C901" s="10"/>
      <c r="D901" s="10"/>
      <c r="E901" s="10"/>
      <c r="U901" s="198"/>
      <c r="V901" s="198"/>
      <c r="AA901" s="198"/>
      <c r="AB901" s="198"/>
    </row>
    <row r="902" spans="3:28" ht="13.2">
      <c r="C902" s="10"/>
      <c r="D902" s="10"/>
      <c r="E902" s="10"/>
      <c r="U902" s="198"/>
      <c r="V902" s="198"/>
      <c r="AA902" s="198"/>
      <c r="AB902" s="198"/>
    </row>
    <row r="903" spans="3:28" ht="13.2">
      <c r="C903" s="10"/>
      <c r="D903" s="10"/>
      <c r="E903" s="10"/>
      <c r="U903" s="198"/>
      <c r="V903" s="198"/>
      <c r="AA903" s="198"/>
      <c r="AB903" s="198"/>
    </row>
    <row r="904" spans="3:28" ht="13.2">
      <c r="C904" s="10"/>
      <c r="D904" s="10"/>
      <c r="E904" s="10"/>
      <c r="U904" s="198"/>
      <c r="V904" s="198"/>
      <c r="AA904" s="198"/>
      <c r="AB904" s="198"/>
    </row>
    <row r="905" spans="3:28" ht="13.2">
      <c r="C905" s="10"/>
      <c r="D905" s="10"/>
      <c r="E905" s="10"/>
      <c r="U905" s="198"/>
      <c r="V905" s="198"/>
      <c r="AA905" s="198"/>
      <c r="AB905" s="198"/>
    </row>
    <row r="906" spans="3:28" ht="13.2">
      <c r="C906" s="10"/>
      <c r="D906" s="10"/>
      <c r="E906" s="10"/>
      <c r="U906" s="198"/>
      <c r="V906" s="198"/>
      <c r="AA906" s="198"/>
      <c r="AB906" s="198"/>
    </row>
    <row r="907" spans="3:28" ht="13.2">
      <c r="C907" s="10"/>
      <c r="D907" s="10"/>
      <c r="E907" s="10"/>
      <c r="U907" s="198"/>
      <c r="V907" s="198"/>
      <c r="AA907" s="198"/>
      <c r="AB907" s="198"/>
    </row>
    <row r="908" spans="3:28" ht="13.2">
      <c r="C908" s="10"/>
      <c r="D908" s="10"/>
      <c r="E908" s="10"/>
      <c r="U908" s="198"/>
      <c r="V908" s="198"/>
      <c r="AA908" s="198"/>
      <c r="AB908" s="198"/>
    </row>
    <row r="909" spans="3:28" ht="13.2">
      <c r="C909" s="10"/>
      <c r="D909" s="10"/>
      <c r="E909" s="10"/>
      <c r="U909" s="198"/>
      <c r="V909" s="198"/>
      <c r="AA909" s="198"/>
      <c r="AB909" s="198"/>
    </row>
    <row r="910" spans="3:28" ht="13.2">
      <c r="C910" s="10"/>
      <c r="D910" s="10"/>
      <c r="E910" s="10"/>
      <c r="U910" s="198"/>
      <c r="V910" s="198"/>
      <c r="AA910" s="198"/>
      <c r="AB910" s="198"/>
    </row>
    <row r="911" spans="3:28" ht="13.2">
      <c r="C911" s="10"/>
      <c r="D911" s="10"/>
      <c r="E911" s="10"/>
      <c r="U911" s="198"/>
      <c r="V911" s="198"/>
      <c r="AA911" s="198"/>
      <c r="AB911" s="198"/>
    </row>
    <row r="912" spans="3:28" ht="13.2">
      <c r="C912" s="10"/>
      <c r="D912" s="10"/>
      <c r="E912" s="10"/>
      <c r="U912" s="198"/>
      <c r="V912" s="198"/>
      <c r="AA912" s="198"/>
      <c r="AB912" s="198"/>
    </row>
    <row r="913" spans="3:28" ht="13.2">
      <c r="C913" s="10"/>
      <c r="D913" s="10"/>
      <c r="E913" s="10"/>
      <c r="U913" s="198"/>
      <c r="V913" s="198"/>
      <c r="AA913" s="198"/>
      <c r="AB913" s="198"/>
    </row>
    <row r="914" spans="3:28" ht="13.2">
      <c r="C914" s="10"/>
      <c r="D914" s="10"/>
      <c r="E914" s="10"/>
      <c r="U914" s="198"/>
      <c r="V914" s="198"/>
      <c r="AA914" s="198"/>
      <c r="AB914" s="198"/>
    </row>
    <row r="915" spans="3:28" ht="13.2">
      <c r="C915" s="10"/>
      <c r="D915" s="10"/>
      <c r="E915" s="10"/>
      <c r="U915" s="198"/>
      <c r="V915" s="198"/>
      <c r="AA915" s="198"/>
      <c r="AB915" s="198"/>
    </row>
    <row r="916" spans="3:28" ht="13.2">
      <c r="C916" s="10"/>
      <c r="D916" s="10"/>
      <c r="E916" s="10"/>
      <c r="U916" s="198"/>
      <c r="V916" s="198"/>
      <c r="AA916" s="198"/>
      <c r="AB916" s="198"/>
    </row>
    <row r="917" spans="3:28" ht="13.2">
      <c r="C917" s="10"/>
      <c r="D917" s="10"/>
      <c r="E917" s="10"/>
      <c r="U917" s="198"/>
      <c r="V917" s="198"/>
      <c r="AA917" s="198"/>
      <c r="AB917" s="198"/>
    </row>
    <row r="918" spans="3:28" ht="13.2">
      <c r="C918" s="10"/>
      <c r="D918" s="10"/>
      <c r="E918" s="10"/>
      <c r="U918" s="198"/>
      <c r="V918" s="198"/>
      <c r="AA918" s="198"/>
      <c r="AB918" s="198"/>
    </row>
    <row r="919" spans="3:28" ht="13.2">
      <c r="C919" s="10"/>
      <c r="D919" s="10"/>
      <c r="E919" s="10"/>
      <c r="U919" s="198"/>
      <c r="V919" s="198"/>
      <c r="AA919" s="198"/>
      <c r="AB919" s="198"/>
    </row>
    <row r="920" spans="3:28" ht="13.2">
      <c r="C920" s="10"/>
      <c r="D920" s="10"/>
      <c r="E920" s="10"/>
      <c r="U920" s="198"/>
      <c r="V920" s="198"/>
      <c r="AA920" s="198"/>
      <c r="AB920" s="198"/>
    </row>
    <row r="921" spans="3:28" ht="13.2">
      <c r="C921" s="10"/>
      <c r="D921" s="10"/>
      <c r="E921" s="10"/>
      <c r="U921" s="198"/>
      <c r="V921" s="198"/>
      <c r="AA921" s="198"/>
      <c r="AB921" s="198"/>
    </row>
    <row r="922" spans="3:28" ht="13.2">
      <c r="C922" s="10"/>
      <c r="D922" s="10"/>
      <c r="E922" s="10"/>
      <c r="U922" s="198"/>
      <c r="V922" s="198"/>
      <c r="AA922" s="198"/>
      <c r="AB922" s="198"/>
    </row>
    <row r="923" spans="3:28" ht="13.2">
      <c r="C923" s="10"/>
      <c r="D923" s="10"/>
      <c r="E923" s="10"/>
      <c r="U923" s="198"/>
      <c r="V923" s="198"/>
      <c r="AA923" s="198"/>
      <c r="AB923" s="198"/>
    </row>
    <row r="924" spans="3:28" ht="13.2">
      <c r="C924" s="10"/>
      <c r="D924" s="10"/>
      <c r="E924" s="10"/>
      <c r="U924" s="198"/>
      <c r="V924" s="198"/>
      <c r="AA924" s="198"/>
      <c r="AB924" s="198"/>
    </row>
    <row r="925" spans="3:28" ht="13.2">
      <c r="C925" s="10"/>
      <c r="D925" s="10"/>
      <c r="E925" s="10"/>
      <c r="U925" s="198"/>
      <c r="V925" s="198"/>
      <c r="AA925" s="198"/>
      <c r="AB925" s="198"/>
    </row>
    <row r="926" spans="3:28" ht="13.2">
      <c r="C926" s="10"/>
      <c r="D926" s="10"/>
      <c r="E926" s="10"/>
      <c r="U926" s="198"/>
      <c r="V926" s="198"/>
      <c r="AA926" s="198"/>
      <c r="AB926" s="198"/>
    </row>
    <row r="927" spans="3:28" ht="13.2">
      <c r="C927" s="10"/>
      <c r="D927" s="10"/>
      <c r="E927" s="10"/>
      <c r="U927" s="198"/>
      <c r="V927" s="198"/>
      <c r="AA927" s="198"/>
      <c r="AB927" s="198"/>
    </row>
    <row r="928" spans="3:28" ht="13.2">
      <c r="C928" s="10"/>
      <c r="D928" s="10"/>
      <c r="E928" s="10"/>
      <c r="U928" s="198"/>
      <c r="V928" s="198"/>
      <c r="AA928" s="198"/>
      <c r="AB928" s="198"/>
    </row>
    <row r="929" spans="3:28" ht="13.2">
      <c r="C929" s="10"/>
      <c r="D929" s="10"/>
      <c r="E929" s="10"/>
      <c r="U929" s="198"/>
      <c r="V929" s="198"/>
      <c r="AA929" s="198"/>
      <c r="AB929" s="198"/>
    </row>
    <row r="930" spans="3:28" ht="13.2">
      <c r="C930" s="10"/>
      <c r="D930" s="10"/>
      <c r="E930" s="10"/>
      <c r="U930" s="198"/>
      <c r="V930" s="198"/>
      <c r="AA930" s="198"/>
      <c r="AB930" s="198"/>
    </row>
    <row r="931" spans="3:28" ht="13.2">
      <c r="C931" s="10"/>
      <c r="D931" s="10"/>
      <c r="E931" s="10"/>
      <c r="U931" s="198"/>
      <c r="V931" s="198"/>
      <c r="AA931" s="198"/>
      <c r="AB931" s="198"/>
    </row>
    <row r="932" spans="3:28" ht="13.2">
      <c r="C932" s="10"/>
      <c r="D932" s="10"/>
      <c r="E932" s="10"/>
      <c r="U932" s="198"/>
      <c r="V932" s="198"/>
      <c r="AA932" s="198"/>
      <c r="AB932" s="198"/>
    </row>
    <row r="933" spans="3:28" ht="13.2">
      <c r="C933" s="10"/>
      <c r="D933" s="10"/>
      <c r="E933" s="10"/>
      <c r="U933" s="198"/>
      <c r="V933" s="198"/>
      <c r="AA933" s="198"/>
      <c r="AB933" s="198"/>
    </row>
    <row r="934" spans="3:28" ht="13.2">
      <c r="C934" s="10"/>
      <c r="D934" s="10"/>
      <c r="E934" s="10"/>
      <c r="U934" s="198"/>
      <c r="V934" s="198"/>
      <c r="AA934" s="198"/>
      <c r="AB934" s="198"/>
    </row>
    <row r="935" spans="3:28" ht="13.2">
      <c r="C935" s="10"/>
      <c r="D935" s="10"/>
      <c r="E935" s="10"/>
      <c r="U935" s="198"/>
      <c r="V935" s="198"/>
      <c r="AA935" s="198"/>
      <c r="AB935" s="198"/>
    </row>
    <row r="936" spans="3:28" ht="13.2">
      <c r="C936" s="10"/>
      <c r="D936" s="10"/>
      <c r="E936" s="10"/>
      <c r="U936" s="198"/>
      <c r="V936" s="198"/>
      <c r="AA936" s="198"/>
      <c r="AB936" s="198"/>
    </row>
    <row r="937" spans="3:28" ht="13.2">
      <c r="C937" s="10"/>
      <c r="D937" s="10"/>
      <c r="E937" s="10"/>
      <c r="U937" s="198"/>
      <c r="V937" s="198"/>
      <c r="AA937" s="198"/>
      <c r="AB937" s="198"/>
    </row>
    <row r="938" spans="3:28" ht="13.2">
      <c r="C938" s="10"/>
      <c r="D938" s="10"/>
      <c r="E938" s="10"/>
      <c r="U938" s="198"/>
      <c r="V938" s="198"/>
      <c r="AA938" s="198"/>
      <c r="AB938" s="198"/>
    </row>
    <row r="939" spans="3:28" ht="13.2">
      <c r="C939" s="10"/>
      <c r="D939" s="10"/>
      <c r="E939" s="10"/>
      <c r="U939" s="198"/>
      <c r="V939" s="198"/>
      <c r="AA939" s="198"/>
      <c r="AB939" s="198"/>
    </row>
    <row r="940" spans="3:28" ht="13.2">
      <c r="C940" s="10"/>
      <c r="D940" s="10"/>
      <c r="E940" s="10"/>
      <c r="U940" s="198"/>
      <c r="V940" s="198"/>
      <c r="AA940" s="198"/>
      <c r="AB940" s="198"/>
    </row>
    <row r="941" spans="3:28" ht="13.2">
      <c r="C941" s="10"/>
      <c r="D941" s="10"/>
      <c r="E941" s="10"/>
      <c r="U941" s="198"/>
      <c r="V941" s="198"/>
      <c r="AA941" s="198"/>
      <c r="AB941" s="198"/>
    </row>
    <row r="942" spans="3:28" ht="13.2">
      <c r="C942" s="10"/>
      <c r="D942" s="10"/>
      <c r="E942" s="10"/>
      <c r="U942" s="198"/>
      <c r="V942" s="198"/>
      <c r="AA942" s="198"/>
      <c r="AB942" s="198"/>
    </row>
    <row r="943" spans="3:28" ht="13.2">
      <c r="C943" s="10"/>
      <c r="D943" s="10"/>
      <c r="E943" s="10"/>
      <c r="U943" s="198"/>
      <c r="V943" s="198"/>
      <c r="AA943" s="198"/>
      <c r="AB943" s="198"/>
    </row>
    <row r="944" spans="3:28" ht="13.2">
      <c r="C944" s="10"/>
      <c r="D944" s="10"/>
      <c r="E944" s="10"/>
      <c r="U944" s="198"/>
      <c r="V944" s="198"/>
      <c r="AA944" s="198"/>
      <c r="AB944" s="198"/>
    </row>
    <row r="945" spans="3:28" ht="13.2">
      <c r="C945" s="10"/>
      <c r="D945" s="10"/>
      <c r="E945" s="10"/>
      <c r="U945" s="198"/>
      <c r="V945" s="198"/>
      <c r="AA945" s="198"/>
      <c r="AB945" s="198"/>
    </row>
    <row r="946" spans="3:28" ht="13.2">
      <c r="C946" s="10"/>
      <c r="D946" s="10"/>
      <c r="E946" s="10"/>
      <c r="U946" s="198"/>
      <c r="V946" s="198"/>
      <c r="AA946" s="198"/>
      <c r="AB946" s="198"/>
    </row>
    <row r="947" spans="3:28" ht="13.2">
      <c r="C947" s="10"/>
      <c r="D947" s="10"/>
      <c r="E947" s="10"/>
      <c r="U947" s="198"/>
      <c r="V947" s="198"/>
      <c r="AA947" s="198"/>
      <c r="AB947" s="198"/>
    </row>
    <row r="948" spans="3:28" ht="13.2">
      <c r="C948" s="10"/>
      <c r="D948" s="10"/>
      <c r="E948" s="10"/>
      <c r="U948" s="198"/>
      <c r="V948" s="198"/>
      <c r="AA948" s="198"/>
      <c r="AB948" s="198"/>
    </row>
    <row r="949" spans="3:28" ht="13.2">
      <c r="C949" s="10"/>
      <c r="D949" s="10"/>
      <c r="E949" s="10"/>
      <c r="U949" s="198"/>
      <c r="V949" s="198"/>
      <c r="AA949" s="198"/>
      <c r="AB949" s="198"/>
    </row>
    <row r="950" spans="3:28" ht="13.2">
      <c r="C950" s="10"/>
      <c r="D950" s="10"/>
      <c r="E950" s="10"/>
      <c r="U950" s="198"/>
      <c r="V950" s="198"/>
      <c r="AA950" s="198"/>
      <c r="AB950" s="198"/>
    </row>
    <row r="951" spans="3:28" ht="13.2">
      <c r="C951" s="10"/>
      <c r="D951" s="10"/>
      <c r="E951" s="10"/>
      <c r="U951" s="198"/>
      <c r="V951" s="198"/>
      <c r="AA951" s="198"/>
      <c r="AB951" s="198"/>
    </row>
    <row r="952" spans="3:28" ht="13.2">
      <c r="C952" s="10"/>
      <c r="D952" s="10"/>
      <c r="E952" s="10"/>
      <c r="U952" s="198"/>
      <c r="V952" s="198"/>
      <c r="AA952" s="198"/>
      <c r="AB952" s="198"/>
    </row>
    <row r="953" spans="3:28" ht="13.2">
      <c r="C953" s="10"/>
      <c r="D953" s="10"/>
      <c r="E953" s="10"/>
      <c r="U953" s="198"/>
      <c r="V953" s="198"/>
      <c r="AA953" s="198"/>
      <c r="AB953" s="198"/>
    </row>
    <row r="954" spans="3:28" ht="13.2">
      <c r="C954" s="10"/>
      <c r="D954" s="10"/>
      <c r="E954" s="10"/>
      <c r="U954" s="198"/>
      <c r="V954" s="198"/>
      <c r="AA954" s="198"/>
      <c r="AB954" s="198"/>
    </row>
    <row r="955" spans="3:28" ht="13.2">
      <c r="C955" s="10"/>
      <c r="D955" s="10"/>
      <c r="E955" s="10"/>
      <c r="U955" s="198"/>
      <c r="V955" s="198"/>
      <c r="AA955" s="198"/>
      <c r="AB955" s="198"/>
    </row>
    <row r="956" spans="3:28" ht="13.2">
      <c r="C956" s="10"/>
      <c r="D956" s="10"/>
      <c r="E956" s="10"/>
      <c r="U956" s="198"/>
      <c r="V956" s="198"/>
      <c r="AA956" s="198"/>
      <c r="AB956" s="198"/>
    </row>
    <row r="957" spans="3:28" ht="13.2">
      <c r="C957" s="10"/>
      <c r="D957" s="10"/>
      <c r="E957" s="10"/>
      <c r="U957" s="198"/>
      <c r="V957" s="198"/>
      <c r="AA957" s="198"/>
      <c r="AB957" s="198"/>
    </row>
    <row r="958" spans="3:28" ht="13.2">
      <c r="C958" s="10"/>
      <c r="D958" s="10"/>
      <c r="E958" s="10"/>
      <c r="U958" s="198"/>
      <c r="V958" s="198"/>
      <c r="AA958" s="198"/>
      <c r="AB958" s="198"/>
    </row>
    <row r="959" spans="3:28" ht="13.2">
      <c r="C959" s="10"/>
      <c r="D959" s="10"/>
      <c r="E959" s="10"/>
      <c r="U959" s="198"/>
      <c r="V959" s="198"/>
      <c r="AA959" s="198"/>
      <c r="AB959" s="198"/>
    </row>
    <row r="960" spans="3:28" ht="13.2">
      <c r="C960" s="10"/>
      <c r="D960" s="10"/>
      <c r="E960" s="10"/>
      <c r="U960" s="198"/>
      <c r="V960" s="198"/>
      <c r="AA960" s="198"/>
      <c r="AB960" s="198"/>
    </row>
    <row r="961" spans="3:28" ht="13.2">
      <c r="C961" s="10"/>
      <c r="D961" s="10"/>
      <c r="E961" s="10"/>
      <c r="U961" s="198"/>
      <c r="V961" s="198"/>
      <c r="AA961" s="198"/>
      <c r="AB961" s="198"/>
    </row>
    <row r="962" spans="3:28" ht="13.2">
      <c r="C962" s="10"/>
      <c r="D962" s="10"/>
      <c r="E962" s="10"/>
      <c r="U962" s="198"/>
      <c r="V962" s="198"/>
      <c r="AA962" s="198"/>
      <c r="AB962" s="198"/>
    </row>
    <row r="963" spans="3:28" ht="13.2">
      <c r="C963" s="10"/>
      <c r="D963" s="10"/>
      <c r="E963" s="10"/>
      <c r="U963" s="198"/>
      <c r="V963" s="198"/>
      <c r="AA963" s="198"/>
      <c r="AB963" s="198"/>
    </row>
    <row r="964" spans="3:28" ht="13.2">
      <c r="C964" s="10"/>
      <c r="D964" s="10"/>
      <c r="E964" s="10"/>
      <c r="U964" s="198"/>
      <c r="V964" s="198"/>
      <c r="AA964" s="198"/>
      <c r="AB964" s="198"/>
    </row>
    <row r="965" spans="3:28" ht="13.2">
      <c r="C965" s="10"/>
      <c r="D965" s="10"/>
      <c r="E965" s="10"/>
      <c r="U965" s="198"/>
      <c r="V965" s="198"/>
      <c r="AA965" s="198"/>
      <c r="AB965" s="198"/>
    </row>
    <row r="966" spans="3:28" ht="13.2">
      <c r="C966" s="10"/>
      <c r="D966" s="10"/>
      <c r="E966" s="10"/>
      <c r="U966" s="198"/>
      <c r="V966" s="198"/>
      <c r="AA966" s="198"/>
      <c r="AB966" s="198"/>
    </row>
    <row r="967" spans="3:28" ht="13.2">
      <c r="C967" s="10"/>
      <c r="D967" s="10"/>
      <c r="E967" s="10"/>
      <c r="U967" s="198"/>
      <c r="V967" s="198"/>
      <c r="AA967" s="198"/>
      <c r="AB967" s="198"/>
    </row>
    <row r="968" spans="3:28" ht="13.2">
      <c r="C968" s="10"/>
      <c r="D968" s="10"/>
      <c r="E968" s="10"/>
      <c r="U968" s="198"/>
      <c r="V968" s="198"/>
      <c r="AA968" s="198"/>
      <c r="AB968" s="198"/>
    </row>
    <row r="969" spans="3:28" ht="13.2">
      <c r="C969" s="10"/>
      <c r="D969" s="10"/>
      <c r="E969" s="10"/>
      <c r="U969" s="198"/>
      <c r="V969" s="198"/>
      <c r="AA969" s="198"/>
      <c r="AB969" s="198"/>
    </row>
    <row r="970" spans="3:28" ht="13.2">
      <c r="C970" s="10"/>
      <c r="D970" s="10"/>
      <c r="E970" s="10"/>
      <c r="U970" s="198"/>
      <c r="V970" s="198"/>
      <c r="AA970" s="198"/>
      <c r="AB970" s="198"/>
    </row>
    <row r="971" spans="3:28" ht="13.2">
      <c r="C971" s="10"/>
      <c r="D971" s="10"/>
      <c r="E971" s="10"/>
      <c r="U971" s="198"/>
      <c r="V971" s="198"/>
      <c r="AA971" s="198"/>
      <c r="AB971" s="198"/>
    </row>
    <row r="972" spans="3:28" ht="13.2">
      <c r="C972" s="10"/>
      <c r="D972" s="10"/>
      <c r="E972" s="10"/>
      <c r="U972" s="198"/>
      <c r="V972" s="198"/>
      <c r="AA972" s="198"/>
      <c r="AB972" s="198"/>
    </row>
    <row r="973" spans="3:28" ht="13.2">
      <c r="C973" s="10"/>
      <c r="D973" s="10"/>
      <c r="E973" s="10"/>
      <c r="U973" s="198"/>
      <c r="V973" s="198"/>
      <c r="AA973" s="198"/>
      <c r="AB973" s="198"/>
    </row>
    <row r="974" spans="3:28" ht="13.2">
      <c r="C974" s="10"/>
      <c r="D974" s="10"/>
      <c r="E974" s="10"/>
      <c r="U974" s="198"/>
      <c r="V974" s="198"/>
      <c r="AA974" s="198"/>
      <c r="AB974" s="198"/>
    </row>
    <row r="975" spans="3:28" ht="13.2">
      <c r="C975" s="10"/>
      <c r="D975" s="10"/>
      <c r="E975" s="10"/>
      <c r="U975" s="198"/>
      <c r="V975" s="198"/>
      <c r="AA975" s="198"/>
      <c r="AB975" s="198"/>
    </row>
    <row r="976" spans="3:28" ht="13.2">
      <c r="C976" s="10"/>
      <c r="D976" s="10"/>
      <c r="E976" s="10"/>
      <c r="U976" s="198"/>
      <c r="V976" s="198"/>
      <c r="AA976" s="198"/>
      <c r="AB976" s="198"/>
    </row>
    <row r="977" spans="3:28" ht="13.2">
      <c r="C977" s="10"/>
      <c r="D977" s="10"/>
      <c r="E977" s="10"/>
      <c r="U977" s="198"/>
      <c r="V977" s="198"/>
      <c r="AA977" s="198"/>
      <c r="AB977" s="198"/>
    </row>
    <row r="978" spans="3:28" ht="13.2">
      <c r="C978" s="10"/>
      <c r="D978" s="10"/>
      <c r="E978" s="10"/>
      <c r="U978" s="198"/>
      <c r="V978" s="198"/>
      <c r="AA978" s="198"/>
      <c r="AB978" s="198"/>
    </row>
    <row r="979" spans="3:28" ht="13.2">
      <c r="C979" s="10"/>
      <c r="D979" s="10"/>
      <c r="E979" s="10"/>
      <c r="U979" s="198"/>
      <c r="V979" s="198"/>
      <c r="AA979" s="198"/>
      <c r="AB979" s="198"/>
    </row>
    <row r="980" spans="3:28" ht="13.2">
      <c r="C980" s="10"/>
      <c r="D980" s="10"/>
      <c r="E980" s="10"/>
      <c r="U980" s="198"/>
      <c r="V980" s="198"/>
      <c r="AA980" s="198"/>
      <c r="AB980" s="198"/>
    </row>
    <row r="981" spans="3:28" ht="13.2">
      <c r="C981" s="10"/>
      <c r="D981" s="10"/>
      <c r="E981" s="10"/>
      <c r="U981" s="198"/>
      <c r="V981" s="198"/>
      <c r="AA981" s="198"/>
      <c r="AB981" s="198"/>
    </row>
    <row r="982" spans="3:28" ht="13.2">
      <c r="C982" s="10"/>
      <c r="D982" s="10"/>
      <c r="E982" s="10"/>
      <c r="U982" s="198"/>
      <c r="V982" s="198"/>
      <c r="AA982" s="198"/>
      <c r="AB982" s="198"/>
    </row>
    <row r="983" spans="3:28" ht="13.2">
      <c r="C983" s="10"/>
      <c r="D983" s="10"/>
      <c r="E983" s="10"/>
      <c r="U983" s="198"/>
      <c r="V983" s="198"/>
      <c r="AA983" s="198"/>
      <c r="AB983" s="198"/>
    </row>
    <row r="984" spans="3:28" ht="13.2">
      <c r="C984" s="10"/>
      <c r="D984" s="10"/>
      <c r="E984" s="10"/>
      <c r="U984" s="198"/>
      <c r="V984" s="198"/>
      <c r="AA984" s="198"/>
      <c r="AB984" s="198"/>
    </row>
    <row r="985" spans="3:28" ht="13.2">
      <c r="C985" s="10"/>
      <c r="D985" s="10"/>
      <c r="E985" s="10"/>
      <c r="U985" s="198"/>
      <c r="V985" s="198"/>
      <c r="AA985" s="198"/>
      <c r="AB985" s="198"/>
    </row>
    <row r="986" spans="3:28" ht="13.2">
      <c r="C986" s="10"/>
      <c r="D986" s="10"/>
      <c r="E986" s="10"/>
      <c r="U986" s="198"/>
      <c r="V986" s="198"/>
      <c r="AA986" s="198"/>
      <c r="AB986" s="198"/>
    </row>
    <row r="987" spans="3:28" ht="13.2">
      <c r="C987" s="10"/>
      <c r="D987" s="10"/>
      <c r="E987" s="10"/>
      <c r="U987" s="198"/>
      <c r="V987" s="198"/>
      <c r="AA987" s="198"/>
      <c r="AB987" s="198"/>
    </row>
    <row r="988" spans="3:28" ht="13.2">
      <c r="C988" s="10"/>
      <c r="D988" s="10"/>
      <c r="E988" s="10"/>
      <c r="U988" s="198"/>
      <c r="V988" s="198"/>
      <c r="AA988" s="198"/>
      <c r="AB988" s="198"/>
    </row>
    <row r="989" spans="3:28" ht="13.2">
      <c r="C989" s="10"/>
      <c r="D989" s="10"/>
      <c r="E989" s="10"/>
      <c r="U989" s="198"/>
      <c r="V989" s="198"/>
      <c r="AA989" s="198"/>
      <c r="AB989" s="198"/>
    </row>
    <row r="990" spans="3:28" ht="13.2">
      <c r="C990" s="10"/>
      <c r="D990" s="10"/>
      <c r="E990" s="10"/>
      <c r="U990" s="198"/>
      <c r="V990" s="198"/>
      <c r="AA990" s="198"/>
      <c r="AB990" s="198"/>
    </row>
    <row r="991" spans="3:28" ht="13.2">
      <c r="C991" s="10"/>
      <c r="D991" s="10"/>
      <c r="E991" s="10"/>
      <c r="U991" s="198"/>
      <c r="V991" s="198"/>
      <c r="AA991" s="198"/>
      <c r="AB991" s="198"/>
    </row>
    <row r="992" spans="3:28" ht="13.2">
      <c r="C992" s="10"/>
      <c r="D992" s="10"/>
      <c r="E992" s="10"/>
      <c r="U992" s="198"/>
      <c r="V992" s="198"/>
      <c r="AA992" s="198"/>
      <c r="AB992" s="198"/>
    </row>
    <row r="993" spans="3:28" ht="13.2">
      <c r="C993" s="10"/>
      <c r="D993" s="10"/>
      <c r="E993" s="10"/>
      <c r="U993" s="198"/>
      <c r="V993" s="198"/>
      <c r="AA993" s="198"/>
      <c r="AB993" s="198"/>
    </row>
    <row r="994" spans="3:28" ht="13.2">
      <c r="C994" s="10"/>
      <c r="D994" s="10"/>
      <c r="E994" s="10"/>
      <c r="U994" s="198"/>
      <c r="V994" s="198"/>
      <c r="AA994" s="198"/>
      <c r="AB994" s="198"/>
    </row>
    <row r="995" spans="3:28" ht="13.2">
      <c r="C995" s="10"/>
      <c r="D995" s="10"/>
      <c r="E995" s="10"/>
      <c r="U995" s="198"/>
      <c r="V995" s="198"/>
      <c r="AA995" s="198"/>
      <c r="AB995" s="198"/>
    </row>
    <row r="996" spans="3:28" ht="13.2">
      <c r="C996" s="10"/>
      <c r="D996" s="10"/>
      <c r="E996" s="10"/>
      <c r="U996" s="198"/>
      <c r="V996" s="198"/>
      <c r="AA996" s="198"/>
      <c r="AB996" s="198"/>
    </row>
    <row r="997" spans="3:28" ht="13.2">
      <c r="C997" s="10"/>
      <c r="D997" s="10"/>
      <c r="E997" s="10"/>
      <c r="U997" s="198"/>
      <c r="V997" s="198"/>
      <c r="AA997" s="198"/>
      <c r="AB997" s="198"/>
    </row>
    <row r="998" spans="3:28" ht="13.2">
      <c r="C998" s="10"/>
      <c r="D998" s="10"/>
      <c r="E998" s="10"/>
      <c r="U998" s="198"/>
      <c r="V998" s="198"/>
      <c r="AA998" s="198"/>
      <c r="AB998" s="198"/>
    </row>
    <row r="999" spans="3:28" ht="13.2">
      <c r="C999" s="10"/>
      <c r="D999" s="10"/>
      <c r="E999" s="10"/>
      <c r="U999" s="198"/>
      <c r="V999" s="198"/>
      <c r="AA999" s="198"/>
      <c r="AB999" s="198"/>
    </row>
  </sheetData>
  <mergeCells count="10">
    <mergeCell ref="AI2:AI3"/>
    <mergeCell ref="X2:AB2"/>
    <mergeCell ref="AC2:AF2"/>
    <mergeCell ref="F1:AE1"/>
    <mergeCell ref="A2:A3"/>
    <mergeCell ref="B2:B3"/>
    <mergeCell ref="G2:K2"/>
    <mergeCell ref="L2:O2"/>
    <mergeCell ref="P2:S2"/>
    <mergeCell ref="T2:W2"/>
  </mergeCells>
  <dataValidations count="1">
    <dataValidation type="list" allowBlank="1" showErrorMessage="1" sqref="F4:AF63" xr:uid="{00000000-0002-0000-0B00-000000000000}">
      <formula1>"አለ/ች,ቀሪ,ፍቃድ"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FF"/>
    <outlinePr summaryBelow="0" summaryRight="0"/>
  </sheetPr>
  <dimension ref="A1:AF1000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.75" customHeight="1"/>
  <cols>
    <col min="2" max="2" width="21" customWidth="1"/>
  </cols>
  <sheetData>
    <row r="1" spans="1:32">
      <c r="F1" s="198"/>
      <c r="Q1" s="198"/>
    </row>
    <row r="2" spans="1:32" ht="15.75" customHeight="1">
      <c r="A2" s="329" t="s">
        <v>0</v>
      </c>
      <c r="B2" s="329" t="s">
        <v>1</v>
      </c>
      <c r="C2" s="295"/>
      <c r="D2" s="296"/>
      <c r="E2" s="15"/>
      <c r="F2" s="322" t="s">
        <v>2</v>
      </c>
      <c r="G2" s="311"/>
      <c r="H2" s="311"/>
      <c r="I2" s="312"/>
      <c r="J2" s="334" t="s">
        <v>6</v>
      </c>
      <c r="K2" s="311"/>
      <c r="L2" s="311"/>
      <c r="M2" s="311"/>
      <c r="N2" s="312"/>
      <c r="O2" s="334" t="s">
        <v>10</v>
      </c>
      <c r="P2" s="311"/>
      <c r="Q2" s="311"/>
      <c r="R2" s="312"/>
      <c r="S2" s="334" t="s">
        <v>12</v>
      </c>
      <c r="T2" s="311"/>
      <c r="U2" s="311"/>
      <c r="V2" s="312"/>
      <c r="W2" s="334" t="s">
        <v>15</v>
      </c>
      <c r="X2" s="311"/>
      <c r="Y2" s="311"/>
      <c r="Z2" s="312"/>
      <c r="AA2" s="297" t="s">
        <v>17</v>
      </c>
      <c r="AB2" s="22"/>
      <c r="AC2" s="325"/>
      <c r="AD2" s="311"/>
      <c r="AE2" s="311"/>
      <c r="AF2" s="312"/>
    </row>
    <row r="3" spans="1:32" ht="15.75" customHeight="1">
      <c r="A3" s="314"/>
      <c r="B3" s="314"/>
      <c r="C3" s="298" t="s">
        <v>5</v>
      </c>
      <c r="D3" s="298" t="s">
        <v>7</v>
      </c>
      <c r="E3" s="15" t="s">
        <v>8</v>
      </c>
      <c r="F3" s="299">
        <v>4</v>
      </c>
      <c r="G3" s="300">
        <v>11</v>
      </c>
      <c r="H3" s="300">
        <v>18</v>
      </c>
      <c r="I3" s="300">
        <v>25</v>
      </c>
      <c r="J3" s="300">
        <v>2</v>
      </c>
      <c r="K3" s="300">
        <v>9</v>
      </c>
      <c r="L3" s="300">
        <v>16</v>
      </c>
      <c r="M3" s="300">
        <v>23</v>
      </c>
      <c r="N3" s="300">
        <v>30</v>
      </c>
      <c r="O3" s="300">
        <v>7</v>
      </c>
      <c r="P3" s="300">
        <v>14</v>
      </c>
      <c r="Q3" s="300">
        <v>21</v>
      </c>
      <c r="R3" s="300">
        <v>28</v>
      </c>
      <c r="S3" s="300">
        <v>5</v>
      </c>
      <c r="T3" s="300">
        <v>12</v>
      </c>
      <c r="U3" s="301">
        <v>19</v>
      </c>
      <c r="V3" s="301">
        <v>26</v>
      </c>
      <c r="W3" s="300">
        <v>3</v>
      </c>
      <c r="X3" s="300">
        <v>10</v>
      </c>
      <c r="Y3" s="300">
        <v>17</v>
      </c>
      <c r="Z3" s="300">
        <v>24</v>
      </c>
      <c r="AA3" s="300">
        <v>1</v>
      </c>
      <c r="AB3" s="157"/>
      <c r="AC3" s="38"/>
      <c r="AD3" s="38"/>
      <c r="AE3" s="38"/>
      <c r="AF3" s="25"/>
    </row>
    <row r="4" spans="1:32">
      <c r="A4" s="245" t="s">
        <v>925</v>
      </c>
      <c r="B4" s="246" t="s">
        <v>926</v>
      </c>
      <c r="C4" s="247">
        <v>21</v>
      </c>
      <c r="D4" s="248" t="s">
        <v>35</v>
      </c>
      <c r="E4" s="249">
        <v>986908486</v>
      </c>
      <c r="F4" s="302"/>
      <c r="G4" s="250" t="s">
        <v>19</v>
      </c>
      <c r="H4" s="250" t="s">
        <v>19</v>
      </c>
      <c r="I4" s="250" t="s">
        <v>19</v>
      </c>
      <c r="J4" s="250" t="s">
        <v>19</v>
      </c>
      <c r="K4" s="305" t="s">
        <v>19</v>
      </c>
      <c r="L4" s="250" t="s">
        <v>19</v>
      </c>
      <c r="M4" s="250" t="s">
        <v>19</v>
      </c>
      <c r="N4" s="250" t="s">
        <v>19</v>
      </c>
      <c r="O4" s="250" t="s">
        <v>19</v>
      </c>
      <c r="P4" s="250" t="s">
        <v>19</v>
      </c>
      <c r="Q4" s="302"/>
      <c r="R4" s="250" t="s">
        <v>19</v>
      </c>
      <c r="S4" s="42" t="s">
        <v>19</v>
      </c>
      <c r="T4" s="42" t="s">
        <v>19</v>
      </c>
      <c r="U4" s="42" t="s">
        <v>19</v>
      </c>
      <c r="V4" s="42" t="s">
        <v>19</v>
      </c>
      <c r="W4" s="42" t="s">
        <v>19</v>
      </c>
      <c r="X4" s="42" t="s">
        <v>19</v>
      </c>
      <c r="Y4" s="42" t="s">
        <v>19</v>
      </c>
      <c r="Z4" s="42"/>
      <c r="AA4" s="170"/>
      <c r="AB4" s="170"/>
      <c r="AC4" s="42"/>
      <c r="AD4" s="42"/>
      <c r="AE4" s="44"/>
      <c r="AF4" s="46"/>
    </row>
    <row r="5" spans="1:32">
      <c r="A5" s="245" t="s">
        <v>935</v>
      </c>
      <c r="B5" s="246" t="s">
        <v>936</v>
      </c>
      <c r="C5" s="248">
        <v>24</v>
      </c>
      <c r="D5" s="248" t="s">
        <v>26</v>
      </c>
      <c r="E5" s="254">
        <v>926347977</v>
      </c>
      <c r="F5" s="302"/>
      <c r="G5" s="250" t="s">
        <v>19</v>
      </c>
      <c r="H5" s="250" t="s">
        <v>27</v>
      </c>
      <c r="I5" s="250" t="s">
        <v>27</v>
      </c>
      <c r="J5" s="250" t="s">
        <v>27</v>
      </c>
      <c r="K5" s="305" t="s">
        <v>27</v>
      </c>
      <c r="L5" s="250" t="s">
        <v>27</v>
      </c>
      <c r="M5" s="250" t="s">
        <v>27</v>
      </c>
      <c r="N5" s="250" t="s">
        <v>27</v>
      </c>
      <c r="O5" s="250" t="s">
        <v>27</v>
      </c>
      <c r="P5" s="250" t="s">
        <v>27</v>
      </c>
      <c r="Q5" s="302"/>
      <c r="R5" s="250" t="s">
        <v>19</v>
      </c>
      <c r="S5" s="42" t="s">
        <v>27</v>
      </c>
      <c r="T5" s="42" t="s">
        <v>19</v>
      </c>
      <c r="U5" s="42" t="s">
        <v>27</v>
      </c>
      <c r="V5" s="42" t="s">
        <v>27</v>
      </c>
      <c r="W5" s="42" t="s">
        <v>27</v>
      </c>
      <c r="X5" s="42" t="s">
        <v>27</v>
      </c>
      <c r="Y5" s="42" t="s">
        <v>27</v>
      </c>
      <c r="Z5" s="42"/>
      <c r="AA5" s="170"/>
      <c r="AB5" s="170"/>
      <c r="AC5" s="42"/>
      <c r="AD5" s="42"/>
      <c r="AE5" s="44"/>
      <c r="AF5" s="46"/>
    </row>
    <row r="6" spans="1:32">
      <c r="A6" s="245" t="s">
        <v>939</v>
      </c>
      <c r="B6" s="246" t="s">
        <v>940</v>
      </c>
      <c r="C6" s="248">
        <v>20</v>
      </c>
      <c r="D6" s="248" t="s">
        <v>35</v>
      </c>
      <c r="E6" s="254">
        <v>925353549</v>
      </c>
      <c r="F6" s="302"/>
      <c r="G6" s="250" t="s">
        <v>19</v>
      </c>
      <c r="H6" s="250" t="s">
        <v>19</v>
      </c>
      <c r="I6" s="250" t="s">
        <v>19</v>
      </c>
      <c r="J6" s="250" t="s">
        <v>19</v>
      </c>
      <c r="K6" s="305" t="s">
        <v>19</v>
      </c>
      <c r="L6" s="250" t="s">
        <v>19</v>
      </c>
      <c r="M6" s="250" t="s">
        <v>19</v>
      </c>
      <c r="N6" s="250" t="s">
        <v>19</v>
      </c>
      <c r="O6" s="250" t="s">
        <v>19</v>
      </c>
      <c r="P6" s="250" t="s">
        <v>19</v>
      </c>
      <c r="Q6" s="302"/>
      <c r="R6" s="250" t="s">
        <v>27</v>
      </c>
      <c r="S6" s="42" t="s">
        <v>27</v>
      </c>
      <c r="T6" s="42" t="s">
        <v>19</v>
      </c>
      <c r="U6" s="42" t="s">
        <v>27</v>
      </c>
      <c r="V6" s="42" t="s">
        <v>27</v>
      </c>
      <c r="W6" s="42" t="s">
        <v>27</v>
      </c>
      <c r="X6" s="42" t="s">
        <v>27</v>
      </c>
      <c r="Y6" s="42" t="s">
        <v>27</v>
      </c>
      <c r="Z6" s="42"/>
      <c r="AA6" s="170"/>
      <c r="AB6" s="170"/>
      <c r="AC6" s="42"/>
      <c r="AD6" s="42"/>
      <c r="AE6" s="44"/>
      <c r="AF6" s="46"/>
    </row>
    <row r="7" spans="1:32">
      <c r="A7" s="245" t="s">
        <v>943</v>
      </c>
      <c r="B7" s="246" t="s">
        <v>944</v>
      </c>
      <c r="C7" s="247">
        <v>25</v>
      </c>
      <c r="D7" s="248" t="s">
        <v>35</v>
      </c>
      <c r="E7" s="245">
        <v>965648180</v>
      </c>
      <c r="F7" s="302"/>
      <c r="G7" s="250" t="s">
        <v>27</v>
      </c>
      <c r="H7" s="250" t="s">
        <v>27</v>
      </c>
      <c r="I7" s="250" t="s">
        <v>27</v>
      </c>
      <c r="J7" s="250" t="s">
        <v>27</v>
      </c>
      <c r="K7" s="305" t="s">
        <v>27</v>
      </c>
      <c r="L7" s="250" t="s">
        <v>27</v>
      </c>
      <c r="M7" s="250" t="s">
        <v>27</v>
      </c>
      <c r="N7" s="250" t="s">
        <v>27</v>
      </c>
      <c r="O7" s="250" t="s">
        <v>27</v>
      </c>
      <c r="P7" s="250" t="s">
        <v>27</v>
      </c>
      <c r="Q7" s="302"/>
      <c r="R7" s="250" t="s">
        <v>27</v>
      </c>
      <c r="S7" s="42" t="s">
        <v>27</v>
      </c>
      <c r="T7" s="42" t="s">
        <v>27</v>
      </c>
      <c r="U7" s="42" t="s">
        <v>27</v>
      </c>
      <c r="V7" s="42" t="s">
        <v>27</v>
      </c>
      <c r="W7" s="42" t="s">
        <v>27</v>
      </c>
      <c r="X7" s="42" t="s">
        <v>27</v>
      </c>
      <c r="Y7" s="42" t="s">
        <v>27</v>
      </c>
      <c r="Z7" s="42"/>
      <c r="AA7" s="170"/>
      <c r="AB7" s="170"/>
      <c r="AC7" s="42"/>
      <c r="AD7" s="42"/>
      <c r="AE7" s="44"/>
      <c r="AF7" s="46"/>
    </row>
    <row r="8" spans="1:32">
      <c r="A8" s="245" t="s">
        <v>947</v>
      </c>
      <c r="B8" s="246" t="s">
        <v>948</v>
      </c>
      <c r="C8" s="247">
        <v>26</v>
      </c>
      <c r="D8" s="248" t="s">
        <v>35</v>
      </c>
      <c r="E8" s="260" t="s">
        <v>949</v>
      </c>
      <c r="F8" s="302"/>
      <c r="G8" s="250" t="s">
        <v>27</v>
      </c>
      <c r="H8" s="250" t="s">
        <v>27</v>
      </c>
      <c r="I8" s="250" t="s">
        <v>27</v>
      </c>
      <c r="J8" s="250" t="s">
        <v>27</v>
      </c>
      <c r="K8" s="305" t="s">
        <v>27</v>
      </c>
      <c r="L8" s="250" t="s">
        <v>27</v>
      </c>
      <c r="M8" s="250" t="s">
        <v>27</v>
      </c>
      <c r="N8" s="250" t="s">
        <v>27</v>
      </c>
      <c r="O8" s="250" t="s">
        <v>27</v>
      </c>
      <c r="P8" s="250" t="s">
        <v>27</v>
      </c>
      <c r="Q8" s="302"/>
      <c r="R8" s="250" t="s">
        <v>27</v>
      </c>
      <c r="S8" s="42" t="s">
        <v>27</v>
      </c>
      <c r="T8" s="42" t="s">
        <v>27</v>
      </c>
      <c r="U8" s="42" t="s">
        <v>27</v>
      </c>
      <c r="V8" s="42" t="s">
        <v>27</v>
      </c>
      <c r="W8" s="42" t="s">
        <v>27</v>
      </c>
      <c r="X8" s="42" t="s">
        <v>27</v>
      </c>
      <c r="Y8" s="42" t="s">
        <v>27</v>
      </c>
      <c r="Z8" s="42"/>
      <c r="AA8" s="170"/>
      <c r="AB8" s="170"/>
      <c r="AC8" s="42"/>
      <c r="AD8" s="42"/>
      <c r="AE8" s="44"/>
      <c r="AF8" s="46"/>
    </row>
    <row r="9" spans="1:32">
      <c r="A9" s="245" t="s">
        <v>952</v>
      </c>
      <c r="B9" s="246" t="s">
        <v>953</v>
      </c>
      <c r="C9" s="248">
        <v>20</v>
      </c>
      <c r="D9" s="248" t="s">
        <v>35</v>
      </c>
      <c r="E9" s="254">
        <v>940276586</v>
      </c>
      <c r="F9" s="302"/>
      <c r="G9" s="250" t="s">
        <v>27</v>
      </c>
      <c r="H9" s="250" t="s">
        <v>27</v>
      </c>
      <c r="I9" s="250" t="s">
        <v>27</v>
      </c>
      <c r="J9" s="250" t="s">
        <v>27</v>
      </c>
      <c r="K9" s="305" t="s">
        <v>27</v>
      </c>
      <c r="L9" s="250" t="s">
        <v>27</v>
      </c>
      <c r="M9" s="250" t="s">
        <v>27</v>
      </c>
      <c r="N9" s="250" t="s">
        <v>27</v>
      </c>
      <c r="O9" s="250" t="s">
        <v>27</v>
      </c>
      <c r="P9" s="250" t="s">
        <v>19</v>
      </c>
      <c r="Q9" s="302"/>
      <c r="R9" s="250" t="s">
        <v>27</v>
      </c>
      <c r="S9" s="42" t="s">
        <v>27</v>
      </c>
      <c r="T9" s="42" t="s">
        <v>27</v>
      </c>
      <c r="U9" s="42" t="s">
        <v>27</v>
      </c>
      <c r="V9" s="42" t="s">
        <v>27</v>
      </c>
      <c r="W9" s="42" t="s">
        <v>27</v>
      </c>
      <c r="X9" s="42" t="s">
        <v>27</v>
      </c>
      <c r="Y9" s="42" t="s">
        <v>27</v>
      </c>
      <c r="Z9" s="42"/>
      <c r="AA9" s="170"/>
      <c r="AB9" s="170"/>
      <c r="AC9" s="42"/>
      <c r="AD9" s="42"/>
      <c r="AE9" s="44"/>
      <c r="AF9" s="46"/>
    </row>
    <row r="10" spans="1:32">
      <c r="A10" s="245" t="s">
        <v>956</v>
      </c>
      <c r="B10" s="246" t="s">
        <v>957</v>
      </c>
      <c r="C10" s="247">
        <v>22</v>
      </c>
      <c r="D10" s="248" t="s">
        <v>26</v>
      </c>
      <c r="E10" s="245">
        <v>972725452</v>
      </c>
      <c r="F10" s="302"/>
      <c r="G10" s="250" t="s">
        <v>27</v>
      </c>
      <c r="H10" s="250" t="s">
        <v>27</v>
      </c>
      <c r="I10" s="250" t="s">
        <v>27</v>
      </c>
      <c r="J10" s="250" t="s">
        <v>27</v>
      </c>
      <c r="K10" s="305" t="s">
        <v>27</v>
      </c>
      <c r="L10" s="250" t="s">
        <v>27</v>
      </c>
      <c r="M10" s="250" t="s">
        <v>27</v>
      </c>
      <c r="N10" s="250" t="s">
        <v>27</v>
      </c>
      <c r="O10" s="250" t="s">
        <v>27</v>
      </c>
      <c r="P10" s="250" t="s">
        <v>27</v>
      </c>
      <c r="Q10" s="302"/>
      <c r="R10" s="250" t="s">
        <v>19</v>
      </c>
      <c r="S10" s="42" t="s">
        <v>27</v>
      </c>
      <c r="T10" s="42" t="s">
        <v>27</v>
      </c>
      <c r="U10" s="42" t="s">
        <v>27</v>
      </c>
      <c r="V10" s="42" t="s">
        <v>27</v>
      </c>
      <c r="W10" s="42" t="s">
        <v>27</v>
      </c>
      <c r="X10" s="42" t="s">
        <v>27</v>
      </c>
      <c r="Y10" s="42" t="s">
        <v>27</v>
      </c>
      <c r="Z10" s="42"/>
      <c r="AA10" s="170"/>
      <c r="AB10" s="170"/>
      <c r="AC10" s="42"/>
      <c r="AD10" s="42"/>
      <c r="AE10" s="44"/>
      <c r="AF10" s="46"/>
    </row>
    <row r="11" spans="1:32">
      <c r="A11" s="245" t="s">
        <v>960</v>
      </c>
      <c r="B11" s="246" t="s">
        <v>961</v>
      </c>
      <c r="C11" s="248"/>
      <c r="D11" s="248" t="s">
        <v>26</v>
      </c>
      <c r="E11" s="245">
        <v>921332289</v>
      </c>
      <c r="F11" s="302"/>
      <c r="G11" s="250" t="s">
        <v>19</v>
      </c>
      <c r="H11" s="250" t="s">
        <v>19</v>
      </c>
      <c r="I11" s="250" t="s">
        <v>19</v>
      </c>
      <c r="J11" s="250" t="s">
        <v>19</v>
      </c>
      <c r="K11" s="305" t="s">
        <v>27</v>
      </c>
      <c r="L11" s="250" t="s">
        <v>27</v>
      </c>
      <c r="M11" s="250" t="s">
        <v>27</v>
      </c>
      <c r="N11" s="250" t="s">
        <v>27</v>
      </c>
      <c r="O11" s="250" t="s">
        <v>27</v>
      </c>
      <c r="P11" s="250" t="s">
        <v>27</v>
      </c>
      <c r="Q11" s="302"/>
      <c r="R11" s="250" t="s">
        <v>19</v>
      </c>
      <c r="S11" s="42" t="s">
        <v>19</v>
      </c>
      <c r="T11" s="42" t="s">
        <v>19</v>
      </c>
      <c r="U11" s="42" t="s">
        <v>19</v>
      </c>
      <c r="V11" s="42" t="s">
        <v>19</v>
      </c>
      <c r="W11" s="42" t="s">
        <v>19</v>
      </c>
      <c r="X11" s="42" t="s">
        <v>19</v>
      </c>
      <c r="Y11" s="42" t="s">
        <v>19</v>
      </c>
      <c r="Z11" s="42"/>
      <c r="AA11" s="170"/>
      <c r="AB11" s="170"/>
      <c r="AC11" s="42"/>
      <c r="AD11" s="42"/>
      <c r="AE11" s="44"/>
      <c r="AF11" s="46"/>
    </row>
    <row r="12" spans="1:32">
      <c r="A12" s="245" t="s">
        <v>964</v>
      </c>
      <c r="B12" s="246" t="s">
        <v>965</v>
      </c>
      <c r="C12" s="247">
        <v>21</v>
      </c>
      <c r="D12" s="248" t="s">
        <v>35</v>
      </c>
      <c r="E12" s="245">
        <v>962637204</v>
      </c>
      <c r="F12" s="302"/>
      <c r="G12" s="250" t="s">
        <v>19</v>
      </c>
      <c r="H12" s="250" t="s">
        <v>19</v>
      </c>
      <c r="I12" s="250" t="s">
        <v>19</v>
      </c>
      <c r="J12" s="250" t="s">
        <v>19</v>
      </c>
      <c r="K12" s="305" t="s">
        <v>19</v>
      </c>
      <c r="L12" s="250" t="s">
        <v>19</v>
      </c>
      <c r="M12" s="250" t="s">
        <v>19</v>
      </c>
      <c r="N12" s="250" t="s">
        <v>19</v>
      </c>
      <c r="O12" s="250" t="s">
        <v>19</v>
      </c>
      <c r="P12" s="250" t="s">
        <v>19</v>
      </c>
      <c r="Q12" s="302"/>
      <c r="R12" s="250" t="s">
        <v>19</v>
      </c>
      <c r="S12" s="42" t="s">
        <v>19</v>
      </c>
      <c r="T12" s="42" t="s">
        <v>19</v>
      </c>
      <c r="U12" s="42" t="s">
        <v>19</v>
      </c>
      <c r="V12" s="42" t="s">
        <v>19</v>
      </c>
      <c r="W12" s="42" t="s">
        <v>19</v>
      </c>
      <c r="X12" s="42" t="s">
        <v>19</v>
      </c>
      <c r="Y12" s="42" t="s">
        <v>19</v>
      </c>
      <c r="Z12" s="42"/>
      <c r="AA12" s="170"/>
      <c r="AB12" s="170"/>
      <c r="AC12" s="42"/>
      <c r="AD12" s="42"/>
      <c r="AE12" s="44"/>
      <c r="AF12" s="46"/>
    </row>
    <row r="13" spans="1:32">
      <c r="A13" s="245" t="s">
        <v>970</v>
      </c>
      <c r="B13" s="246" t="s">
        <v>971</v>
      </c>
      <c r="C13" s="248">
        <v>19</v>
      </c>
      <c r="D13" s="248" t="s">
        <v>26</v>
      </c>
      <c r="E13" s="254">
        <v>937535623</v>
      </c>
      <c r="F13" s="302"/>
      <c r="G13" s="250" t="s">
        <v>19</v>
      </c>
      <c r="H13" s="250" t="s">
        <v>19</v>
      </c>
      <c r="I13" s="250" t="s">
        <v>19</v>
      </c>
      <c r="J13" s="250" t="s">
        <v>19</v>
      </c>
      <c r="K13" s="305" t="s">
        <v>19</v>
      </c>
      <c r="L13" s="250" t="s">
        <v>19</v>
      </c>
      <c r="M13" s="250" t="s">
        <v>19</v>
      </c>
      <c r="N13" s="250" t="s">
        <v>19</v>
      </c>
      <c r="O13" s="250" t="s">
        <v>19</v>
      </c>
      <c r="P13" s="250" t="s">
        <v>19</v>
      </c>
      <c r="Q13" s="302"/>
      <c r="R13" s="250" t="s">
        <v>19</v>
      </c>
      <c r="S13" s="42" t="s">
        <v>19</v>
      </c>
      <c r="T13" s="42" t="s">
        <v>19</v>
      </c>
      <c r="U13" s="42" t="s">
        <v>19</v>
      </c>
      <c r="V13" s="42" t="s">
        <v>19</v>
      </c>
      <c r="W13" s="42" t="s">
        <v>19</v>
      </c>
      <c r="X13" s="42" t="s">
        <v>19</v>
      </c>
      <c r="Y13" s="42" t="s">
        <v>19</v>
      </c>
      <c r="Z13" s="42"/>
      <c r="AA13" s="170"/>
      <c r="AB13" s="170"/>
      <c r="AC13" s="42"/>
      <c r="AD13" s="42"/>
      <c r="AE13" s="44"/>
      <c r="AF13" s="46"/>
    </row>
    <row r="14" spans="1:32">
      <c r="A14" s="245" t="s">
        <v>974</v>
      </c>
      <c r="B14" s="246" t="s">
        <v>975</v>
      </c>
      <c r="C14" s="248">
        <v>17</v>
      </c>
      <c r="D14" s="248" t="s">
        <v>35</v>
      </c>
      <c r="E14" s="254">
        <v>978104334</v>
      </c>
      <c r="F14" s="302"/>
      <c r="G14" s="250" t="s">
        <v>27</v>
      </c>
      <c r="H14" s="250" t="s">
        <v>27</v>
      </c>
      <c r="I14" s="250" t="s">
        <v>27</v>
      </c>
      <c r="J14" s="250" t="s">
        <v>27</v>
      </c>
      <c r="K14" s="305" t="s">
        <v>27</v>
      </c>
      <c r="L14" s="250" t="s">
        <v>27</v>
      </c>
      <c r="M14" s="250" t="s">
        <v>27</v>
      </c>
      <c r="N14" s="250" t="s">
        <v>27</v>
      </c>
      <c r="O14" s="250" t="s">
        <v>27</v>
      </c>
      <c r="P14" s="250" t="s">
        <v>27</v>
      </c>
      <c r="Q14" s="302"/>
      <c r="R14" s="250" t="s">
        <v>27</v>
      </c>
      <c r="S14" s="42" t="s">
        <v>27</v>
      </c>
      <c r="T14" s="42" t="s">
        <v>27</v>
      </c>
      <c r="U14" s="42" t="s">
        <v>27</v>
      </c>
      <c r="V14" s="42" t="s">
        <v>27</v>
      </c>
      <c r="W14" s="42" t="s">
        <v>27</v>
      </c>
      <c r="X14" s="42" t="s">
        <v>27</v>
      </c>
      <c r="Y14" s="42" t="s">
        <v>27</v>
      </c>
      <c r="Z14" s="42"/>
      <c r="AA14" s="170"/>
      <c r="AB14" s="170"/>
      <c r="AC14" s="42"/>
      <c r="AD14" s="42"/>
      <c r="AE14" s="44"/>
      <c r="AF14" s="46"/>
    </row>
    <row r="15" spans="1:32">
      <c r="A15" s="245" t="s">
        <v>978</v>
      </c>
      <c r="B15" s="246" t="s">
        <v>979</v>
      </c>
      <c r="C15" s="248">
        <v>20</v>
      </c>
      <c r="D15" s="248" t="s">
        <v>26</v>
      </c>
      <c r="E15" s="254">
        <v>930694482</v>
      </c>
      <c r="F15" s="302"/>
      <c r="G15" s="250" t="s">
        <v>27</v>
      </c>
      <c r="H15" s="250" t="s">
        <v>19</v>
      </c>
      <c r="I15" s="250" t="s">
        <v>27</v>
      </c>
      <c r="J15" s="250" t="s">
        <v>27</v>
      </c>
      <c r="K15" s="305" t="s">
        <v>27</v>
      </c>
      <c r="L15" s="250" t="s">
        <v>27</v>
      </c>
      <c r="M15" s="250" t="s">
        <v>27</v>
      </c>
      <c r="N15" s="250" t="s">
        <v>27</v>
      </c>
      <c r="O15" s="250" t="s">
        <v>27</v>
      </c>
      <c r="P15" s="250" t="s">
        <v>27</v>
      </c>
      <c r="Q15" s="302"/>
      <c r="R15" s="250" t="s">
        <v>27</v>
      </c>
      <c r="S15" s="42" t="s">
        <v>27</v>
      </c>
      <c r="T15" s="42" t="s">
        <v>19</v>
      </c>
      <c r="U15" s="42" t="s">
        <v>27</v>
      </c>
      <c r="V15" s="42" t="s">
        <v>27</v>
      </c>
      <c r="W15" s="42" t="s">
        <v>27</v>
      </c>
      <c r="X15" s="42" t="s">
        <v>27</v>
      </c>
      <c r="Y15" s="42" t="s">
        <v>27</v>
      </c>
      <c r="Z15" s="42"/>
      <c r="AA15" s="170"/>
      <c r="AB15" s="170"/>
      <c r="AC15" s="42"/>
      <c r="AD15" s="42"/>
      <c r="AE15" s="44"/>
      <c r="AF15" s="46"/>
    </row>
    <row r="16" spans="1:32">
      <c r="A16" s="245" t="s">
        <v>982</v>
      </c>
      <c r="B16" s="246" t="s">
        <v>983</v>
      </c>
      <c r="C16" s="248"/>
      <c r="D16" s="248" t="s">
        <v>26</v>
      </c>
      <c r="E16" s="245">
        <v>986220378</v>
      </c>
      <c r="F16" s="302"/>
      <c r="G16" s="250" t="s">
        <v>27</v>
      </c>
      <c r="H16" s="250" t="s">
        <v>27</v>
      </c>
      <c r="I16" s="250" t="s">
        <v>27</v>
      </c>
      <c r="J16" s="250" t="s">
        <v>27</v>
      </c>
      <c r="K16" s="305" t="s">
        <v>27</v>
      </c>
      <c r="L16" s="250" t="s">
        <v>27</v>
      </c>
      <c r="M16" s="250" t="s">
        <v>27</v>
      </c>
      <c r="N16" s="250" t="s">
        <v>27</v>
      </c>
      <c r="O16" s="250" t="s">
        <v>27</v>
      </c>
      <c r="P16" s="250" t="s">
        <v>27</v>
      </c>
      <c r="Q16" s="302"/>
      <c r="R16" s="250" t="s">
        <v>27</v>
      </c>
      <c r="S16" s="42" t="s">
        <v>27</v>
      </c>
      <c r="T16" s="42" t="s">
        <v>27</v>
      </c>
      <c r="U16" s="42" t="s">
        <v>27</v>
      </c>
      <c r="V16" s="42" t="s">
        <v>27</v>
      </c>
      <c r="W16" s="42" t="s">
        <v>27</v>
      </c>
      <c r="X16" s="42" t="s">
        <v>27</v>
      </c>
      <c r="Y16" s="42" t="s">
        <v>27</v>
      </c>
      <c r="Z16" s="42"/>
      <c r="AA16" s="170"/>
      <c r="AB16" s="170"/>
      <c r="AC16" s="42"/>
      <c r="AD16" s="42"/>
      <c r="AE16" s="44"/>
      <c r="AF16" s="46"/>
    </row>
    <row r="17" spans="1:32">
      <c r="A17" s="245" t="s">
        <v>984</v>
      </c>
      <c r="B17" s="246" t="s">
        <v>985</v>
      </c>
      <c r="C17" s="247">
        <v>23</v>
      </c>
      <c r="D17" s="248" t="s">
        <v>35</v>
      </c>
      <c r="E17" s="245">
        <v>974046838</v>
      </c>
      <c r="F17" s="302"/>
      <c r="G17" s="250" t="s">
        <v>19</v>
      </c>
      <c r="H17" s="250" t="s">
        <v>19</v>
      </c>
      <c r="I17" s="250" t="s">
        <v>19</v>
      </c>
      <c r="J17" s="250" t="s">
        <v>27</v>
      </c>
      <c r="K17" s="305" t="s">
        <v>19</v>
      </c>
      <c r="L17" s="250" t="s">
        <v>27</v>
      </c>
      <c r="M17" s="250" t="s">
        <v>27</v>
      </c>
      <c r="N17" s="250" t="s">
        <v>27</v>
      </c>
      <c r="O17" s="250" t="s">
        <v>27</v>
      </c>
      <c r="P17" s="250" t="s">
        <v>27</v>
      </c>
      <c r="Q17" s="302"/>
      <c r="R17" s="250" t="s">
        <v>27</v>
      </c>
      <c r="S17" s="42" t="s">
        <v>27</v>
      </c>
      <c r="T17" s="42" t="s">
        <v>19</v>
      </c>
      <c r="U17" s="42" t="s">
        <v>27</v>
      </c>
      <c r="V17" s="42" t="s">
        <v>27</v>
      </c>
      <c r="W17" s="42" t="s">
        <v>27</v>
      </c>
      <c r="X17" s="42" t="s">
        <v>27</v>
      </c>
      <c r="Y17" s="42" t="s">
        <v>27</v>
      </c>
      <c r="Z17" s="42"/>
      <c r="AA17" s="170"/>
      <c r="AB17" s="170"/>
      <c r="AC17" s="42"/>
      <c r="AD17" s="42"/>
      <c r="AE17" s="44"/>
      <c r="AF17" s="46"/>
    </row>
    <row r="18" spans="1:32">
      <c r="A18" s="245" t="s">
        <v>988</v>
      </c>
      <c r="B18" s="246" t="s">
        <v>989</v>
      </c>
      <c r="C18" s="248">
        <v>30</v>
      </c>
      <c r="D18" s="248" t="s">
        <v>35</v>
      </c>
      <c r="E18" s="245">
        <v>935665389</v>
      </c>
      <c r="F18" s="302"/>
      <c r="G18" s="250" t="s">
        <v>27</v>
      </c>
      <c r="H18" s="250" t="s">
        <v>27</v>
      </c>
      <c r="I18" s="250" t="s">
        <v>27</v>
      </c>
      <c r="J18" s="250" t="s">
        <v>27</v>
      </c>
      <c r="K18" s="305" t="s">
        <v>19</v>
      </c>
      <c r="L18" s="250" t="s">
        <v>27</v>
      </c>
      <c r="M18" s="250" t="s">
        <v>27</v>
      </c>
      <c r="N18" s="250" t="s">
        <v>27</v>
      </c>
      <c r="O18" s="250" t="s">
        <v>27</v>
      </c>
      <c r="P18" s="250" t="s">
        <v>27</v>
      </c>
      <c r="Q18" s="302"/>
      <c r="R18" s="250" t="s">
        <v>27</v>
      </c>
      <c r="S18" s="42" t="s">
        <v>27</v>
      </c>
      <c r="T18" s="42" t="s">
        <v>19</v>
      </c>
      <c r="U18" s="42" t="s">
        <v>27</v>
      </c>
      <c r="V18" s="42" t="s">
        <v>27</v>
      </c>
      <c r="W18" s="42" t="s">
        <v>27</v>
      </c>
      <c r="X18" s="42" t="s">
        <v>27</v>
      </c>
      <c r="Y18" s="42" t="s">
        <v>27</v>
      </c>
      <c r="Z18" s="42"/>
      <c r="AA18" s="170"/>
      <c r="AB18" s="170"/>
      <c r="AC18" s="42"/>
      <c r="AD18" s="42"/>
      <c r="AE18" s="44"/>
      <c r="AF18" s="46"/>
    </row>
    <row r="19" spans="1:32">
      <c r="A19" s="245" t="s">
        <v>990</v>
      </c>
      <c r="B19" s="246" t="s">
        <v>991</v>
      </c>
      <c r="C19" s="248"/>
      <c r="D19" s="248" t="s">
        <v>35</v>
      </c>
      <c r="E19" s="245">
        <v>922909678</v>
      </c>
      <c r="F19" s="302"/>
      <c r="G19" s="250" t="s">
        <v>27</v>
      </c>
      <c r="H19" s="250" t="s">
        <v>27</v>
      </c>
      <c r="I19" s="250" t="s">
        <v>27</v>
      </c>
      <c r="J19" s="250" t="s">
        <v>27</v>
      </c>
      <c r="K19" s="305" t="s">
        <v>27</v>
      </c>
      <c r="L19" s="250" t="s">
        <v>27</v>
      </c>
      <c r="M19" s="250" t="s">
        <v>27</v>
      </c>
      <c r="N19" s="250" t="s">
        <v>27</v>
      </c>
      <c r="O19" s="250" t="s">
        <v>27</v>
      </c>
      <c r="P19" s="250" t="s">
        <v>27</v>
      </c>
      <c r="Q19" s="302"/>
      <c r="R19" s="250" t="s">
        <v>27</v>
      </c>
      <c r="S19" s="42" t="s">
        <v>27</v>
      </c>
      <c r="T19" s="42" t="s">
        <v>27</v>
      </c>
      <c r="U19" s="42" t="s">
        <v>27</v>
      </c>
      <c r="V19" s="42" t="s">
        <v>27</v>
      </c>
      <c r="W19" s="42" t="s">
        <v>27</v>
      </c>
      <c r="X19" s="42" t="s">
        <v>27</v>
      </c>
      <c r="Y19" s="42" t="s">
        <v>27</v>
      </c>
      <c r="Z19" s="42"/>
      <c r="AA19" s="170"/>
      <c r="AB19" s="170"/>
      <c r="AC19" s="42"/>
      <c r="AD19" s="42"/>
      <c r="AE19" s="44"/>
      <c r="AF19" s="46"/>
    </row>
    <row r="20" spans="1:32">
      <c r="A20" s="245" t="s">
        <v>994</v>
      </c>
      <c r="B20" s="246" t="s">
        <v>995</v>
      </c>
      <c r="C20" s="248">
        <v>24</v>
      </c>
      <c r="D20" s="248" t="s">
        <v>26</v>
      </c>
      <c r="E20" s="245">
        <v>967515918</v>
      </c>
      <c r="F20" s="302"/>
      <c r="G20" s="250" t="s">
        <v>27</v>
      </c>
      <c r="H20" s="250" t="s">
        <v>19</v>
      </c>
      <c r="I20" s="250" t="s">
        <v>19</v>
      </c>
      <c r="J20" s="250" t="s">
        <v>19</v>
      </c>
      <c r="K20" s="305" t="s">
        <v>19</v>
      </c>
      <c r="L20" s="250" t="s">
        <v>19</v>
      </c>
      <c r="M20" s="250" t="s">
        <v>19</v>
      </c>
      <c r="N20" s="250" t="s">
        <v>19</v>
      </c>
      <c r="O20" s="250" t="s">
        <v>19</v>
      </c>
      <c r="P20" s="250" t="s">
        <v>19</v>
      </c>
      <c r="Q20" s="302"/>
      <c r="R20" s="250" t="s">
        <v>19</v>
      </c>
      <c r="S20" s="42" t="s">
        <v>27</v>
      </c>
      <c r="T20" s="42" t="s">
        <v>19</v>
      </c>
      <c r="U20" s="42" t="s">
        <v>27</v>
      </c>
      <c r="V20" s="42" t="s">
        <v>27</v>
      </c>
      <c r="W20" s="42" t="s">
        <v>27</v>
      </c>
      <c r="X20" s="42" t="s">
        <v>27</v>
      </c>
      <c r="Y20" s="42" t="s">
        <v>27</v>
      </c>
      <c r="Z20" s="42"/>
      <c r="AA20" s="170"/>
      <c r="AB20" s="170"/>
      <c r="AC20" s="42"/>
      <c r="AD20" s="42"/>
      <c r="AE20" s="44"/>
      <c r="AF20" s="46"/>
    </row>
    <row r="21" spans="1:32">
      <c r="A21" s="245" t="s">
        <v>998</v>
      </c>
      <c r="B21" s="246" t="s">
        <v>999</v>
      </c>
      <c r="C21" s="248">
        <v>18</v>
      </c>
      <c r="D21" s="248" t="s">
        <v>35</v>
      </c>
      <c r="E21" s="254">
        <v>944150087</v>
      </c>
      <c r="F21" s="302"/>
      <c r="G21" s="250" t="s">
        <v>19</v>
      </c>
      <c r="H21" s="250" t="s">
        <v>19</v>
      </c>
      <c r="I21" s="250" t="s">
        <v>19</v>
      </c>
      <c r="J21" s="250" t="s">
        <v>19</v>
      </c>
      <c r="K21" s="305" t="s">
        <v>19</v>
      </c>
      <c r="L21" s="250" t="s">
        <v>19</v>
      </c>
      <c r="M21" s="250" t="s">
        <v>19</v>
      </c>
      <c r="N21" s="250" t="s">
        <v>19</v>
      </c>
      <c r="O21" s="250" t="s">
        <v>19</v>
      </c>
      <c r="P21" s="250" t="s">
        <v>19</v>
      </c>
      <c r="Q21" s="302"/>
      <c r="R21" s="250" t="s">
        <v>27</v>
      </c>
      <c r="S21" s="42" t="s">
        <v>27</v>
      </c>
      <c r="T21" s="42" t="s">
        <v>19</v>
      </c>
      <c r="U21" s="42" t="s">
        <v>27</v>
      </c>
      <c r="V21" s="42" t="s">
        <v>27</v>
      </c>
      <c r="W21" s="42" t="s">
        <v>27</v>
      </c>
      <c r="X21" s="42" t="s">
        <v>27</v>
      </c>
      <c r="Y21" s="42" t="s">
        <v>27</v>
      </c>
      <c r="Z21" s="42"/>
      <c r="AA21" s="170"/>
      <c r="AB21" s="170"/>
      <c r="AC21" s="42"/>
      <c r="AD21" s="42"/>
      <c r="AE21" s="44"/>
      <c r="AF21" s="46"/>
    </row>
    <row r="22" spans="1:32">
      <c r="A22" s="245" t="s">
        <v>1002</v>
      </c>
      <c r="B22" s="246" t="s">
        <v>1003</v>
      </c>
      <c r="C22" s="248"/>
      <c r="D22" s="248" t="s">
        <v>35</v>
      </c>
      <c r="E22" s="245">
        <v>980640671</v>
      </c>
      <c r="F22" s="302"/>
      <c r="G22" s="250" t="s">
        <v>19</v>
      </c>
      <c r="H22" s="250" t="s">
        <v>27</v>
      </c>
      <c r="I22" s="250" t="s">
        <v>112</v>
      </c>
      <c r="J22" s="250" t="s">
        <v>27</v>
      </c>
      <c r="K22" s="305" t="s">
        <v>27</v>
      </c>
      <c r="L22" s="250" t="s">
        <v>27</v>
      </c>
      <c r="M22" s="250" t="s">
        <v>27</v>
      </c>
      <c r="N22" s="250" t="s">
        <v>27</v>
      </c>
      <c r="O22" s="250" t="s">
        <v>27</v>
      </c>
      <c r="P22" s="250" t="s">
        <v>27</v>
      </c>
      <c r="Q22" s="302"/>
      <c r="R22" s="250" t="s">
        <v>27</v>
      </c>
      <c r="S22" s="42" t="s">
        <v>27</v>
      </c>
      <c r="T22" s="42" t="s">
        <v>27</v>
      </c>
      <c r="U22" s="42" t="s">
        <v>27</v>
      </c>
      <c r="V22" s="42" t="s">
        <v>27</v>
      </c>
      <c r="W22" s="42" t="s">
        <v>27</v>
      </c>
      <c r="X22" s="42" t="s">
        <v>27</v>
      </c>
      <c r="Y22" s="42" t="s">
        <v>27</v>
      </c>
      <c r="Z22" s="42"/>
      <c r="AA22" s="170"/>
      <c r="AB22" s="170"/>
      <c r="AC22" s="42"/>
      <c r="AD22" s="42"/>
      <c r="AE22" s="44"/>
      <c r="AF22" s="46"/>
    </row>
    <row r="23" spans="1:32">
      <c r="A23" s="245" t="s">
        <v>1006</v>
      </c>
      <c r="B23" s="268" t="s">
        <v>1007</v>
      </c>
      <c r="C23" s="269">
        <v>32</v>
      </c>
      <c r="D23" s="269" t="s">
        <v>26</v>
      </c>
      <c r="E23" s="270">
        <v>921903149</v>
      </c>
      <c r="F23" s="302"/>
      <c r="G23" s="250" t="s">
        <v>19</v>
      </c>
      <c r="H23" s="250" t="s">
        <v>27</v>
      </c>
      <c r="I23" s="250" t="s">
        <v>19</v>
      </c>
      <c r="J23" s="250" t="s">
        <v>27</v>
      </c>
      <c r="K23" s="305" t="s">
        <v>19</v>
      </c>
      <c r="L23" s="250" t="s">
        <v>27</v>
      </c>
      <c r="M23" s="250" t="s">
        <v>27</v>
      </c>
      <c r="N23" s="250" t="s">
        <v>27</v>
      </c>
      <c r="O23" s="250" t="s">
        <v>27</v>
      </c>
      <c r="P23" s="250" t="s">
        <v>27</v>
      </c>
      <c r="Q23" s="302"/>
      <c r="R23" s="250" t="s">
        <v>27</v>
      </c>
      <c r="S23" s="42" t="s">
        <v>27</v>
      </c>
      <c r="T23" s="42" t="s">
        <v>19</v>
      </c>
      <c r="U23" s="42" t="s">
        <v>27</v>
      </c>
      <c r="V23" s="42" t="s">
        <v>27</v>
      </c>
      <c r="W23" s="42" t="s">
        <v>27</v>
      </c>
      <c r="X23" s="42" t="s">
        <v>27</v>
      </c>
      <c r="Y23" s="42" t="s">
        <v>27</v>
      </c>
      <c r="Z23" s="42"/>
      <c r="AA23" s="170"/>
      <c r="AB23" s="170"/>
      <c r="AC23" s="42"/>
      <c r="AD23" s="42"/>
      <c r="AE23" s="44"/>
      <c r="AF23" s="46"/>
    </row>
    <row r="24" spans="1:32">
      <c r="A24" s="245" t="s">
        <v>1010</v>
      </c>
      <c r="B24" s="271" t="s">
        <v>1011</v>
      </c>
      <c r="C24" s="248">
        <v>24</v>
      </c>
      <c r="D24" s="248" t="s">
        <v>35</v>
      </c>
      <c r="E24" s="245">
        <v>983175802</v>
      </c>
      <c r="F24" s="302"/>
      <c r="G24" s="250" t="s">
        <v>19</v>
      </c>
      <c r="H24" s="250" t="s">
        <v>19</v>
      </c>
      <c r="I24" s="250" t="s">
        <v>27</v>
      </c>
      <c r="J24" s="250" t="s">
        <v>27</v>
      </c>
      <c r="K24" s="305" t="s">
        <v>27</v>
      </c>
      <c r="L24" s="250" t="s">
        <v>27</v>
      </c>
      <c r="M24" s="250" t="s">
        <v>27</v>
      </c>
      <c r="N24" s="250" t="s">
        <v>27</v>
      </c>
      <c r="O24" s="250" t="s">
        <v>27</v>
      </c>
      <c r="P24" s="250" t="s">
        <v>19</v>
      </c>
      <c r="Q24" s="302"/>
      <c r="R24" s="250" t="s">
        <v>19</v>
      </c>
      <c r="S24" s="42" t="s">
        <v>27</v>
      </c>
      <c r="T24" s="42" t="s">
        <v>19</v>
      </c>
      <c r="U24" s="42" t="s">
        <v>27</v>
      </c>
      <c r="V24" s="42" t="s">
        <v>27</v>
      </c>
      <c r="W24" s="42" t="s">
        <v>27</v>
      </c>
      <c r="X24" s="42" t="s">
        <v>27</v>
      </c>
      <c r="Y24" s="42" t="s">
        <v>27</v>
      </c>
      <c r="Z24" s="42"/>
      <c r="AA24" s="170"/>
      <c r="AB24" s="170"/>
      <c r="AC24" s="42"/>
      <c r="AD24" s="42"/>
      <c r="AE24" s="44"/>
      <c r="AF24" s="46"/>
    </row>
    <row r="25" spans="1:32">
      <c r="A25" s="245" t="s">
        <v>1012</v>
      </c>
      <c r="B25" s="271" t="s">
        <v>1013</v>
      </c>
      <c r="C25" s="248"/>
      <c r="D25" s="248" t="s">
        <v>26</v>
      </c>
      <c r="E25" s="245">
        <v>910867917</v>
      </c>
      <c r="F25" s="302"/>
      <c r="G25" s="250" t="s">
        <v>19</v>
      </c>
      <c r="H25" s="250" t="s">
        <v>19</v>
      </c>
      <c r="I25" s="250" t="s">
        <v>19</v>
      </c>
      <c r="J25" s="250" t="s">
        <v>19</v>
      </c>
      <c r="K25" s="305" t="s">
        <v>19</v>
      </c>
      <c r="L25" s="250" t="s">
        <v>19</v>
      </c>
      <c r="M25" s="250" t="s">
        <v>19</v>
      </c>
      <c r="N25" s="250" t="s">
        <v>19</v>
      </c>
      <c r="O25" s="250" t="s">
        <v>19</v>
      </c>
      <c r="P25" s="250" t="s">
        <v>19</v>
      </c>
      <c r="Q25" s="302"/>
      <c r="R25" s="250" t="s">
        <v>19</v>
      </c>
      <c r="S25" s="42" t="s">
        <v>19</v>
      </c>
      <c r="T25" s="42" t="s">
        <v>19</v>
      </c>
      <c r="U25" s="42" t="s">
        <v>19</v>
      </c>
      <c r="V25" s="42" t="s">
        <v>19</v>
      </c>
      <c r="W25" s="42" t="s">
        <v>19</v>
      </c>
      <c r="X25" s="42" t="s">
        <v>19</v>
      </c>
      <c r="Y25" s="42" t="s">
        <v>19</v>
      </c>
      <c r="Z25" s="42"/>
      <c r="AA25" s="170"/>
      <c r="AB25" s="170"/>
      <c r="AC25" s="42"/>
      <c r="AD25" s="42"/>
      <c r="AE25" s="44"/>
      <c r="AF25" s="46"/>
    </row>
    <row r="26" spans="1:32">
      <c r="A26" s="245" t="s">
        <v>1014</v>
      </c>
      <c r="B26" s="246" t="s">
        <v>1015</v>
      </c>
      <c r="C26" s="248"/>
      <c r="D26" s="248" t="s">
        <v>35</v>
      </c>
      <c r="E26" s="245">
        <v>912760682</v>
      </c>
      <c r="F26" s="302"/>
      <c r="G26" s="250" t="s">
        <v>19</v>
      </c>
      <c r="H26" s="250" t="s">
        <v>19</v>
      </c>
      <c r="I26" s="250" t="s">
        <v>19</v>
      </c>
      <c r="J26" s="250" t="s">
        <v>19</v>
      </c>
      <c r="K26" s="305" t="s">
        <v>19</v>
      </c>
      <c r="L26" s="250" t="s">
        <v>19</v>
      </c>
      <c r="M26" s="250" t="s">
        <v>19</v>
      </c>
      <c r="N26" s="250" t="s">
        <v>19</v>
      </c>
      <c r="O26" s="250" t="s">
        <v>19</v>
      </c>
      <c r="P26" s="250" t="s">
        <v>19</v>
      </c>
      <c r="Q26" s="302"/>
      <c r="R26" s="250" t="s">
        <v>19</v>
      </c>
      <c r="S26" s="42" t="s">
        <v>19</v>
      </c>
      <c r="T26" s="42" t="s">
        <v>19</v>
      </c>
      <c r="U26" s="42" t="s">
        <v>19</v>
      </c>
      <c r="V26" s="42" t="s">
        <v>19</v>
      </c>
      <c r="W26" s="42" t="s">
        <v>19</v>
      </c>
      <c r="X26" s="42" t="s">
        <v>19</v>
      </c>
      <c r="Y26" s="42" t="s">
        <v>19</v>
      </c>
      <c r="Z26" s="42"/>
      <c r="AA26" s="170"/>
      <c r="AB26" s="170"/>
      <c r="AC26" s="42"/>
      <c r="AD26" s="42"/>
      <c r="AE26" s="44"/>
      <c r="AF26" s="46"/>
    </row>
    <row r="27" spans="1:32">
      <c r="A27" s="245" t="s">
        <v>1016</v>
      </c>
      <c r="B27" s="246" t="s">
        <v>1017</v>
      </c>
      <c r="C27" s="248"/>
      <c r="D27" s="248" t="s">
        <v>35</v>
      </c>
      <c r="E27" s="260" t="s">
        <v>1018</v>
      </c>
      <c r="F27" s="302"/>
      <c r="G27" s="250" t="s">
        <v>19</v>
      </c>
      <c r="H27" s="250" t="s">
        <v>19</v>
      </c>
      <c r="I27" s="250" t="s">
        <v>19</v>
      </c>
      <c r="J27" s="250" t="s">
        <v>19</v>
      </c>
      <c r="K27" s="305" t="s">
        <v>19</v>
      </c>
      <c r="L27" s="250" t="s">
        <v>19</v>
      </c>
      <c r="M27" s="250" t="s">
        <v>19</v>
      </c>
      <c r="N27" s="250" t="s">
        <v>19</v>
      </c>
      <c r="O27" s="250" t="s">
        <v>19</v>
      </c>
      <c r="P27" s="250" t="s">
        <v>27</v>
      </c>
      <c r="Q27" s="302"/>
      <c r="R27" s="250" t="s">
        <v>19</v>
      </c>
      <c r="S27" s="42" t="s">
        <v>27</v>
      </c>
      <c r="T27" s="42" t="s">
        <v>19</v>
      </c>
      <c r="U27" s="42" t="s">
        <v>27</v>
      </c>
      <c r="V27" s="42" t="s">
        <v>27</v>
      </c>
      <c r="W27" s="42" t="s">
        <v>27</v>
      </c>
      <c r="X27" s="42" t="s">
        <v>27</v>
      </c>
      <c r="Y27" s="42" t="s">
        <v>27</v>
      </c>
      <c r="Z27" s="42"/>
      <c r="AA27" s="170"/>
      <c r="AB27" s="170"/>
      <c r="AC27" s="42"/>
      <c r="AD27" s="42"/>
      <c r="AE27" s="44"/>
      <c r="AF27" s="46"/>
    </row>
    <row r="28" spans="1:32">
      <c r="A28" s="245" t="s">
        <v>1019</v>
      </c>
      <c r="B28" s="246" t="s">
        <v>1020</v>
      </c>
      <c r="C28" s="248">
        <v>23</v>
      </c>
      <c r="D28" s="248" t="s">
        <v>35</v>
      </c>
      <c r="E28" s="254">
        <v>919489288</v>
      </c>
      <c r="F28" s="302"/>
      <c r="G28" s="250" t="s">
        <v>19</v>
      </c>
      <c r="H28" s="250" t="s">
        <v>27</v>
      </c>
      <c r="I28" s="250" t="s">
        <v>27</v>
      </c>
      <c r="J28" s="250" t="s">
        <v>27</v>
      </c>
      <c r="K28" s="305" t="s">
        <v>27</v>
      </c>
      <c r="L28" s="250" t="s">
        <v>27</v>
      </c>
      <c r="M28" s="250" t="s">
        <v>27</v>
      </c>
      <c r="N28" s="250" t="s">
        <v>27</v>
      </c>
      <c r="O28" s="250" t="s">
        <v>27</v>
      </c>
      <c r="P28" s="250" t="s">
        <v>27</v>
      </c>
      <c r="Q28" s="302"/>
      <c r="R28" s="250" t="s">
        <v>27</v>
      </c>
      <c r="S28" s="42" t="s">
        <v>27</v>
      </c>
      <c r="T28" s="42" t="s">
        <v>27</v>
      </c>
      <c r="U28" s="42" t="s">
        <v>27</v>
      </c>
      <c r="V28" s="42" t="s">
        <v>27</v>
      </c>
      <c r="W28" s="42" t="s">
        <v>27</v>
      </c>
      <c r="X28" s="42" t="s">
        <v>27</v>
      </c>
      <c r="Y28" s="42" t="s">
        <v>27</v>
      </c>
      <c r="Z28" s="42"/>
      <c r="AA28" s="170"/>
      <c r="AB28" s="170"/>
      <c r="AC28" s="42"/>
      <c r="AD28" s="42"/>
      <c r="AE28" s="44"/>
      <c r="AF28" s="46"/>
    </row>
    <row r="29" spans="1:32">
      <c r="A29" s="245" t="s">
        <v>1021</v>
      </c>
      <c r="B29" s="246" t="s">
        <v>1022</v>
      </c>
      <c r="C29" s="248"/>
      <c r="D29" s="248" t="s">
        <v>26</v>
      </c>
      <c r="E29" s="254">
        <v>919489937</v>
      </c>
      <c r="F29" s="302"/>
      <c r="G29" s="250" t="s">
        <v>19</v>
      </c>
      <c r="H29" s="250" t="s">
        <v>27</v>
      </c>
      <c r="I29" s="250" t="s">
        <v>19</v>
      </c>
      <c r="J29" s="250" t="s">
        <v>19</v>
      </c>
      <c r="K29" s="305" t="s">
        <v>19</v>
      </c>
      <c r="L29" s="250" t="s">
        <v>19</v>
      </c>
      <c r="M29" s="250" t="s">
        <v>27</v>
      </c>
      <c r="N29" s="250" t="s">
        <v>27</v>
      </c>
      <c r="O29" s="250" t="s">
        <v>27</v>
      </c>
      <c r="P29" s="250" t="s">
        <v>19</v>
      </c>
      <c r="Q29" s="302"/>
      <c r="R29" s="250" t="s">
        <v>19</v>
      </c>
      <c r="S29" s="42" t="s">
        <v>27</v>
      </c>
      <c r="T29" s="42" t="s">
        <v>19</v>
      </c>
      <c r="U29" s="42" t="s">
        <v>27</v>
      </c>
      <c r="V29" s="42" t="s">
        <v>27</v>
      </c>
      <c r="W29" s="42" t="s">
        <v>19</v>
      </c>
      <c r="X29" s="42" t="s">
        <v>19</v>
      </c>
      <c r="Y29" s="42" t="s">
        <v>19</v>
      </c>
      <c r="Z29" s="42"/>
      <c r="AA29" s="170"/>
      <c r="AB29" s="170"/>
      <c r="AC29" s="42"/>
      <c r="AD29" s="42"/>
      <c r="AE29" s="44"/>
      <c r="AF29" s="46"/>
    </row>
    <row r="30" spans="1:32">
      <c r="A30" s="245" t="s">
        <v>1023</v>
      </c>
      <c r="B30" s="250" t="s">
        <v>1024</v>
      </c>
      <c r="C30" s="247">
        <v>23</v>
      </c>
      <c r="D30" s="247" t="s">
        <v>35</v>
      </c>
      <c r="E30" s="245">
        <v>942405300</v>
      </c>
      <c r="F30" s="302"/>
      <c r="G30" s="250" t="s">
        <v>19</v>
      </c>
      <c r="H30" s="250" t="s">
        <v>19</v>
      </c>
      <c r="I30" s="250" t="s">
        <v>19</v>
      </c>
      <c r="J30" s="250" t="s">
        <v>19</v>
      </c>
      <c r="K30" s="305" t="s">
        <v>19</v>
      </c>
      <c r="L30" s="250" t="s">
        <v>19</v>
      </c>
      <c r="M30" s="250" t="s">
        <v>19</v>
      </c>
      <c r="N30" s="250" t="s">
        <v>19</v>
      </c>
      <c r="O30" s="250" t="s">
        <v>19</v>
      </c>
      <c r="P30" s="250" t="s">
        <v>19</v>
      </c>
      <c r="Q30" s="302"/>
      <c r="R30" s="250" t="s">
        <v>19</v>
      </c>
      <c r="S30" s="42" t="s">
        <v>19</v>
      </c>
      <c r="T30" s="42" t="s">
        <v>19</v>
      </c>
      <c r="U30" s="42" t="s">
        <v>19</v>
      </c>
      <c r="V30" s="42" t="s">
        <v>19</v>
      </c>
      <c r="W30" s="42" t="s">
        <v>19</v>
      </c>
      <c r="X30" s="42" t="s">
        <v>19</v>
      </c>
      <c r="Y30" s="42" t="s">
        <v>19</v>
      </c>
      <c r="Z30" s="42"/>
      <c r="AA30" s="170"/>
      <c r="AB30" s="170"/>
      <c r="AC30" s="42"/>
      <c r="AD30" s="42"/>
      <c r="AE30" s="44"/>
      <c r="AF30" s="46"/>
    </row>
    <row r="31" spans="1:32">
      <c r="A31" s="245" t="s">
        <v>1025</v>
      </c>
      <c r="B31" s="250" t="s">
        <v>1026</v>
      </c>
      <c r="C31" s="247">
        <v>18</v>
      </c>
      <c r="D31" s="247" t="s">
        <v>35</v>
      </c>
      <c r="E31" s="245">
        <v>976034815</v>
      </c>
      <c r="F31" s="302"/>
      <c r="G31" s="250" t="s">
        <v>19</v>
      </c>
      <c r="H31" s="250" t="s">
        <v>19</v>
      </c>
      <c r="I31" s="250" t="s">
        <v>19</v>
      </c>
      <c r="J31" s="250" t="s">
        <v>19</v>
      </c>
      <c r="K31" s="305" t="s">
        <v>19</v>
      </c>
      <c r="L31" s="250" t="s">
        <v>19</v>
      </c>
      <c r="M31" s="250" t="s">
        <v>19</v>
      </c>
      <c r="N31" s="250" t="s">
        <v>19</v>
      </c>
      <c r="O31" s="250" t="s">
        <v>19</v>
      </c>
      <c r="P31" s="250" t="s">
        <v>19</v>
      </c>
      <c r="Q31" s="302"/>
      <c r="R31" s="250" t="s">
        <v>19</v>
      </c>
      <c r="S31" s="42" t="s">
        <v>19</v>
      </c>
      <c r="T31" s="42" t="s">
        <v>19</v>
      </c>
      <c r="U31" s="42" t="s">
        <v>19</v>
      </c>
      <c r="V31" s="42" t="s">
        <v>19</v>
      </c>
      <c r="W31" s="42" t="s">
        <v>19</v>
      </c>
      <c r="X31" s="42" t="s">
        <v>19</v>
      </c>
      <c r="Y31" s="42" t="s">
        <v>19</v>
      </c>
      <c r="Z31" s="42"/>
      <c r="AA31" s="170"/>
      <c r="AB31" s="170"/>
      <c r="AC31" s="42"/>
      <c r="AD31" s="42"/>
      <c r="AE31" s="44"/>
      <c r="AF31" s="46"/>
    </row>
    <row r="32" spans="1:32">
      <c r="A32" s="245" t="s">
        <v>1027</v>
      </c>
      <c r="B32" s="250" t="s">
        <v>1028</v>
      </c>
      <c r="C32" s="247">
        <v>29</v>
      </c>
      <c r="D32" s="247" t="s">
        <v>35</v>
      </c>
      <c r="E32" s="245">
        <v>942407592</v>
      </c>
      <c r="F32" s="302"/>
      <c r="G32" s="250" t="s">
        <v>19</v>
      </c>
      <c r="H32" s="250" t="s">
        <v>27</v>
      </c>
      <c r="I32" s="250" t="s">
        <v>19</v>
      </c>
      <c r="J32" s="250" t="s">
        <v>27</v>
      </c>
      <c r="K32" s="305" t="s">
        <v>19</v>
      </c>
      <c r="L32" s="250" t="s">
        <v>27</v>
      </c>
      <c r="M32" s="250" t="s">
        <v>27</v>
      </c>
      <c r="N32" s="250" t="s">
        <v>27</v>
      </c>
      <c r="O32" s="250" t="s">
        <v>27</v>
      </c>
      <c r="P32" s="250" t="s">
        <v>27</v>
      </c>
      <c r="Q32" s="302"/>
      <c r="R32" s="250" t="s">
        <v>19</v>
      </c>
      <c r="S32" s="42" t="s">
        <v>27</v>
      </c>
      <c r="T32" s="42" t="s">
        <v>19</v>
      </c>
      <c r="U32" s="42" t="s">
        <v>27</v>
      </c>
      <c r="V32" s="42" t="s">
        <v>27</v>
      </c>
      <c r="W32" s="42" t="s">
        <v>27</v>
      </c>
      <c r="X32" s="42" t="s">
        <v>27</v>
      </c>
      <c r="Y32" s="42" t="s">
        <v>27</v>
      </c>
      <c r="Z32" s="42"/>
      <c r="AA32" s="170"/>
      <c r="AB32" s="170"/>
      <c r="AC32" s="42"/>
      <c r="AD32" s="42"/>
      <c r="AE32" s="44"/>
      <c r="AF32" s="46"/>
    </row>
    <row r="33" spans="1:32">
      <c r="A33" s="245" t="s">
        <v>1029</v>
      </c>
      <c r="B33" s="275" t="s">
        <v>1030</v>
      </c>
      <c r="C33" s="276">
        <v>28</v>
      </c>
      <c r="D33" s="276" t="s">
        <v>35</v>
      </c>
      <c r="E33" s="276">
        <v>914717574</v>
      </c>
      <c r="F33" s="302"/>
      <c r="G33" s="250" t="s">
        <v>19</v>
      </c>
      <c r="H33" s="250" t="s">
        <v>19</v>
      </c>
      <c r="I33" s="250" t="s">
        <v>27</v>
      </c>
      <c r="J33" s="250" t="s">
        <v>27</v>
      </c>
      <c r="K33" s="305" t="s">
        <v>19</v>
      </c>
      <c r="L33" s="250" t="s">
        <v>27</v>
      </c>
      <c r="M33" s="250" t="s">
        <v>27</v>
      </c>
      <c r="N33" s="250" t="s">
        <v>27</v>
      </c>
      <c r="O33" s="250" t="s">
        <v>27</v>
      </c>
      <c r="P33" s="250" t="s">
        <v>27</v>
      </c>
      <c r="Q33" s="302"/>
      <c r="R33" s="250" t="s">
        <v>27</v>
      </c>
      <c r="S33" s="42" t="s">
        <v>27</v>
      </c>
      <c r="T33" s="42" t="s">
        <v>19</v>
      </c>
      <c r="U33" s="42" t="s">
        <v>27</v>
      </c>
      <c r="V33" s="42" t="s">
        <v>27</v>
      </c>
      <c r="W33" s="42" t="s">
        <v>27</v>
      </c>
      <c r="X33" s="42" t="s">
        <v>27</v>
      </c>
      <c r="Y33" s="42" t="s">
        <v>27</v>
      </c>
      <c r="Z33" s="42"/>
      <c r="AA33" s="170"/>
      <c r="AB33" s="170"/>
      <c r="AC33" s="42"/>
      <c r="AD33" s="42"/>
      <c r="AE33" s="44"/>
      <c r="AF33" s="46"/>
    </row>
    <row r="34" spans="1:32" ht="13.2">
      <c r="A34" s="245" t="s">
        <v>1031</v>
      </c>
      <c r="B34" s="275" t="s">
        <v>934</v>
      </c>
      <c r="C34" s="276">
        <v>23</v>
      </c>
      <c r="D34" s="276" t="s">
        <v>35</v>
      </c>
      <c r="E34" s="276">
        <v>945161075</v>
      </c>
      <c r="F34" s="302"/>
      <c r="G34" s="250" t="s">
        <v>19</v>
      </c>
      <c r="H34" s="250" t="s">
        <v>19</v>
      </c>
      <c r="I34" s="250" t="s">
        <v>27</v>
      </c>
      <c r="J34" s="250" t="s">
        <v>27</v>
      </c>
      <c r="K34" s="305" t="s">
        <v>27</v>
      </c>
      <c r="L34" s="250" t="s">
        <v>27</v>
      </c>
      <c r="M34" s="250" t="s">
        <v>27</v>
      </c>
      <c r="N34" s="250" t="s">
        <v>27</v>
      </c>
      <c r="O34" s="250" t="s">
        <v>27</v>
      </c>
      <c r="P34" s="250" t="s">
        <v>27</v>
      </c>
      <c r="Q34" s="302"/>
      <c r="R34" s="250" t="s">
        <v>19</v>
      </c>
      <c r="S34" s="42" t="s">
        <v>19</v>
      </c>
      <c r="T34" s="42" t="s">
        <v>19</v>
      </c>
      <c r="U34" s="42" t="s">
        <v>19</v>
      </c>
      <c r="V34" s="42" t="s">
        <v>19</v>
      </c>
      <c r="W34" s="42" t="s">
        <v>19</v>
      </c>
      <c r="X34" s="42" t="s">
        <v>19</v>
      </c>
      <c r="Y34" s="42" t="s">
        <v>19</v>
      </c>
      <c r="Z34" s="42"/>
      <c r="AA34" s="170"/>
      <c r="AB34" s="170"/>
      <c r="AC34" s="42"/>
      <c r="AD34" s="42"/>
      <c r="AE34" s="44"/>
      <c r="AF34" s="46"/>
    </row>
    <row r="35" spans="1:32" ht="13.2">
      <c r="A35" s="245" t="s">
        <v>1032</v>
      </c>
      <c r="B35" s="275" t="s">
        <v>1033</v>
      </c>
      <c r="C35" s="276">
        <v>19</v>
      </c>
      <c r="D35" s="276" t="s">
        <v>35</v>
      </c>
      <c r="E35" s="276">
        <v>936560435</v>
      </c>
      <c r="F35" s="302"/>
      <c r="G35" s="250" t="s">
        <v>19</v>
      </c>
      <c r="H35" s="250" t="s">
        <v>19</v>
      </c>
      <c r="I35" s="250" t="s">
        <v>27</v>
      </c>
      <c r="J35" s="250" t="s">
        <v>27</v>
      </c>
      <c r="K35" s="305" t="s">
        <v>27</v>
      </c>
      <c r="L35" s="250" t="s">
        <v>27</v>
      </c>
      <c r="M35" s="250" t="s">
        <v>27</v>
      </c>
      <c r="N35" s="250" t="s">
        <v>27</v>
      </c>
      <c r="O35" s="250" t="s">
        <v>27</v>
      </c>
      <c r="P35" s="250" t="s">
        <v>27</v>
      </c>
      <c r="Q35" s="302"/>
      <c r="R35" s="250" t="s">
        <v>19</v>
      </c>
      <c r="S35" s="42" t="s">
        <v>19</v>
      </c>
      <c r="T35" s="42" t="s">
        <v>19</v>
      </c>
      <c r="U35" s="42" t="s">
        <v>19</v>
      </c>
      <c r="V35" s="42" t="s">
        <v>19</v>
      </c>
      <c r="W35" s="42" t="s">
        <v>27</v>
      </c>
      <c r="X35" s="42" t="s">
        <v>27</v>
      </c>
      <c r="Y35" s="42" t="s">
        <v>27</v>
      </c>
      <c r="Z35" s="42"/>
      <c r="AA35" s="170"/>
      <c r="AB35" s="170"/>
      <c r="AC35" s="42"/>
      <c r="AD35" s="42"/>
      <c r="AE35" s="44"/>
      <c r="AF35" s="46"/>
    </row>
    <row r="36" spans="1:32" ht="13.2">
      <c r="A36" s="245" t="s">
        <v>1034</v>
      </c>
      <c r="B36" s="275" t="s">
        <v>1035</v>
      </c>
      <c r="C36" s="276">
        <v>25</v>
      </c>
      <c r="D36" s="276" t="s">
        <v>26</v>
      </c>
      <c r="E36" s="276">
        <v>943758197</v>
      </c>
      <c r="F36" s="302"/>
      <c r="G36" s="250" t="s">
        <v>19</v>
      </c>
      <c r="H36" s="250" t="s">
        <v>19</v>
      </c>
      <c r="I36" s="250" t="s">
        <v>19</v>
      </c>
      <c r="J36" s="250" t="s">
        <v>19</v>
      </c>
      <c r="K36" s="305" t="s">
        <v>19</v>
      </c>
      <c r="L36" s="250" t="s">
        <v>19</v>
      </c>
      <c r="M36" s="250" t="s">
        <v>19</v>
      </c>
      <c r="N36" s="250" t="s">
        <v>19</v>
      </c>
      <c r="O36" s="250" t="s">
        <v>19</v>
      </c>
      <c r="P36" s="250" t="s">
        <v>19</v>
      </c>
      <c r="Q36" s="302"/>
      <c r="R36" s="250" t="s">
        <v>19</v>
      </c>
      <c r="S36" s="42" t="s">
        <v>27</v>
      </c>
      <c r="T36" s="42" t="s">
        <v>19</v>
      </c>
      <c r="U36" s="42" t="s">
        <v>27</v>
      </c>
      <c r="V36" s="42" t="s">
        <v>27</v>
      </c>
      <c r="W36" s="42" t="s">
        <v>27</v>
      </c>
      <c r="X36" s="42" t="s">
        <v>27</v>
      </c>
      <c r="Y36" s="42" t="s">
        <v>27</v>
      </c>
      <c r="Z36" s="42"/>
      <c r="AA36" s="170"/>
      <c r="AB36" s="170"/>
      <c r="AC36" s="42"/>
      <c r="AD36" s="42"/>
      <c r="AE36" s="44"/>
      <c r="AF36" s="46"/>
    </row>
    <row r="37" spans="1:32" ht="13.2">
      <c r="A37" s="245" t="s">
        <v>1036</v>
      </c>
      <c r="B37" s="275" t="s">
        <v>989</v>
      </c>
      <c r="C37" s="276">
        <v>31</v>
      </c>
      <c r="D37" s="276" t="s">
        <v>35</v>
      </c>
      <c r="E37" s="276">
        <v>935665389</v>
      </c>
      <c r="F37" s="302"/>
      <c r="G37" s="250" t="s">
        <v>19</v>
      </c>
      <c r="H37" s="250" t="s">
        <v>19</v>
      </c>
      <c r="I37" s="250" t="s">
        <v>19</v>
      </c>
      <c r="J37" s="250" t="s">
        <v>19</v>
      </c>
      <c r="K37" s="305" t="s">
        <v>19</v>
      </c>
      <c r="L37" s="250" t="s">
        <v>19</v>
      </c>
      <c r="M37" s="250" t="s">
        <v>19</v>
      </c>
      <c r="N37" s="250" t="s">
        <v>19</v>
      </c>
      <c r="O37" s="250" t="s">
        <v>19</v>
      </c>
      <c r="P37" s="250" t="s">
        <v>19</v>
      </c>
      <c r="Q37" s="302"/>
      <c r="R37" s="250" t="s">
        <v>27</v>
      </c>
      <c r="S37" s="42" t="s">
        <v>27</v>
      </c>
      <c r="T37" s="42" t="s">
        <v>19</v>
      </c>
      <c r="U37" s="42" t="s">
        <v>27</v>
      </c>
      <c r="V37" s="42" t="s">
        <v>27</v>
      </c>
      <c r="W37" s="42" t="s">
        <v>27</v>
      </c>
      <c r="X37" s="42" t="s">
        <v>27</v>
      </c>
      <c r="Y37" s="42" t="s">
        <v>27</v>
      </c>
      <c r="Z37" s="42"/>
      <c r="AA37" s="170"/>
      <c r="AB37" s="170"/>
      <c r="AC37" s="42"/>
      <c r="AD37" s="42"/>
      <c r="AE37" s="44"/>
      <c r="AF37" s="46"/>
    </row>
    <row r="38" spans="1:32" ht="13.2">
      <c r="A38" s="245" t="s">
        <v>1037</v>
      </c>
      <c r="B38" s="275" t="s">
        <v>1038</v>
      </c>
      <c r="C38" s="276">
        <v>30</v>
      </c>
      <c r="D38" s="276" t="s">
        <v>26</v>
      </c>
      <c r="E38" s="276">
        <v>925882714</v>
      </c>
      <c r="F38" s="302"/>
      <c r="G38" s="250" t="s">
        <v>27</v>
      </c>
      <c r="H38" s="250" t="s">
        <v>27</v>
      </c>
      <c r="I38" s="250" t="s">
        <v>19</v>
      </c>
      <c r="J38" s="250" t="s">
        <v>27</v>
      </c>
      <c r="K38" s="305" t="s">
        <v>27</v>
      </c>
      <c r="L38" s="250" t="s">
        <v>27</v>
      </c>
      <c r="M38" s="250" t="s">
        <v>27</v>
      </c>
      <c r="N38" s="250" t="s">
        <v>27</v>
      </c>
      <c r="O38" s="250" t="s">
        <v>27</v>
      </c>
      <c r="P38" s="250" t="s">
        <v>27</v>
      </c>
      <c r="Q38" s="302"/>
      <c r="R38" s="250" t="s">
        <v>19</v>
      </c>
      <c r="S38" s="42" t="s">
        <v>19</v>
      </c>
      <c r="T38" s="42" t="s">
        <v>27</v>
      </c>
      <c r="U38" s="42" t="s">
        <v>27</v>
      </c>
      <c r="V38" s="42" t="s">
        <v>27</v>
      </c>
      <c r="W38" s="42" t="s">
        <v>27</v>
      </c>
      <c r="X38" s="42" t="s">
        <v>27</v>
      </c>
      <c r="Y38" s="42" t="s">
        <v>27</v>
      </c>
      <c r="Z38" s="42"/>
      <c r="AA38" s="170"/>
      <c r="AB38" s="170"/>
      <c r="AC38" s="42"/>
      <c r="AD38" s="42"/>
      <c r="AE38" s="44"/>
      <c r="AF38" s="46"/>
    </row>
    <row r="39" spans="1:32" ht="13.2">
      <c r="A39" s="245" t="s">
        <v>1039</v>
      </c>
      <c r="B39" s="275" t="s">
        <v>1040</v>
      </c>
      <c r="C39" s="276">
        <v>22</v>
      </c>
      <c r="D39" s="276" t="s">
        <v>35</v>
      </c>
      <c r="E39" s="276">
        <v>965648411</v>
      </c>
      <c r="F39" s="302"/>
      <c r="G39" s="250" t="s">
        <v>19</v>
      </c>
      <c r="H39" s="250" t="s">
        <v>19</v>
      </c>
      <c r="I39" s="250" t="s">
        <v>19</v>
      </c>
      <c r="J39" s="250" t="s">
        <v>19</v>
      </c>
      <c r="K39" s="305" t="s">
        <v>19</v>
      </c>
      <c r="L39" s="250" t="s">
        <v>19</v>
      </c>
      <c r="M39" s="250" t="s">
        <v>19</v>
      </c>
      <c r="N39" s="250" t="s">
        <v>19</v>
      </c>
      <c r="O39" s="250" t="s">
        <v>19</v>
      </c>
      <c r="P39" s="250" t="s">
        <v>19</v>
      </c>
      <c r="Q39" s="302"/>
      <c r="R39" s="250" t="s">
        <v>27</v>
      </c>
      <c r="S39" s="42" t="s">
        <v>27</v>
      </c>
      <c r="T39" s="42" t="s">
        <v>19</v>
      </c>
      <c r="U39" s="42" t="s">
        <v>27</v>
      </c>
      <c r="V39" s="42" t="s">
        <v>27</v>
      </c>
      <c r="W39" s="42" t="s">
        <v>27</v>
      </c>
      <c r="X39" s="42" t="s">
        <v>27</v>
      </c>
      <c r="Y39" s="42" t="s">
        <v>27</v>
      </c>
      <c r="Z39" s="42"/>
      <c r="AA39" s="170"/>
      <c r="AB39" s="170"/>
      <c r="AC39" s="42"/>
      <c r="AD39" s="42"/>
      <c r="AE39" s="44"/>
      <c r="AF39" s="46"/>
    </row>
    <row r="40" spans="1:32" ht="13.2">
      <c r="A40" s="245" t="s">
        <v>1041</v>
      </c>
      <c r="B40" s="275" t="s">
        <v>1042</v>
      </c>
      <c r="C40" s="276">
        <v>29</v>
      </c>
      <c r="D40" s="276" t="s">
        <v>26</v>
      </c>
      <c r="E40" s="276">
        <v>920725828</v>
      </c>
      <c r="F40" s="302"/>
      <c r="G40" s="250" t="s">
        <v>27</v>
      </c>
      <c r="H40" s="250" t="s">
        <v>27</v>
      </c>
      <c r="I40" s="250" t="s">
        <v>27</v>
      </c>
      <c r="J40" s="250" t="s">
        <v>27</v>
      </c>
      <c r="K40" s="305" t="s">
        <v>27</v>
      </c>
      <c r="L40" s="250" t="s">
        <v>27</v>
      </c>
      <c r="M40" s="250" t="s">
        <v>27</v>
      </c>
      <c r="N40" s="250" t="s">
        <v>27</v>
      </c>
      <c r="O40" s="250" t="s">
        <v>27</v>
      </c>
      <c r="P40" s="250" t="s">
        <v>27</v>
      </c>
      <c r="Q40" s="302"/>
      <c r="R40" s="250" t="s">
        <v>19</v>
      </c>
      <c r="S40" s="42" t="s">
        <v>19</v>
      </c>
      <c r="T40" s="42" t="s">
        <v>27</v>
      </c>
      <c r="U40" s="42" t="s">
        <v>27</v>
      </c>
      <c r="V40" s="42" t="s">
        <v>27</v>
      </c>
      <c r="W40" s="42" t="s">
        <v>27</v>
      </c>
      <c r="X40" s="42" t="s">
        <v>27</v>
      </c>
      <c r="Y40" s="42" t="s">
        <v>27</v>
      </c>
      <c r="Z40" s="42"/>
      <c r="AA40" s="170"/>
      <c r="AB40" s="170"/>
      <c r="AC40" s="42"/>
      <c r="AD40" s="42"/>
      <c r="AE40" s="44"/>
      <c r="AF40" s="46"/>
    </row>
    <row r="41" spans="1:32" ht="13.2">
      <c r="A41" s="245" t="s">
        <v>1043</v>
      </c>
      <c r="B41" s="275" t="s">
        <v>1044</v>
      </c>
      <c r="C41" s="276">
        <v>35</v>
      </c>
      <c r="D41" s="276" t="s">
        <v>26</v>
      </c>
      <c r="E41" s="276">
        <v>911735083</v>
      </c>
      <c r="F41" s="302"/>
      <c r="G41" s="250" t="s">
        <v>19</v>
      </c>
      <c r="H41" s="250" t="s">
        <v>19</v>
      </c>
      <c r="I41" s="250" t="s">
        <v>19</v>
      </c>
      <c r="J41" s="250" t="s">
        <v>19</v>
      </c>
      <c r="K41" s="305" t="s">
        <v>19</v>
      </c>
      <c r="L41" s="250" t="s">
        <v>19</v>
      </c>
      <c r="M41" s="250" t="s">
        <v>19</v>
      </c>
      <c r="N41" s="250" t="s">
        <v>19</v>
      </c>
      <c r="O41" s="250" t="s">
        <v>19</v>
      </c>
      <c r="P41" s="250" t="s">
        <v>19</v>
      </c>
      <c r="Q41" s="302"/>
      <c r="R41" s="250" t="s">
        <v>27</v>
      </c>
      <c r="S41" s="42" t="s">
        <v>27</v>
      </c>
      <c r="T41" s="42" t="s">
        <v>19</v>
      </c>
      <c r="U41" s="42" t="s">
        <v>27</v>
      </c>
      <c r="V41" s="42" t="s">
        <v>27</v>
      </c>
      <c r="W41" s="42" t="s">
        <v>27</v>
      </c>
      <c r="X41" s="42" t="s">
        <v>27</v>
      </c>
      <c r="Y41" s="42" t="s">
        <v>27</v>
      </c>
      <c r="Z41" s="42"/>
      <c r="AA41" s="170"/>
      <c r="AB41" s="170"/>
      <c r="AC41" s="42"/>
      <c r="AD41" s="42"/>
      <c r="AE41" s="44"/>
      <c r="AF41" s="46"/>
    </row>
    <row r="42" spans="1:32" ht="13.2">
      <c r="A42" s="245" t="s">
        <v>1045</v>
      </c>
      <c r="B42" s="275" t="s">
        <v>1046</v>
      </c>
      <c r="C42" s="276">
        <v>38</v>
      </c>
      <c r="D42" s="276" t="s">
        <v>26</v>
      </c>
      <c r="E42" s="276">
        <v>911134547</v>
      </c>
      <c r="F42" s="302"/>
      <c r="G42" s="250" t="s">
        <v>27</v>
      </c>
      <c r="H42" s="250" t="s">
        <v>27</v>
      </c>
      <c r="I42" s="250" t="s">
        <v>27</v>
      </c>
      <c r="J42" s="250" t="s">
        <v>27</v>
      </c>
      <c r="K42" s="305" t="s">
        <v>27</v>
      </c>
      <c r="L42" s="250" t="s">
        <v>27</v>
      </c>
      <c r="M42" s="250" t="s">
        <v>27</v>
      </c>
      <c r="N42" s="250" t="s">
        <v>27</v>
      </c>
      <c r="O42" s="250" t="s">
        <v>27</v>
      </c>
      <c r="P42" s="250" t="s">
        <v>27</v>
      </c>
      <c r="Q42" s="302"/>
      <c r="R42" s="250" t="s">
        <v>19</v>
      </c>
      <c r="S42" s="42" t="s">
        <v>19</v>
      </c>
      <c r="T42" s="42" t="s">
        <v>27</v>
      </c>
      <c r="U42" s="42" t="s">
        <v>27</v>
      </c>
      <c r="V42" s="42" t="s">
        <v>27</v>
      </c>
      <c r="W42" s="42" t="s">
        <v>27</v>
      </c>
      <c r="X42" s="42" t="s">
        <v>27</v>
      </c>
      <c r="Y42" s="42" t="s">
        <v>27</v>
      </c>
      <c r="Z42" s="42"/>
      <c r="AA42" s="170"/>
      <c r="AB42" s="170"/>
      <c r="AC42" s="42"/>
      <c r="AD42" s="42"/>
      <c r="AE42" s="44"/>
      <c r="AF42" s="46"/>
    </row>
    <row r="43" spans="1:32" ht="13.2">
      <c r="A43" s="245" t="s">
        <v>1047</v>
      </c>
      <c r="B43" s="275" t="s">
        <v>1048</v>
      </c>
      <c r="C43" s="276">
        <v>19</v>
      </c>
      <c r="D43" s="276" t="s">
        <v>35</v>
      </c>
      <c r="E43" s="277"/>
      <c r="F43" s="302"/>
      <c r="G43" s="250" t="s">
        <v>19</v>
      </c>
      <c r="H43" s="250" t="s">
        <v>19</v>
      </c>
      <c r="I43" s="250" t="s">
        <v>19</v>
      </c>
      <c r="J43" s="250" t="s">
        <v>19</v>
      </c>
      <c r="K43" s="305" t="s">
        <v>19</v>
      </c>
      <c r="L43" s="250" t="s">
        <v>19</v>
      </c>
      <c r="M43" s="250" t="s">
        <v>19</v>
      </c>
      <c r="N43" s="250" t="s">
        <v>19</v>
      </c>
      <c r="O43" s="250" t="s">
        <v>19</v>
      </c>
      <c r="P43" s="250" t="s">
        <v>19</v>
      </c>
      <c r="Q43" s="302"/>
      <c r="R43" s="250" t="s">
        <v>19</v>
      </c>
      <c r="S43" s="42" t="s">
        <v>19</v>
      </c>
      <c r="T43" s="42" t="s">
        <v>19</v>
      </c>
      <c r="U43" s="42" t="s">
        <v>19</v>
      </c>
      <c r="V43" s="42" t="s">
        <v>19</v>
      </c>
      <c r="W43" s="42" t="s">
        <v>19</v>
      </c>
      <c r="X43" s="42" t="s">
        <v>19</v>
      </c>
      <c r="Y43" s="42" t="s">
        <v>19</v>
      </c>
      <c r="Z43" s="42"/>
      <c r="AA43" s="170"/>
      <c r="AB43" s="170"/>
      <c r="AC43" s="42"/>
      <c r="AD43" s="42"/>
      <c r="AE43" s="44"/>
      <c r="AF43" s="46"/>
    </row>
    <row r="44" spans="1:32" ht="13.2">
      <c r="A44" s="245" t="s">
        <v>1049</v>
      </c>
      <c r="B44" s="275" t="s">
        <v>1050</v>
      </c>
      <c r="C44" s="276">
        <v>23</v>
      </c>
      <c r="D44" s="276" t="s">
        <v>35</v>
      </c>
      <c r="E44" s="277"/>
      <c r="F44" s="302"/>
      <c r="G44" s="250" t="s">
        <v>19</v>
      </c>
      <c r="H44" s="250" t="s">
        <v>19</v>
      </c>
      <c r="I44" s="250" t="s">
        <v>19</v>
      </c>
      <c r="J44" s="250" t="s">
        <v>19</v>
      </c>
      <c r="K44" s="305" t="s">
        <v>19</v>
      </c>
      <c r="L44" s="250" t="s">
        <v>19</v>
      </c>
      <c r="M44" s="250" t="s">
        <v>19</v>
      </c>
      <c r="N44" s="250" t="s">
        <v>19</v>
      </c>
      <c r="O44" s="250" t="s">
        <v>19</v>
      </c>
      <c r="P44" s="250" t="s">
        <v>19</v>
      </c>
      <c r="Q44" s="302"/>
      <c r="R44" s="250" t="s">
        <v>19</v>
      </c>
      <c r="S44" s="42" t="s">
        <v>19</v>
      </c>
      <c r="T44" s="42" t="s">
        <v>19</v>
      </c>
      <c r="U44" s="42" t="s">
        <v>19</v>
      </c>
      <c r="V44" s="42" t="s">
        <v>19</v>
      </c>
      <c r="W44" s="42" t="s">
        <v>19</v>
      </c>
      <c r="X44" s="42" t="s">
        <v>19</v>
      </c>
      <c r="Y44" s="42" t="s">
        <v>19</v>
      </c>
      <c r="Z44" s="42"/>
      <c r="AA44" s="170"/>
      <c r="AB44" s="170"/>
      <c r="AC44" s="42"/>
      <c r="AD44" s="42"/>
      <c r="AE44" s="44"/>
      <c r="AF44" s="46"/>
    </row>
    <row r="45" spans="1:32" ht="13.2">
      <c r="A45" s="245" t="s">
        <v>1051</v>
      </c>
      <c r="B45" s="275" t="s">
        <v>1052</v>
      </c>
      <c r="C45" s="276">
        <v>35</v>
      </c>
      <c r="D45" s="276" t="s">
        <v>26</v>
      </c>
      <c r="E45" s="277"/>
      <c r="F45" s="302"/>
      <c r="G45" s="250" t="s">
        <v>19</v>
      </c>
      <c r="H45" s="250" t="s">
        <v>19</v>
      </c>
      <c r="I45" s="250" t="s">
        <v>19</v>
      </c>
      <c r="J45" s="250" t="s">
        <v>19</v>
      </c>
      <c r="K45" s="305" t="s">
        <v>19</v>
      </c>
      <c r="L45" s="250" t="s">
        <v>19</v>
      </c>
      <c r="M45" s="250" t="s">
        <v>19</v>
      </c>
      <c r="N45" s="250" t="s">
        <v>19</v>
      </c>
      <c r="O45" s="250" t="s">
        <v>19</v>
      </c>
      <c r="P45" s="250" t="s">
        <v>19</v>
      </c>
      <c r="Q45" s="302"/>
      <c r="R45" s="250" t="s">
        <v>19</v>
      </c>
      <c r="S45" s="42" t="s">
        <v>27</v>
      </c>
      <c r="T45" s="42" t="s">
        <v>19</v>
      </c>
      <c r="U45" s="42" t="s">
        <v>19</v>
      </c>
      <c r="V45" s="42" t="s">
        <v>19</v>
      </c>
      <c r="W45" s="42" t="s">
        <v>19</v>
      </c>
      <c r="X45" s="42" t="s">
        <v>19</v>
      </c>
      <c r="Y45" s="42" t="s">
        <v>19</v>
      </c>
      <c r="Z45" s="42"/>
      <c r="AA45" s="170"/>
      <c r="AB45" s="170"/>
      <c r="AC45" s="42"/>
      <c r="AD45" s="42"/>
      <c r="AE45" s="44"/>
      <c r="AF45" s="46"/>
    </row>
    <row r="46" spans="1:32" ht="13.2">
      <c r="A46" s="245" t="s">
        <v>1053</v>
      </c>
      <c r="B46" s="275" t="s">
        <v>1106</v>
      </c>
      <c r="C46" s="276">
        <v>19</v>
      </c>
      <c r="D46" s="276" t="s">
        <v>26</v>
      </c>
      <c r="E46" s="276">
        <v>983350211</v>
      </c>
      <c r="F46" s="302"/>
      <c r="G46" s="250" t="s">
        <v>19</v>
      </c>
      <c r="H46" s="250" t="s">
        <v>19</v>
      </c>
      <c r="I46" s="250" t="s">
        <v>27</v>
      </c>
      <c r="J46" s="250" t="s">
        <v>27</v>
      </c>
      <c r="K46" s="305" t="s">
        <v>19</v>
      </c>
      <c r="L46" s="250" t="s">
        <v>27</v>
      </c>
      <c r="M46" s="250" t="s">
        <v>27</v>
      </c>
      <c r="N46" s="250" t="s">
        <v>27</v>
      </c>
      <c r="O46" s="250" t="s">
        <v>27</v>
      </c>
      <c r="P46" s="250" t="s">
        <v>19</v>
      </c>
      <c r="Q46" s="302"/>
      <c r="R46" s="250" t="s">
        <v>19</v>
      </c>
      <c r="S46" s="42" t="s">
        <v>19</v>
      </c>
      <c r="T46" s="42" t="s">
        <v>19</v>
      </c>
      <c r="U46" s="42" t="s">
        <v>19</v>
      </c>
      <c r="V46" s="42" t="s">
        <v>19</v>
      </c>
      <c r="W46" s="42" t="s">
        <v>19</v>
      </c>
      <c r="X46" s="42" t="s">
        <v>19</v>
      </c>
      <c r="Y46" s="42" t="s">
        <v>19</v>
      </c>
      <c r="Z46" s="42"/>
      <c r="AA46" s="170"/>
      <c r="AB46" s="170"/>
      <c r="AC46" s="42"/>
      <c r="AD46" s="42"/>
      <c r="AE46" s="44"/>
      <c r="AF46" s="46"/>
    </row>
    <row r="47" spans="1:32" ht="13.2">
      <c r="A47" s="245" t="s">
        <v>1055</v>
      </c>
      <c r="B47" s="250" t="s">
        <v>1056</v>
      </c>
      <c r="C47" s="248"/>
      <c r="D47" s="247" t="s">
        <v>26</v>
      </c>
      <c r="E47" s="245">
        <v>994621902</v>
      </c>
      <c r="F47" s="302"/>
      <c r="G47" s="250" t="s">
        <v>19</v>
      </c>
      <c r="H47" s="250" t="s">
        <v>19</v>
      </c>
      <c r="I47" s="250" t="s">
        <v>19</v>
      </c>
      <c r="J47" s="250" t="s">
        <v>19</v>
      </c>
      <c r="K47" s="305" t="s">
        <v>19</v>
      </c>
      <c r="L47" s="250" t="s">
        <v>19</v>
      </c>
      <c r="M47" s="250" t="s">
        <v>19</v>
      </c>
      <c r="N47" s="250" t="s">
        <v>19</v>
      </c>
      <c r="O47" s="250" t="s">
        <v>19</v>
      </c>
      <c r="P47" s="250" t="s">
        <v>19</v>
      </c>
      <c r="Q47" s="302"/>
      <c r="R47" s="250" t="s">
        <v>19</v>
      </c>
      <c r="S47" s="42" t="s">
        <v>19</v>
      </c>
      <c r="T47" s="42" t="s">
        <v>19</v>
      </c>
      <c r="U47" s="42" t="s">
        <v>19</v>
      </c>
      <c r="V47" s="42" t="s">
        <v>19</v>
      </c>
      <c r="W47" s="42" t="s">
        <v>19</v>
      </c>
      <c r="X47" s="42" t="s">
        <v>19</v>
      </c>
      <c r="Y47" s="42" t="s">
        <v>19</v>
      </c>
      <c r="Z47" s="42"/>
      <c r="AA47" s="170"/>
      <c r="AB47" s="170"/>
      <c r="AC47" s="42"/>
      <c r="AD47" s="42"/>
      <c r="AE47" s="44"/>
      <c r="AF47" s="46"/>
    </row>
    <row r="48" spans="1:32" ht="15.6">
      <c r="A48" s="245" t="s">
        <v>1057</v>
      </c>
      <c r="B48" s="278" t="s">
        <v>1058</v>
      </c>
      <c r="C48" s="75"/>
      <c r="D48" s="75"/>
      <c r="E48" s="279">
        <v>922391397</v>
      </c>
      <c r="F48" s="308"/>
      <c r="G48" s="250" t="s">
        <v>19</v>
      </c>
      <c r="H48" s="250" t="s">
        <v>19</v>
      </c>
      <c r="I48" s="250" t="s">
        <v>19</v>
      </c>
      <c r="J48" s="250" t="s">
        <v>19</v>
      </c>
      <c r="K48" s="305" t="s">
        <v>19</v>
      </c>
      <c r="L48" s="250" t="s">
        <v>19</v>
      </c>
      <c r="M48" s="250" t="s">
        <v>19</v>
      </c>
      <c r="N48" s="250" t="s">
        <v>19</v>
      </c>
      <c r="O48" s="250" t="s">
        <v>19</v>
      </c>
      <c r="P48" s="250" t="s">
        <v>19</v>
      </c>
      <c r="Q48" s="308"/>
      <c r="R48" s="250" t="s">
        <v>19</v>
      </c>
      <c r="S48" s="42" t="s">
        <v>19</v>
      </c>
      <c r="T48" s="42" t="s">
        <v>19</v>
      </c>
      <c r="U48" s="42" t="s">
        <v>19</v>
      </c>
      <c r="V48" s="42" t="s">
        <v>19</v>
      </c>
      <c r="W48" s="42" t="s">
        <v>19</v>
      </c>
      <c r="X48" s="42" t="s">
        <v>19</v>
      </c>
      <c r="Y48" s="42" t="s">
        <v>19</v>
      </c>
      <c r="Z48" s="42"/>
      <c r="AA48" s="170"/>
      <c r="AB48" s="170"/>
      <c r="AC48" s="42"/>
      <c r="AD48" s="42"/>
      <c r="AE48" s="44"/>
      <c r="AF48" s="46"/>
    </row>
    <row r="49" spans="1:32" ht="13.8">
      <c r="A49" s="245" t="s">
        <v>1059</v>
      </c>
      <c r="B49" s="263" t="s">
        <v>1060</v>
      </c>
      <c r="C49" s="282"/>
      <c r="D49" s="283"/>
      <c r="E49" s="41">
        <v>919373257</v>
      </c>
      <c r="F49" s="170"/>
      <c r="G49" s="42" t="s">
        <v>19</v>
      </c>
      <c r="H49" s="42" t="s">
        <v>19</v>
      </c>
      <c r="I49" s="42" t="s">
        <v>19</v>
      </c>
      <c r="J49" s="42" t="s">
        <v>19</v>
      </c>
      <c r="K49" s="309" t="s">
        <v>19</v>
      </c>
      <c r="L49" s="42" t="s">
        <v>19</v>
      </c>
      <c r="M49" s="42" t="s">
        <v>19</v>
      </c>
      <c r="N49" s="42" t="s">
        <v>19</v>
      </c>
      <c r="O49" s="42" t="s">
        <v>19</v>
      </c>
      <c r="P49" s="42" t="s">
        <v>19</v>
      </c>
      <c r="Q49" s="169"/>
      <c r="R49" s="42" t="s">
        <v>19</v>
      </c>
      <c r="S49" s="42" t="s">
        <v>19</v>
      </c>
      <c r="T49" s="42" t="s">
        <v>19</v>
      </c>
      <c r="U49" s="42" t="s">
        <v>19</v>
      </c>
      <c r="V49" s="42" t="s">
        <v>19</v>
      </c>
      <c r="W49" s="42" t="s">
        <v>19</v>
      </c>
      <c r="X49" s="42" t="s">
        <v>19</v>
      </c>
      <c r="Y49" s="42" t="s">
        <v>19</v>
      </c>
      <c r="Z49" s="42"/>
      <c r="AA49" s="170"/>
      <c r="AB49" s="170"/>
      <c r="AC49" s="42"/>
      <c r="AD49" s="42"/>
      <c r="AE49" s="44"/>
      <c r="AF49" s="44"/>
    </row>
    <row r="50" spans="1:32" ht="13.2">
      <c r="F50" s="198"/>
      <c r="Q50" s="198"/>
    </row>
    <row r="51" spans="1:32" ht="13.2">
      <c r="F51" s="198"/>
      <c r="Q51" s="198"/>
    </row>
    <row r="52" spans="1:32" ht="13.2">
      <c r="F52" s="198"/>
      <c r="Q52" s="198"/>
    </row>
    <row r="53" spans="1:32" ht="13.2">
      <c r="F53" s="198"/>
      <c r="Q53" s="198"/>
    </row>
    <row r="54" spans="1:32" ht="13.2">
      <c r="F54" s="198"/>
      <c r="Q54" s="198"/>
    </row>
    <row r="55" spans="1:32" ht="13.2">
      <c r="F55" s="198"/>
      <c r="Q55" s="198"/>
    </row>
    <row r="56" spans="1:32" ht="13.2">
      <c r="F56" s="198"/>
      <c r="Q56" s="198"/>
    </row>
    <row r="57" spans="1:32" ht="13.2">
      <c r="F57" s="198"/>
      <c r="Q57" s="198"/>
    </row>
    <row r="58" spans="1:32" ht="13.2">
      <c r="F58" s="198"/>
      <c r="Q58" s="198"/>
    </row>
    <row r="59" spans="1:32" ht="13.2">
      <c r="F59" s="198"/>
      <c r="Q59" s="198"/>
    </row>
    <row r="60" spans="1:32" ht="13.2">
      <c r="F60" s="198"/>
      <c r="Q60" s="198"/>
    </row>
    <row r="61" spans="1:32" ht="13.2">
      <c r="F61" s="198"/>
      <c r="Q61" s="198"/>
    </row>
    <row r="62" spans="1:32" ht="13.2">
      <c r="F62" s="198"/>
      <c r="Q62" s="198"/>
    </row>
    <row r="63" spans="1:32" ht="13.2">
      <c r="F63" s="198"/>
      <c r="Q63" s="198"/>
    </row>
    <row r="64" spans="1:32" ht="13.2">
      <c r="F64" s="198"/>
      <c r="Q64" s="198"/>
    </row>
    <row r="65" spans="6:17" ht="13.2">
      <c r="F65" s="198"/>
      <c r="Q65" s="198"/>
    </row>
    <row r="66" spans="6:17" ht="13.2">
      <c r="F66" s="198"/>
      <c r="Q66" s="198"/>
    </row>
    <row r="67" spans="6:17" ht="13.2">
      <c r="F67" s="198"/>
      <c r="Q67" s="198"/>
    </row>
    <row r="68" spans="6:17" ht="13.2">
      <c r="F68" s="198"/>
      <c r="Q68" s="198"/>
    </row>
    <row r="69" spans="6:17" ht="13.2">
      <c r="F69" s="198"/>
      <c r="Q69" s="198"/>
    </row>
    <row r="70" spans="6:17" ht="13.2">
      <c r="F70" s="198"/>
      <c r="Q70" s="198"/>
    </row>
    <row r="71" spans="6:17" ht="13.2">
      <c r="F71" s="198"/>
      <c r="Q71" s="198"/>
    </row>
    <row r="72" spans="6:17" ht="13.2">
      <c r="F72" s="198"/>
      <c r="Q72" s="198"/>
    </row>
    <row r="73" spans="6:17" ht="13.2">
      <c r="F73" s="198"/>
      <c r="Q73" s="198"/>
    </row>
    <row r="74" spans="6:17" ht="13.2">
      <c r="F74" s="198"/>
      <c r="Q74" s="198"/>
    </row>
    <row r="75" spans="6:17" ht="13.2">
      <c r="F75" s="198"/>
      <c r="Q75" s="198"/>
    </row>
    <row r="76" spans="6:17" ht="13.2">
      <c r="F76" s="198"/>
      <c r="Q76" s="198"/>
    </row>
    <row r="77" spans="6:17" ht="13.2">
      <c r="F77" s="198"/>
      <c r="Q77" s="198"/>
    </row>
    <row r="78" spans="6:17" ht="13.2">
      <c r="F78" s="198"/>
      <c r="Q78" s="198"/>
    </row>
    <row r="79" spans="6:17" ht="13.2">
      <c r="F79" s="198"/>
      <c r="Q79" s="198"/>
    </row>
    <row r="80" spans="6:17" ht="13.2">
      <c r="F80" s="198"/>
      <c r="Q80" s="198"/>
    </row>
    <row r="81" spans="6:17" ht="13.2">
      <c r="F81" s="198"/>
      <c r="Q81" s="198"/>
    </row>
    <row r="82" spans="6:17" ht="13.2">
      <c r="F82" s="198"/>
      <c r="Q82" s="198"/>
    </row>
    <row r="83" spans="6:17" ht="13.2">
      <c r="F83" s="198"/>
      <c r="Q83" s="198"/>
    </row>
    <row r="84" spans="6:17" ht="13.2">
      <c r="F84" s="198"/>
      <c r="Q84" s="198"/>
    </row>
    <row r="85" spans="6:17" ht="13.2">
      <c r="F85" s="198"/>
      <c r="Q85" s="198"/>
    </row>
    <row r="86" spans="6:17" ht="13.2">
      <c r="F86" s="198"/>
      <c r="Q86" s="198"/>
    </row>
    <row r="87" spans="6:17" ht="13.2">
      <c r="F87" s="198"/>
      <c r="Q87" s="198"/>
    </row>
    <row r="88" spans="6:17" ht="13.2">
      <c r="F88" s="198"/>
      <c r="Q88" s="198"/>
    </row>
    <row r="89" spans="6:17" ht="13.2">
      <c r="F89" s="198"/>
      <c r="Q89" s="198"/>
    </row>
    <row r="90" spans="6:17" ht="13.2">
      <c r="F90" s="198"/>
      <c r="Q90" s="198"/>
    </row>
    <row r="91" spans="6:17" ht="13.2">
      <c r="F91" s="198"/>
      <c r="Q91" s="198"/>
    </row>
    <row r="92" spans="6:17" ht="13.2">
      <c r="F92" s="198"/>
      <c r="Q92" s="198"/>
    </row>
    <row r="93" spans="6:17" ht="13.2">
      <c r="F93" s="198"/>
      <c r="Q93" s="198"/>
    </row>
    <row r="94" spans="6:17" ht="13.2">
      <c r="F94" s="198"/>
      <c r="Q94" s="198"/>
    </row>
    <row r="95" spans="6:17" ht="13.2">
      <c r="F95" s="198"/>
      <c r="Q95" s="198"/>
    </row>
    <row r="96" spans="6:17" ht="13.2">
      <c r="F96" s="198"/>
      <c r="Q96" s="198"/>
    </row>
    <row r="97" spans="6:17" ht="13.2">
      <c r="F97" s="198"/>
      <c r="Q97" s="198"/>
    </row>
    <row r="98" spans="6:17" ht="13.2">
      <c r="F98" s="198"/>
      <c r="Q98" s="198"/>
    </row>
    <row r="99" spans="6:17" ht="13.2">
      <c r="F99" s="198"/>
      <c r="Q99" s="198"/>
    </row>
    <row r="100" spans="6:17" ht="13.2">
      <c r="F100" s="198"/>
      <c r="Q100" s="198"/>
    </row>
    <row r="101" spans="6:17" ht="13.2">
      <c r="F101" s="198"/>
      <c r="Q101" s="198"/>
    </row>
    <row r="102" spans="6:17" ht="13.2">
      <c r="F102" s="198"/>
      <c r="Q102" s="198"/>
    </row>
    <row r="103" spans="6:17" ht="13.2">
      <c r="F103" s="198"/>
      <c r="Q103" s="198"/>
    </row>
    <row r="104" spans="6:17" ht="13.2">
      <c r="F104" s="198"/>
      <c r="Q104" s="198"/>
    </row>
    <row r="105" spans="6:17" ht="13.2">
      <c r="F105" s="198"/>
      <c r="Q105" s="198"/>
    </row>
    <row r="106" spans="6:17" ht="13.2">
      <c r="F106" s="198"/>
      <c r="Q106" s="198"/>
    </row>
    <row r="107" spans="6:17" ht="13.2">
      <c r="F107" s="198"/>
      <c r="Q107" s="198"/>
    </row>
    <row r="108" spans="6:17" ht="13.2">
      <c r="F108" s="198"/>
      <c r="Q108" s="198"/>
    </row>
    <row r="109" spans="6:17" ht="13.2">
      <c r="F109" s="198"/>
      <c r="Q109" s="198"/>
    </row>
    <row r="110" spans="6:17" ht="13.2">
      <c r="F110" s="198"/>
      <c r="Q110" s="198"/>
    </row>
    <row r="111" spans="6:17" ht="13.2">
      <c r="F111" s="198"/>
      <c r="Q111" s="198"/>
    </row>
    <row r="112" spans="6:17" ht="13.2">
      <c r="F112" s="198"/>
      <c r="Q112" s="198"/>
    </row>
    <row r="113" spans="6:17" ht="13.2">
      <c r="F113" s="198"/>
      <c r="Q113" s="198"/>
    </row>
    <row r="114" spans="6:17" ht="13.2">
      <c r="F114" s="198"/>
      <c r="Q114" s="198"/>
    </row>
    <row r="115" spans="6:17" ht="13.2">
      <c r="F115" s="198"/>
      <c r="Q115" s="198"/>
    </row>
    <row r="116" spans="6:17" ht="13.2">
      <c r="F116" s="198"/>
      <c r="Q116" s="198"/>
    </row>
    <row r="117" spans="6:17" ht="13.2">
      <c r="F117" s="198"/>
      <c r="Q117" s="198"/>
    </row>
    <row r="118" spans="6:17" ht="13.2">
      <c r="F118" s="198"/>
      <c r="Q118" s="198"/>
    </row>
    <row r="119" spans="6:17" ht="13.2">
      <c r="F119" s="198"/>
      <c r="Q119" s="198"/>
    </row>
    <row r="120" spans="6:17" ht="13.2">
      <c r="F120" s="198"/>
      <c r="Q120" s="198"/>
    </row>
    <row r="121" spans="6:17" ht="13.2">
      <c r="F121" s="198"/>
      <c r="Q121" s="198"/>
    </row>
    <row r="122" spans="6:17" ht="13.2">
      <c r="F122" s="198"/>
      <c r="Q122" s="198"/>
    </row>
    <row r="123" spans="6:17" ht="13.2">
      <c r="F123" s="198"/>
      <c r="Q123" s="198"/>
    </row>
    <row r="124" spans="6:17" ht="13.2">
      <c r="F124" s="198"/>
      <c r="Q124" s="198"/>
    </row>
    <row r="125" spans="6:17" ht="13.2">
      <c r="F125" s="198"/>
      <c r="Q125" s="198"/>
    </row>
    <row r="126" spans="6:17" ht="13.2">
      <c r="F126" s="198"/>
      <c r="Q126" s="198"/>
    </row>
    <row r="127" spans="6:17" ht="13.2">
      <c r="F127" s="198"/>
      <c r="Q127" s="198"/>
    </row>
    <row r="128" spans="6:17" ht="13.2">
      <c r="F128" s="198"/>
      <c r="Q128" s="198"/>
    </row>
    <row r="129" spans="6:17" ht="13.2">
      <c r="F129" s="198"/>
      <c r="Q129" s="198"/>
    </row>
    <row r="130" spans="6:17" ht="13.2">
      <c r="F130" s="198"/>
      <c r="Q130" s="198"/>
    </row>
    <row r="131" spans="6:17" ht="13.2">
      <c r="F131" s="198"/>
      <c r="Q131" s="198"/>
    </row>
    <row r="132" spans="6:17" ht="13.2">
      <c r="F132" s="198"/>
      <c r="Q132" s="198"/>
    </row>
    <row r="133" spans="6:17" ht="13.2">
      <c r="F133" s="198"/>
      <c r="Q133" s="198"/>
    </row>
    <row r="134" spans="6:17" ht="13.2">
      <c r="F134" s="198"/>
      <c r="Q134" s="198"/>
    </row>
    <row r="135" spans="6:17" ht="13.2">
      <c r="F135" s="198"/>
      <c r="Q135" s="198"/>
    </row>
    <row r="136" spans="6:17" ht="13.2">
      <c r="F136" s="198"/>
      <c r="Q136" s="198"/>
    </row>
    <row r="137" spans="6:17" ht="13.2">
      <c r="F137" s="198"/>
      <c r="Q137" s="198"/>
    </row>
    <row r="138" spans="6:17" ht="13.2">
      <c r="F138" s="198"/>
      <c r="Q138" s="198"/>
    </row>
    <row r="139" spans="6:17" ht="13.2">
      <c r="F139" s="198"/>
      <c r="Q139" s="198"/>
    </row>
    <row r="140" spans="6:17" ht="13.2">
      <c r="F140" s="198"/>
      <c r="Q140" s="198"/>
    </row>
    <row r="141" spans="6:17" ht="13.2">
      <c r="F141" s="198"/>
      <c r="Q141" s="198"/>
    </row>
    <row r="142" spans="6:17" ht="13.2">
      <c r="F142" s="198"/>
      <c r="Q142" s="198"/>
    </row>
    <row r="143" spans="6:17" ht="13.2">
      <c r="F143" s="198"/>
      <c r="Q143" s="198"/>
    </row>
    <row r="144" spans="6:17" ht="13.2">
      <c r="F144" s="198"/>
      <c r="Q144" s="198"/>
    </row>
    <row r="145" spans="6:17" ht="13.2">
      <c r="F145" s="198"/>
      <c r="Q145" s="198"/>
    </row>
    <row r="146" spans="6:17" ht="13.2">
      <c r="F146" s="198"/>
      <c r="Q146" s="198"/>
    </row>
    <row r="147" spans="6:17" ht="13.2">
      <c r="F147" s="198"/>
      <c r="Q147" s="198"/>
    </row>
    <row r="148" spans="6:17" ht="13.2">
      <c r="F148" s="198"/>
      <c r="Q148" s="198"/>
    </row>
    <row r="149" spans="6:17" ht="13.2">
      <c r="F149" s="198"/>
      <c r="Q149" s="198"/>
    </row>
    <row r="150" spans="6:17" ht="13.2">
      <c r="F150" s="198"/>
      <c r="Q150" s="198"/>
    </row>
    <row r="151" spans="6:17" ht="13.2">
      <c r="F151" s="198"/>
      <c r="Q151" s="198"/>
    </row>
    <row r="152" spans="6:17" ht="13.2">
      <c r="F152" s="198"/>
      <c r="Q152" s="198"/>
    </row>
    <row r="153" spans="6:17" ht="13.2">
      <c r="F153" s="198"/>
      <c r="Q153" s="198"/>
    </row>
    <row r="154" spans="6:17" ht="13.2">
      <c r="F154" s="198"/>
      <c r="Q154" s="198"/>
    </row>
    <row r="155" spans="6:17" ht="13.2">
      <c r="F155" s="198"/>
      <c r="Q155" s="198"/>
    </row>
    <row r="156" spans="6:17" ht="13.2">
      <c r="F156" s="198"/>
      <c r="Q156" s="198"/>
    </row>
    <row r="157" spans="6:17" ht="13.2">
      <c r="F157" s="198"/>
      <c r="Q157" s="198"/>
    </row>
    <row r="158" spans="6:17" ht="13.2">
      <c r="F158" s="198"/>
      <c r="Q158" s="198"/>
    </row>
    <row r="159" spans="6:17" ht="13.2">
      <c r="F159" s="198"/>
      <c r="Q159" s="198"/>
    </row>
    <row r="160" spans="6:17" ht="13.2">
      <c r="F160" s="198"/>
      <c r="Q160" s="198"/>
    </row>
    <row r="161" spans="6:17" ht="13.2">
      <c r="F161" s="198"/>
      <c r="Q161" s="198"/>
    </row>
    <row r="162" spans="6:17" ht="13.2">
      <c r="F162" s="198"/>
      <c r="Q162" s="198"/>
    </row>
    <row r="163" spans="6:17" ht="13.2">
      <c r="F163" s="198"/>
      <c r="Q163" s="198"/>
    </row>
    <row r="164" spans="6:17" ht="13.2">
      <c r="F164" s="198"/>
      <c r="Q164" s="198"/>
    </row>
    <row r="165" spans="6:17" ht="13.2">
      <c r="F165" s="198"/>
      <c r="Q165" s="198"/>
    </row>
    <row r="166" spans="6:17" ht="13.2">
      <c r="F166" s="198"/>
      <c r="Q166" s="198"/>
    </row>
    <row r="167" spans="6:17" ht="13.2">
      <c r="F167" s="198"/>
      <c r="Q167" s="198"/>
    </row>
    <row r="168" spans="6:17" ht="13.2">
      <c r="F168" s="198"/>
      <c r="Q168" s="198"/>
    </row>
    <row r="169" spans="6:17" ht="13.2">
      <c r="F169" s="198"/>
      <c r="Q169" s="198"/>
    </row>
    <row r="170" spans="6:17" ht="13.2">
      <c r="F170" s="198"/>
      <c r="Q170" s="198"/>
    </row>
    <row r="171" spans="6:17" ht="13.2">
      <c r="F171" s="198"/>
      <c r="Q171" s="198"/>
    </row>
    <row r="172" spans="6:17" ht="13.2">
      <c r="F172" s="198"/>
      <c r="Q172" s="198"/>
    </row>
    <row r="173" spans="6:17" ht="13.2">
      <c r="F173" s="198"/>
      <c r="Q173" s="198"/>
    </row>
    <row r="174" spans="6:17" ht="13.2">
      <c r="F174" s="198"/>
      <c r="Q174" s="198"/>
    </row>
    <row r="175" spans="6:17" ht="13.2">
      <c r="F175" s="198"/>
      <c r="Q175" s="198"/>
    </row>
    <row r="176" spans="6:17" ht="13.2">
      <c r="F176" s="198"/>
      <c r="Q176" s="198"/>
    </row>
    <row r="177" spans="6:17" ht="13.2">
      <c r="F177" s="198"/>
      <c r="Q177" s="198"/>
    </row>
    <row r="178" spans="6:17" ht="13.2">
      <c r="F178" s="198"/>
      <c r="Q178" s="198"/>
    </row>
    <row r="179" spans="6:17" ht="13.2">
      <c r="F179" s="198"/>
      <c r="Q179" s="198"/>
    </row>
    <row r="180" spans="6:17" ht="13.2">
      <c r="F180" s="198"/>
      <c r="Q180" s="198"/>
    </row>
    <row r="181" spans="6:17" ht="13.2">
      <c r="F181" s="198"/>
      <c r="Q181" s="198"/>
    </row>
    <row r="182" spans="6:17" ht="13.2">
      <c r="F182" s="198"/>
      <c r="Q182" s="198"/>
    </row>
    <row r="183" spans="6:17" ht="13.2">
      <c r="F183" s="198"/>
      <c r="Q183" s="198"/>
    </row>
    <row r="184" spans="6:17" ht="13.2">
      <c r="F184" s="198"/>
      <c r="Q184" s="198"/>
    </row>
    <row r="185" spans="6:17" ht="13.2">
      <c r="F185" s="198"/>
      <c r="Q185" s="198"/>
    </row>
    <row r="186" spans="6:17" ht="13.2">
      <c r="F186" s="198"/>
      <c r="Q186" s="198"/>
    </row>
    <row r="187" spans="6:17" ht="13.2">
      <c r="F187" s="198"/>
      <c r="Q187" s="198"/>
    </row>
    <row r="188" spans="6:17" ht="13.2">
      <c r="F188" s="198"/>
      <c r="Q188" s="198"/>
    </row>
    <row r="189" spans="6:17" ht="13.2">
      <c r="F189" s="198"/>
      <c r="Q189" s="198"/>
    </row>
    <row r="190" spans="6:17" ht="13.2">
      <c r="F190" s="198"/>
      <c r="Q190" s="198"/>
    </row>
    <row r="191" spans="6:17" ht="13.2">
      <c r="F191" s="198"/>
      <c r="Q191" s="198"/>
    </row>
    <row r="192" spans="6:17" ht="13.2">
      <c r="F192" s="198"/>
      <c r="Q192" s="198"/>
    </row>
    <row r="193" spans="6:17" ht="13.2">
      <c r="F193" s="198"/>
      <c r="Q193" s="198"/>
    </row>
    <row r="194" spans="6:17" ht="13.2">
      <c r="F194" s="198"/>
      <c r="Q194" s="198"/>
    </row>
    <row r="195" spans="6:17" ht="13.2">
      <c r="F195" s="198"/>
      <c r="Q195" s="198"/>
    </row>
    <row r="196" spans="6:17" ht="13.2">
      <c r="F196" s="198"/>
      <c r="Q196" s="198"/>
    </row>
    <row r="197" spans="6:17" ht="13.2">
      <c r="F197" s="198"/>
      <c r="Q197" s="198"/>
    </row>
    <row r="198" spans="6:17" ht="13.2">
      <c r="F198" s="198"/>
      <c r="Q198" s="198"/>
    </row>
    <row r="199" spans="6:17" ht="13.2">
      <c r="F199" s="198"/>
      <c r="Q199" s="198"/>
    </row>
    <row r="200" spans="6:17" ht="13.2">
      <c r="F200" s="198"/>
      <c r="Q200" s="198"/>
    </row>
    <row r="201" spans="6:17" ht="13.2">
      <c r="F201" s="198"/>
      <c r="Q201" s="198"/>
    </row>
    <row r="202" spans="6:17" ht="13.2">
      <c r="F202" s="198"/>
      <c r="Q202" s="198"/>
    </row>
    <row r="203" spans="6:17" ht="13.2">
      <c r="F203" s="198"/>
      <c r="Q203" s="198"/>
    </row>
    <row r="204" spans="6:17" ht="13.2">
      <c r="F204" s="198"/>
      <c r="Q204" s="198"/>
    </row>
    <row r="205" spans="6:17" ht="13.2">
      <c r="F205" s="198"/>
      <c r="Q205" s="198"/>
    </row>
    <row r="206" spans="6:17" ht="13.2">
      <c r="F206" s="198"/>
      <c r="Q206" s="198"/>
    </row>
    <row r="207" spans="6:17" ht="13.2">
      <c r="F207" s="198"/>
      <c r="Q207" s="198"/>
    </row>
    <row r="208" spans="6:17" ht="13.2">
      <c r="F208" s="198"/>
      <c r="Q208" s="198"/>
    </row>
    <row r="209" spans="6:17" ht="13.2">
      <c r="F209" s="198"/>
      <c r="Q209" s="198"/>
    </row>
    <row r="210" spans="6:17" ht="13.2">
      <c r="F210" s="198"/>
      <c r="Q210" s="198"/>
    </row>
    <row r="211" spans="6:17" ht="13.2">
      <c r="F211" s="198"/>
      <c r="Q211" s="198"/>
    </row>
    <row r="212" spans="6:17" ht="13.2">
      <c r="F212" s="198"/>
      <c r="Q212" s="198"/>
    </row>
    <row r="213" spans="6:17" ht="13.2">
      <c r="F213" s="198"/>
      <c r="Q213" s="198"/>
    </row>
    <row r="214" spans="6:17" ht="13.2">
      <c r="F214" s="198"/>
      <c r="Q214" s="198"/>
    </row>
    <row r="215" spans="6:17" ht="13.2">
      <c r="F215" s="198"/>
      <c r="Q215" s="198"/>
    </row>
    <row r="216" spans="6:17" ht="13.2">
      <c r="F216" s="198"/>
      <c r="Q216" s="198"/>
    </row>
    <row r="217" spans="6:17" ht="13.2">
      <c r="F217" s="198"/>
      <c r="Q217" s="198"/>
    </row>
    <row r="218" spans="6:17" ht="13.2">
      <c r="F218" s="198"/>
      <c r="Q218" s="198"/>
    </row>
    <row r="219" spans="6:17" ht="13.2">
      <c r="F219" s="198"/>
      <c r="Q219" s="198"/>
    </row>
    <row r="220" spans="6:17" ht="13.2">
      <c r="F220" s="198"/>
      <c r="Q220" s="198"/>
    </row>
    <row r="221" spans="6:17" ht="13.2">
      <c r="F221" s="198"/>
      <c r="Q221" s="198"/>
    </row>
    <row r="222" spans="6:17" ht="13.2">
      <c r="F222" s="198"/>
      <c r="Q222" s="198"/>
    </row>
    <row r="223" spans="6:17" ht="13.2">
      <c r="F223" s="198"/>
      <c r="Q223" s="198"/>
    </row>
    <row r="224" spans="6:17" ht="13.2">
      <c r="F224" s="198"/>
      <c r="Q224" s="198"/>
    </row>
    <row r="225" spans="6:17" ht="13.2">
      <c r="F225" s="198"/>
      <c r="Q225" s="198"/>
    </row>
    <row r="226" spans="6:17" ht="13.2">
      <c r="F226" s="198"/>
      <c r="Q226" s="198"/>
    </row>
    <row r="227" spans="6:17" ht="13.2">
      <c r="F227" s="198"/>
      <c r="Q227" s="198"/>
    </row>
    <row r="228" spans="6:17" ht="13.2">
      <c r="F228" s="198"/>
      <c r="Q228" s="198"/>
    </row>
    <row r="229" spans="6:17" ht="13.2">
      <c r="F229" s="198"/>
      <c r="Q229" s="198"/>
    </row>
    <row r="230" spans="6:17" ht="13.2">
      <c r="F230" s="198"/>
      <c r="Q230" s="198"/>
    </row>
    <row r="231" spans="6:17" ht="13.2">
      <c r="F231" s="198"/>
      <c r="Q231" s="198"/>
    </row>
    <row r="232" spans="6:17" ht="13.2">
      <c r="F232" s="198"/>
      <c r="Q232" s="198"/>
    </row>
    <row r="233" spans="6:17" ht="13.2">
      <c r="F233" s="198"/>
      <c r="Q233" s="198"/>
    </row>
    <row r="234" spans="6:17" ht="13.2">
      <c r="F234" s="198"/>
      <c r="Q234" s="198"/>
    </row>
    <row r="235" spans="6:17" ht="13.2">
      <c r="F235" s="198"/>
      <c r="Q235" s="198"/>
    </row>
    <row r="236" spans="6:17" ht="13.2">
      <c r="F236" s="198"/>
      <c r="Q236" s="198"/>
    </row>
    <row r="237" spans="6:17" ht="13.2">
      <c r="F237" s="198"/>
      <c r="Q237" s="198"/>
    </row>
    <row r="238" spans="6:17" ht="13.2">
      <c r="F238" s="198"/>
      <c r="Q238" s="198"/>
    </row>
    <row r="239" spans="6:17" ht="13.2">
      <c r="F239" s="198"/>
      <c r="Q239" s="198"/>
    </row>
    <row r="240" spans="6:17" ht="13.2">
      <c r="F240" s="198"/>
      <c r="Q240" s="198"/>
    </row>
    <row r="241" spans="6:17" ht="13.2">
      <c r="F241" s="198"/>
      <c r="Q241" s="198"/>
    </row>
    <row r="242" spans="6:17" ht="13.2">
      <c r="F242" s="198"/>
      <c r="Q242" s="198"/>
    </row>
    <row r="243" spans="6:17" ht="13.2">
      <c r="F243" s="198"/>
      <c r="Q243" s="198"/>
    </row>
    <row r="244" spans="6:17" ht="13.2">
      <c r="F244" s="198"/>
      <c r="Q244" s="198"/>
    </row>
    <row r="245" spans="6:17" ht="13.2">
      <c r="F245" s="198"/>
      <c r="Q245" s="198"/>
    </row>
    <row r="246" spans="6:17" ht="13.2">
      <c r="F246" s="198"/>
      <c r="Q246" s="198"/>
    </row>
    <row r="247" spans="6:17" ht="13.2">
      <c r="F247" s="198"/>
      <c r="Q247" s="198"/>
    </row>
    <row r="248" spans="6:17" ht="13.2">
      <c r="F248" s="198"/>
      <c r="Q248" s="198"/>
    </row>
    <row r="249" spans="6:17" ht="13.2">
      <c r="F249" s="198"/>
      <c r="Q249" s="198"/>
    </row>
    <row r="250" spans="6:17" ht="13.2">
      <c r="F250" s="198"/>
      <c r="Q250" s="198"/>
    </row>
    <row r="251" spans="6:17" ht="13.2">
      <c r="F251" s="198"/>
      <c r="Q251" s="198"/>
    </row>
    <row r="252" spans="6:17" ht="13.2">
      <c r="F252" s="198"/>
      <c r="Q252" s="198"/>
    </row>
    <row r="253" spans="6:17" ht="13.2">
      <c r="F253" s="198"/>
      <c r="Q253" s="198"/>
    </row>
    <row r="254" spans="6:17" ht="13.2">
      <c r="F254" s="198"/>
      <c r="Q254" s="198"/>
    </row>
    <row r="255" spans="6:17" ht="13.2">
      <c r="F255" s="198"/>
      <c r="Q255" s="198"/>
    </row>
    <row r="256" spans="6:17" ht="13.2">
      <c r="F256" s="198"/>
      <c r="Q256" s="198"/>
    </row>
    <row r="257" spans="6:17" ht="13.2">
      <c r="F257" s="198"/>
      <c r="Q257" s="198"/>
    </row>
    <row r="258" spans="6:17" ht="13.2">
      <c r="F258" s="198"/>
      <c r="Q258" s="198"/>
    </row>
    <row r="259" spans="6:17" ht="13.2">
      <c r="F259" s="198"/>
      <c r="Q259" s="198"/>
    </row>
    <row r="260" spans="6:17" ht="13.2">
      <c r="F260" s="198"/>
      <c r="Q260" s="198"/>
    </row>
    <row r="261" spans="6:17" ht="13.2">
      <c r="F261" s="198"/>
      <c r="Q261" s="198"/>
    </row>
    <row r="262" spans="6:17" ht="13.2">
      <c r="F262" s="198"/>
      <c r="Q262" s="198"/>
    </row>
    <row r="263" spans="6:17" ht="13.2">
      <c r="F263" s="198"/>
      <c r="Q263" s="198"/>
    </row>
    <row r="264" spans="6:17" ht="13.2">
      <c r="F264" s="198"/>
      <c r="Q264" s="198"/>
    </row>
    <row r="265" spans="6:17" ht="13.2">
      <c r="F265" s="198"/>
      <c r="Q265" s="198"/>
    </row>
    <row r="266" spans="6:17" ht="13.2">
      <c r="F266" s="198"/>
      <c r="Q266" s="198"/>
    </row>
    <row r="267" spans="6:17" ht="13.2">
      <c r="F267" s="198"/>
      <c r="Q267" s="198"/>
    </row>
    <row r="268" spans="6:17" ht="13.2">
      <c r="F268" s="198"/>
      <c r="Q268" s="198"/>
    </row>
    <row r="269" spans="6:17" ht="13.2">
      <c r="F269" s="198"/>
      <c r="Q269" s="198"/>
    </row>
    <row r="270" spans="6:17" ht="13.2">
      <c r="F270" s="198"/>
      <c r="Q270" s="198"/>
    </row>
    <row r="271" spans="6:17" ht="13.2">
      <c r="F271" s="198"/>
      <c r="Q271" s="198"/>
    </row>
    <row r="272" spans="6:17" ht="13.2">
      <c r="F272" s="198"/>
      <c r="Q272" s="198"/>
    </row>
    <row r="273" spans="6:17" ht="13.2">
      <c r="F273" s="198"/>
      <c r="Q273" s="198"/>
    </row>
    <row r="274" spans="6:17" ht="13.2">
      <c r="F274" s="198"/>
      <c r="Q274" s="198"/>
    </row>
    <row r="275" spans="6:17" ht="13.2">
      <c r="F275" s="198"/>
      <c r="Q275" s="198"/>
    </row>
    <row r="276" spans="6:17" ht="13.2">
      <c r="F276" s="198"/>
      <c r="Q276" s="198"/>
    </row>
    <row r="277" spans="6:17" ht="13.2">
      <c r="F277" s="198"/>
      <c r="Q277" s="198"/>
    </row>
    <row r="278" spans="6:17" ht="13.2">
      <c r="F278" s="198"/>
      <c r="Q278" s="198"/>
    </row>
    <row r="279" spans="6:17" ht="13.2">
      <c r="F279" s="198"/>
      <c r="Q279" s="198"/>
    </row>
    <row r="280" spans="6:17" ht="13.2">
      <c r="F280" s="198"/>
      <c r="Q280" s="198"/>
    </row>
    <row r="281" spans="6:17" ht="13.2">
      <c r="F281" s="198"/>
      <c r="Q281" s="198"/>
    </row>
    <row r="282" spans="6:17" ht="13.2">
      <c r="F282" s="198"/>
      <c r="Q282" s="198"/>
    </row>
    <row r="283" spans="6:17" ht="13.2">
      <c r="F283" s="198"/>
      <c r="Q283" s="198"/>
    </row>
    <row r="284" spans="6:17" ht="13.2">
      <c r="F284" s="198"/>
      <c r="Q284" s="198"/>
    </row>
    <row r="285" spans="6:17" ht="13.2">
      <c r="F285" s="198"/>
      <c r="Q285" s="198"/>
    </row>
    <row r="286" spans="6:17" ht="13.2">
      <c r="F286" s="198"/>
      <c r="Q286" s="198"/>
    </row>
    <row r="287" spans="6:17" ht="13.2">
      <c r="F287" s="198"/>
      <c r="Q287" s="198"/>
    </row>
    <row r="288" spans="6:17" ht="13.2">
      <c r="F288" s="198"/>
      <c r="Q288" s="198"/>
    </row>
    <row r="289" spans="6:17" ht="13.2">
      <c r="F289" s="198"/>
      <c r="Q289" s="198"/>
    </row>
    <row r="290" spans="6:17" ht="13.2">
      <c r="F290" s="198"/>
      <c r="Q290" s="198"/>
    </row>
    <row r="291" spans="6:17" ht="13.2">
      <c r="F291" s="198"/>
      <c r="Q291" s="198"/>
    </row>
    <row r="292" spans="6:17" ht="13.2">
      <c r="F292" s="198"/>
      <c r="Q292" s="198"/>
    </row>
    <row r="293" spans="6:17" ht="13.2">
      <c r="F293" s="198"/>
      <c r="Q293" s="198"/>
    </row>
    <row r="294" spans="6:17" ht="13.2">
      <c r="F294" s="198"/>
      <c r="Q294" s="198"/>
    </row>
    <row r="295" spans="6:17" ht="13.2">
      <c r="F295" s="198"/>
      <c r="Q295" s="198"/>
    </row>
    <row r="296" spans="6:17" ht="13.2">
      <c r="F296" s="198"/>
      <c r="Q296" s="198"/>
    </row>
    <row r="297" spans="6:17" ht="13.2">
      <c r="F297" s="198"/>
      <c r="Q297" s="198"/>
    </row>
    <row r="298" spans="6:17" ht="13.2">
      <c r="F298" s="198"/>
      <c r="Q298" s="198"/>
    </row>
    <row r="299" spans="6:17" ht="13.2">
      <c r="F299" s="198"/>
      <c r="Q299" s="198"/>
    </row>
    <row r="300" spans="6:17" ht="13.2">
      <c r="F300" s="198"/>
      <c r="Q300" s="198"/>
    </row>
    <row r="301" spans="6:17" ht="13.2">
      <c r="F301" s="198"/>
      <c r="Q301" s="198"/>
    </row>
    <row r="302" spans="6:17" ht="13.2">
      <c r="F302" s="198"/>
      <c r="Q302" s="198"/>
    </row>
    <row r="303" spans="6:17" ht="13.2">
      <c r="F303" s="198"/>
      <c r="Q303" s="198"/>
    </row>
    <row r="304" spans="6:17" ht="13.2">
      <c r="F304" s="198"/>
      <c r="Q304" s="198"/>
    </row>
    <row r="305" spans="6:17" ht="13.2">
      <c r="F305" s="198"/>
      <c r="Q305" s="198"/>
    </row>
    <row r="306" spans="6:17" ht="13.2">
      <c r="F306" s="198"/>
      <c r="Q306" s="198"/>
    </row>
    <row r="307" spans="6:17" ht="13.2">
      <c r="F307" s="198"/>
      <c r="Q307" s="198"/>
    </row>
    <row r="308" spans="6:17" ht="13.2">
      <c r="F308" s="198"/>
      <c r="Q308" s="198"/>
    </row>
    <row r="309" spans="6:17" ht="13.2">
      <c r="F309" s="198"/>
      <c r="Q309" s="198"/>
    </row>
    <row r="310" spans="6:17" ht="13.2">
      <c r="F310" s="198"/>
      <c r="Q310" s="198"/>
    </row>
    <row r="311" spans="6:17" ht="13.2">
      <c r="F311" s="198"/>
      <c r="Q311" s="198"/>
    </row>
    <row r="312" spans="6:17" ht="13.2">
      <c r="F312" s="198"/>
      <c r="Q312" s="198"/>
    </row>
    <row r="313" spans="6:17" ht="13.2">
      <c r="F313" s="198"/>
      <c r="Q313" s="198"/>
    </row>
    <row r="314" spans="6:17" ht="13.2">
      <c r="F314" s="198"/>
      <c r="Q314" s="198"/>
    </row>
    <row r="315" spans="6:17" ht="13.2">
      <c r="F315" s="198"/>
      <c r="Q315" s="198"/>
    </row>
    <row r="316" spans="6:17" ht="13.2">
      <c r="F316" s="198"/>
      <c r="Q316" s="198"/>
    </row>
    <row r="317" spans="6:17" ht="13.2">
      <c r="F317" s="198"/>
      <c r="Q317" s="198"/>
    </row>
    <row r="318" spans="6:17" ht="13.2">
      <c r="F318" s="198"/>
      <c r="Q318" s="198"/>
    </row>
    <row r="319" spans="6:17" ht="13.2">
      <c r="F319" s="198"/>
      <c r="Q319" s="198"/>
    </row>
    <row r="320" spans="6:17" ht="13.2">
      <c r="F320" s="198"/>
      <c r="Q320" s="198"/>
    </row>
    <row r="321" spans="6:17" ht="13.2">
      <c r="F321" s="198"/>
      <c r="Q321" s="198"/>
    </row>
    <row r="322" spans="6:17" ht="13.2">
      <c r="F322" s="198"/>
      <c r="Q322" s="198"/>
    </row>
    <row r="323" spans="6:17" ht="13.2">
      <c r="F323" s="198"/>
      <c r="Q323" s="198"/>
    </row>
    <row r="324" spans="6:17" ht="13.2">
      <c r="F324" s="198"/>
      <c r="Q324" s="198"/>
    </row>
    <row r="325" spans="6:17" ht="13.2">
      <c r="F325" s="198"/>
      <c r="Q325" s="198"/>
    </row>
    <row r="326" spans="6:17" ht="13.2">
      <c r="F326" s="198"/>
      <c r="Q326" s="198"/>
    </row>
    <row r="327" spans="6:17" ht="13.2">
      <c r="F327" s="198"/>
      <c r="Q327" s="198"/>
    </row>
    <row r="328" spans="6:17" ht="13.2">
      <c r="F328" s="198"/>
      <c r="Q328" s="198"/>
    </row>
    <row r="329" spans="6:17" ht="13.2">
      <c r="F329" s="198"/>
      <c r="Q329" s="198"/>
    </row>
    <row r="330" spans="6:17" ht="13.2">
      <c r="F330" s="198"/>
      <c r="Q330" s="198"/>
    </row>
    <row r="331" spans="6:17" ht="13.2">
      <c r="F331" s="198"/>
      <c r="Q331" s="198"/>
    </row>
    <row r="332" spans="6:17" ht="13.2">
      <c r="F332" s="198"/>
      <c r="Q332" s="198"/>
    </row>
    <row r="333" spans="6:17" ht="13.2">
      <c r="F333" s="198"/>
      <c r="Q333" s="198"/>
    </row>
    <row r="334" spans="6:17" ht="13.2">
      <c r="F334" s="198"/>
      <c r="Q334" s="198"/>
    </row>
    <row r="335" spans="6:17" ht="13.2">
      <c r="F335" s="198"/>
      <c r="Q335" s="198"/>
    </row>
    <row r="336" spans="6:17" ht="13.2">
      <c r="F336" s="198"/>
      <c r="Q336" s="198"/>
    </row>
    <row r="337" spans="6:17" ht="13.2">
      <c r="F337" s="198"/>
      <c r="Q337" s="198"/>
    </row>
    <row r="338" spans="6:17" ht="13.2">
      <c r="F338" s="198"/>
      <c r="Q338" s="198"/>
    </row>
    <row r="339" spans="6:17" ht="13.2">
      <c r="F339" s="198"/>
      <c r="Q339" s="198"/>
    </row>
    <row r="340" spans="6:17" ht="13.2">
      <c r="F340" s="198"/>
      <c r="Q340" s="198"/>
    </row>
    <row r="341" spans="6:17" ht="13.2">
      <c r="F341" s="198"/>
      <c r="Q341" s="198"/>
    </row>
    <row r="342" spans="6:17" ht="13.2">
      <c r="F342" s="198"/>
      <c r="Q342" s="198"/>
    </row>
    <row r="343" spans="6:17" ht="13.2">
      <c r="F343" s="198"/>
      <c r="Q343" s="198"/>
    </row>
    <row r="344" spans="6:17" ht="13.2">
      <c r="F344" s="198"/>
      <c r="Q344" s="198"/>
    </row>
    <row r="345" spans="6:17" ht="13.2">
      <c r="F345" s="198"/>
      <c r="Q345" s="198"/>
    </row>
    <row r="346" spans="6:17" ht="13.2">
      <c r="F346" s="198"/>
      <c r="Q346" s="198"/>
    </row>
    <row r="347" spans="6:17" ht="13.2">
      <c r="F347" s="198"/>
      <c r="Q347" s="198"/>
    </row>
    <row r="348" spans="6:17" ht="13.2">
      <c r="F348" s="198"/>
      <c r="Q348" s="198"/>
    </row>
    <row r="349" spans="6:17" ht="13.2">
      <c r="F349" s="198"/>
      <c r="Q349" s="198"/>
    </row>
    <row r="350" spans="6:17" ht="13.2">
      <c r="F350" s="198"/>
      <c r="Q350" s="198"/>
    </row>
    <row r="351" spans="6:17" ht="13.2">
      <c r="F351" s="198"/>
      <c r="Q351" s="198"/>
    </row>
    <row r="352" spans="6:17" ht="13.2">
      <c r="F352" s="198"/>
      <c r="Q352" s="198"/>
    </row>
    <row r="353" spans="6:17" ht="13.2">
      <c r="F353" s="198"/>
      <c r="Q353" s="198"/>
    </row>
    <row r="354" spans="6:17" ht="13.2">
      <c r="F354" s="198"/>
      <c r="Q354" s="198"/>
    </row>
    <row r="355" spans="6:17" ht="13.2">
      <c r="F355" s="198"/>
      <c r="Q355" s="198"/>
    </row>
    <row r="356" spans="6:17" ht="13.2">
      <c r="F356" s="198"/>
      <c r="Q356" s="198"/>
    </row>
    <row r="357" spans="6:17" ht="13.2">
      <c r="F357" s="198"/>
      <c r="Q357" s="198"/>
    </row>
    <row r="358" spans="6:17" ht="13.2">
      <c r="F358" s="198"/>
      <c r="Q358" s="198"/>
    </row>
    <row r="359" spans="6:17" ht="13.2">
      <c r="F359" s="198"/>
      <c r="Q359" s="198"/>
    </row>
    <row r="360" spans="6:17" ht="13.2">
      <c r="F360" s="198"/>
      <c r="Q360" s="198"/>
    </row>
    <row r="361" spans="6:17" ht="13.2">
      <c r="F361" s="198"/>
      <c r="Q361" s="198"/>
    </row>
    <row r="362" spans="6:17" ht="13.2">
      <c r="F362" s="198"/>
      <c r="Q362" s="198"/>
    </row>
    <row r="363" spans="6:17" ht="13.2">
      <c r="F363" s="198"/>
      <c r="Q363" s="198"/>
    </row>
    <row r="364" spans="6:17" ht="13.2">
      <c r="F364" s="198"/>
      <c r="Q364" s="198"/>
    </row>
    <row r="365" spans="6:17" ht="13.2">
      <c r="F365" s="198"/>
      <c r="Q365" s="198"/>
    </row>
    <row r="366" spans="6:17" ht="13.2">
      <c r="F366" s="198"/>
      <c r="Q366" s="198"/>
    </row>
    <row r="367" spans="6:17" ht="13.2">
      <c r="F367" s="198"/>
      <c r="Q367" s="198"/>
    </row>
    <row r="368" spans="6:17" ht="13.2">
      <c r="F368" s="198"/>
      <c r="Q368" s="198"/>
    </row>
    <row r="369" spans="6:17" ht="13.2">
      <c r="F369" s="198"/>
      <c r="Q369" s="198"/>
    </row>
    <row r="370" spans="6:17" ht="13.2">
      <c r="F370" s="198"/>
      <c r="Q370" s="198"/>
    </row>
    <row r="371" spans="6:17" ht="13.2">
      <c r="F371" s="198"/>
      <c r="Q371" s="198"/>
    </row>
    <row r="372" spans="6:17" ht="13.2">
      <c r="F372" s="198"/>
      <c r="Q372" s="198"/>
    </row>
    <row r="373" spans="6:17" ht="13.2">
      <c r="F373" s="198"/>
      <c r="Q373" s="198"/>
    </row>
    <row r="374" spans="6:17" ht="13.2">
      <c r="F374" s="198"/>
      <c r="Q374" s="198"/>
    </row>
    <row r="375" spans="6:17" ht="13.2">
      <c r="F375" s="198"/>
      <c r="Q375" s="198"/>
    </row>
    <row r="376" spans="6:17" ht="13.2">
      <c r="F376" s="198"/>
      <c r="Q376" s="198"/>
    </row>
    <row r="377" spans="6:17" ht="13.2">
      <c r="F377" s="198"/>
      <c r="Q377" s="198"/>
    </row>
    <row r="378" spans="6:17" ht="13.2">
      <c r="F378" s="198"/>
      <c r="Q378" s="198"/>
    </row>
    <row r="379" spans="6:17" ht="13.2">
      <c r="F379" s="198"/>
      <c r="Q379" s="198"/>
    </row>
    <row r="380" spans="6:17" ht="13.2">
      <c r="F380" s="198"/>
      <c r="Q380" s="198"/>
    </row>
    <row r="381" spans="6:17" ht="13.2">
      <c r="F381" s="198"/>
      <c r="Q381" s="198"/>
    </row>
    <row r="382" spans="6:17" ht="13.2">
      <c r="F382" s="198"/>
      <c r="Q382" s="198"/>
    </row>
    <row r="383" spans="6:17" ht="13.2">
      <c r="F383" s="198"/>
      <c r="Q383" s="198"/>
    </row>
    <row r="384" spans="6:17" ht="13.2">
      <c r="F384" s="198"/>
      <c r="Q384" s="198"/>
    </row>
    <row r="385" spans="6:17" ht="13.2">
      <c r="F385" s="198"/>
      <c r="Q385" s="198"/>
    </row>
    <row r="386" spans="6:17" ht="13.2">
      <c r="F386" s="198"/>
      <c r="Q386" s="198"/>
    </row>
    <row r="387" spans="6:17" ht="13.2">
      <c r="F387" s="198"/>
      <c r="Q387" s="198"/>
    </row>
    <row r="388" spans="6:17" ht="13.2">
      <c r="F388" s="198"/>
      <c r="Q388" s="198"/>
    </row>
    <row r="389" spans="6:17" ht="13.2">
      <c r="F389" s="198"/>
      <c r="Q389" s="198"/>
    </row>
    <row r="390" spans="6:17" ht="13.2">
      <c r="F390" s="198"/>
      <c r="Q390" s="198"/>
    </row>
    <row r="391" spans="6:17" ht="13.2">
      <c r="F391" s="198"/>
      <c r="Q391" s="198"/>
    </row>
    <row r="392" spans="6:17" ht="13.2">
      <c r="F392" s="198"/>
      <c r="Q392" s="198"/>
    </row>
    <row r="393" spans="6:17" ht="13.2">
      <c r="F393" s="198"/>
      <c r="Q393" s="198"/>
    </row>
    <row r="394" spans="6:17" ht="13.2">
      <c r="F394" s="198"/>
      <c r="Q394" s="198"/>
    </row>
    <row r="395" spans="6:17" ht="13.2">
      <c r="F395" s="198"/>
      <c r="Q395" s="198"/>
    </row>
    <row r="396" spans="6:17" ht="13.2">
      <c r="F396" s="198"/>
      <c r="Q396" s="198"/>
    </row>
    <row r="397" spans="6:17" ht="13.2">
      <c r="F397" s="198"/>
      <c r="Q397" s="198"/>
    </row>
    <row r="398" spans="6:17" ht="13.2">
      <c r="F398" s="198"/>
      <c r="Q398" s="198"/>
    </row>
    <row r="399" spans="6:17" ht="13.2">
      <c r="F399" s="198"/>
      <c r="Q399" s="198"/>
    </row>
    <row r="400" spans="6:17" ht="13.2">
      <c r="F400" s="198"/>
      <c r="Q400" s="198"/>
    </row>
    <row r="401" spans="6:17" ht="13.2">
      <c r="F401" s="198"/>
      <c r="Q401" s="198"/>
    </row>
    <row r="402" spans="6:17" ht="13.2">
      <c r="F402" s="198"/>
      <c r="Q402" s="198"/>
    </row>
    <row r="403" spans="6:17" ht="13.2">
      <c r="F403" s="198"/>
      <c r="Q403" s="198"/>
    </row>
    <row r="404" spans="6:17" ht="13.2">
      <c r="F404" s="198"/>
      <c r="Q404" s="198"/>
    </row>
    <row r="405" spans="6:17" ht="13.2">
      <c r="F405" s="198"/>
      <c r="Q405" s="198"/>
    </row>
    <row r="406" spans="6:17" ht="13.2">
      <c r="F406" s="198"/>
      <c r="Q406" s="198"/>
    </row>
    <row r="407" spans="6:17" ht="13.2">
      <c r="F407" s="198"/>
      <c r="Q407" s="198"/>
    </row>
    <row r="408" spans="6:17" ht="13.2">
      <c r="F408" s="198"/>
      <c r="Q408" s="198"/>
    </row>
    <row r="409" spans="6:17" ht="13.2">
      <c r="F409" s="198"/>
      <c r="Q409" s="198"/>
    </row>
    <row r="410" spans="6:17" ht="13.2">
      <c r="F410" s="198"/>
      <c r="Q410" s="198"/>
    </row>
    <row r="411" spans="6:17" ht="13.2">
      <c r="F411" s="198"/>
      <c r="Q411" s="198"/>
    </row>
    <row r="412" spans="6:17" ht="13.2">
      <c r="F412" s="198"/>
      <c r="Q412" s="198"/>
    </row>
    <row r="413" spans="6:17" ht="13.2">
      <c r="F413" s="198"/>
      <c r="Q413" s="198"/>
    </row>
    <row r="414" spans="6:17" ht="13.2">
      <c r="F414" s="198"/>
      <c r="Q414" s="198"/>
    </row>
    <row r="415" spans="6:17" ht="13.2">
      <c r="F415" s="198"/>
      <c r="Q415" s="198"/>
    </row>
    <row r="416" spans="6:17" ht="13.2">
      <c r="F416" s="198"/>
      <c r="Q416" s="198"/>
    </row>
    <row r="417" spans="6:17" ht="13.2">
      <c r="F417" s="198"/>
      <c r="Q417" s="198"/>
    </row>
    <row r="418" spans="6:17" ht="13.2">
      <c r="F418" s="198"/>
      <c r="Q418" s="198"/>
    </row>
    <row r="419" spans="6:17" ht="13.2">
      <c r="F419" s="198"/>
      <c r="Q419" s="198"/>
    </row>
    <row r="420" spans="6:17" ht="13.2">
      <c r="F420" s="198"/>
      <c r="Q420" s="198"/>
    </row>
    <row r="421" spans="6:17" ht="13.2">
      <c r="F421" s="198"/>
      <c r="Q421" s="198"/>
    </row>
    <row r="422" spans="6:17" ht="13.2">
      <c r="F422" s="198"/>
      <c r="Q422" s="198"/>
    </row>
    <row r="423" spans="6:17" ht="13.2">
      <c r="F423" s="198"/>
      <c r="Q423" s="198"/>
    </row>
    <row r="424" spans="6:17" ht="13.2">
      <c r="F424" s="198"/>
      <c r="Q424" s="198"/>
    </row>
    <row r="425" spans="6:17" ht="13.2">
      <c r="F425" s="198"/>
      <c r="Q425" s="198"/>
    </row>
    <row r="426" spans="6:17" ht="13.2">
      <c r="F426" s="198"/>
      <c r="Q426" s="198"/>
    </row>
    <row r="427" spans="6:17" ht="13.2">
      <c r="F427" s="198"/>
      <c r="Q427" s="198"/>
    </row>
    <row r="428" spans="6:17" ht="13.2">
      <c r="F428" s="198"/>
      <c r="Q428" s="198"/>
    </row>
    <row r="429" spans="6:17" ht="13.2">
      <c r="F429" s="198"/>
      <c r="Q429" s="198"/>
    </row>
    <row r="430" spans="6:17" ht="13.2">
      <c r="F430" s="198"/>
      <c r="Q430" s="198"/>
    </row>
    <row r="431" spans="6:17" ht="13.2">
      <c r="F431" s="198"/>
      <c r="Q431" s="198"/>
    </row>
    <row r="432" spans="6:17" ht="13.2">
      <c r="F432" s="198"/>
      <c r="Q432" s="198"/>
    </row>
    <row r="433" spans="6:17" ht="13.2">
      <c r="F433" s="198"/>
      <c r="Q433" s="198"/>
    </row>
    <row r="434" spans="6:17" ht="13.2">
      <c r="F434" s="198"/>
      <c r="Q434" s="198"/>
    </row>
    <row r="435" spans="6:17" ht="13.2">
      <c r="F435" s="198"/>
      <c r="Q435" s="198"/>
    </row>
    <row r="436" spans="6:17" ht="13.2">
      <c r="F436" s="198"/>
      <c r="Q436" s="198"/>
    </row>
    <row r="437" spans="6:17" ht="13.2">
      <c r="F437" s="198"/>
      <c r="Q437" s="198"/>
    </row>
    <row r="438" spans="6:17" ht="13.2">
      <c r="F438" s="198"/>
      <c r="Q438" s="198"/>
    </row>
    <row r="439" spans="6:17" ht="13.2">
      <c r="F439" s="198"/>
      <c r="Q439" s="198"/>
    </row>
    <row r="440" spans="6:17" ht="13.2">
      <c r="F440" s="198"/>
      <c r="Q440" s="198"/>
    </row>
    <row r="441" spans="6:17" ht="13.2">
      <c r="F441" s="198"/>
      <c r="Q441" s="198"/>
    </row>
    <row r="442" spans="6:17" ht="13.2">
      <c r="F442" s="198"/>
      <c r="Q442" s="198"/>
    </row>
    <row r="443" spans="6:17" ht="13.2">
      <c r="F443" s="198"/>
      <c r="Q443" s="198"/>
    </row>
    <row r="444" spans="6:17" ht="13.2">
      <c r="F444" s="198"/>
      <c r="Q444" s="198"/>
    </row>
    <row r="445" spans="6:17" ht="13.2">
      <c r="F445" s="198"/>
      <c r="Q445" s="198"/>
    </row>
    <row r="446" spans="6:17" ht="13.2">
      <c r="F446" s="198"/>
      <c r="Q446" s="198"/>
    </row>
    <row r="447" spans="6:17" ht="13.2">
      <c r="F447" s="198"/>
      <c r="Q447" s="198"/>
    </row>
    <row r="448" spans="6:17" ht="13.2">
      <c r="F448" s="198"/>
      <c r="Q448" s="198"/>
    </row>
    <row r="449" spans="6:17" ht="13.2">
      <c r="F449" s="198"/>
      <c r="Q449" s="198"/>
    </row>
    <row r="450" spans="6:17" ht="13.2">
      <c r="F450" s="198"/>
      <c r="Q450" s="198"/>
    </row>
    <row r="451" spans="6:17" ht="13.2">
      <c r="F451" s="198"/>
      <c r="Q451" s="198"/>
    </row>
    <row r="452" spans="6:17" ht="13.2">
      <c r="F452" s="198"/>
      <c r="Q452" s="198"/>
    </row>
    <row r="453" spans="6:17" ht="13.2">
      <c r="F453" s="198"/>
      <c r="Q453" s="198"/>
    </row>
    <row r="454" spans="6:17" ht="13.2">
      <c r="F454" s="198"/>
      <c r="Q454" s="198"/>
    </row>
    <row r="455" spans="6:17" ht="13.2">
      <c r="F455" s="198"/>
      <c r="Q455" s="198"/>
    </row>
    <row r="456" spans="6:17" ht="13.2">
      <c r="F456" s="198"/>
      <c r="Q456" s="198"/>
    </row>
    <row r="457" spans="6:17" ht="13.2">
      <c r="F457" s="198"/>
      <c r="Q457" s="198"/>
    </row>
    <row r="458" spans="6:17" ht="13.2">
      <c r="F458" s="198"/>
      <c r="Q458" s="198"/>
    </row>
    <row r="459" spans="6:17" ht="13.2">
      <c r="F459" s="198"/>
      <c r="Q459" s="198"/>
    </row>
    <row r="460" spans="6:17" ht="13.2">
      <c r="F460" s="198"/>
      <c r="Q460" s="198"/>
    </row>
    <row r="461" spans="6:17" ht="13.2">
      <c r="F461" s="198"/>
      <c r="Q461" s="198"/>
    </row>
    <row r="462" spans="6:17" ht="13.2">
      <c r="F462" s="198"/>
      <c r="Q462" s="198"/>
    </row>
    <row r="463" spans="6:17" ht="13.2">
      <c r="F463" s="198"/>
      <c r="Q463" s="198"/>
    </row>
    <row r="464" spans="6:17" ht="13.2">
      <c r="F464" s="198"/>
      <c r="Q464" s="198"/>
    </row>
    <row r="465" spans="6:17" ht="13.2">
      <c r="F465" s="198"/>
      <c r="Q465" s="198"/>
    </row>
    <row r="466" spans="6:17" ht="13.2">
      <c r="F466" s="198"/>
      <c r="Q466" s="198"/>
    </row>
    <row r="467" spans="6:17" ht="13.2">
      <c r="F467" s="198"/>
      <c r="Q467" s="198"/>
    </row>
    <row r="468" spans="6:17" ht="13.2">
      <c r="F468" s="198"/>
      <c r="Q468" s="198"/>
    </row>
    <row r="469" spans="6:17" ht="13.2">
      <c r="F469" s="198"/>
      <c r="Q469" s="198"/>
    </row>
    <row r="470" spans="6:17" ht="13.2">
      <c r="F470" s="198"/>
      <c r="Q470" s="198"/>
    </row>
    <row r="471" spans="6:17" ht="13.2">
      <c r="F471" s="198"/>
      <c r="Q471" s="198"/>
    </row>
    <row r="472" spans="6:17" ht="13.2">
      <c r="F472" s="198"/>
      <c r="Q472" s="198"/>
    </row>
    <row r="473" spans="6:17" ht="13.2">
      <c r="F473" s="198"/>
      <c r="Q473" s="198"/>
    </row>
    <row r="474" spans="6:17" ht="13.2">
      <c r="F474" s="198"/>
      <c r="Q474" s="198"/>
    </row>
    <row r="475" spans="6:17" ht="13.2">
      <c r="F475" s="198"/>
      <c r="Q475" s="198"/>
    </row>
    <row r="476" spans="6:17" ht="13.2">
      <c r="F476" s="198"/>
      <c r="Q476" s="198"/>
    </row>
    <row r="477" spans="6:17" ht="13.2">
      <c r="F477" s="198"/>
      <c r="Q477" s="198"/>
    </row>
    <row r="478" spans="6:17" ht="13.2">
      <c r="F478" s="198"/>
      <c r="Q478" s="198"/>
    </row>
    <row r="479" spans="6:17" ht="13.2">
      <c r="F479" s="198"/>
      <c r="Q479" s="198"/>
    </row>
    <row r="480" spans="6:17" ht="13.2">
      <c r="F480" s="198"/>
      <c r="Q480" s="198"/>
    </row>
    <row r="481" spans="6:17" ht="13.2">
      <c r="F481" s="198"/>
      <c r="Q481" s="198"/>
    </row>
    <row r="482" spans="6:17" ht="13.2">
      <c r="F482" s="198"/>
      <c r="Q482" s="198"/>
    </row>
    <row r="483" spans="6:17" ht="13.2">
      <c r="F483" s="198"/>
      <c r="Q483" s="198"/>
    </row>
    <row r="484" spans="6:17" ht="13.2">
      <c r="F484" s="198"/>
      <c r="Q484" s="198"/>
    </row>
    <row r="485" spans="6:17" ht="13.2">
      <c r="F485" s="198"/>
      <c r="Q485" s="198"/>
    </row>
    <row r="486" spans="6:17" ht="13.2">
      <c r="F486" s="198"/>
      <c r="Q486" s="198"/>
    </row>
    <row r="487" spans="6:17" ht="13.2">
      <c r="F487" s="198"/>
      <c r="Q487" s="198"/>
    </row>
    <row r="488" spans="6:17" ht="13.2">
      <c r="F488" s="198"/>
      <c r="Q488" s="198"/>
    </row>
    <row r="489" spans="6:17" ht="13.2">
      <c r="F489" s="198"/>
      <c r="Q489" s="198"/>
    </row>
    <row r="490" spans="6:17" ht="13.2">
      <c r="F490" s="198"/>
      <c r="Q490" s="198"/>
    </row>
    <row r="491" spans="6:17" ht="13.2">
      <c r="F491" s="198"/>
      <c r="Q491" s="198"/>
    </row>
    <row r="492" spans="6:17" ht="13.2">
      <c r="F492" s="198"/>
      <c r="Q492" s="198"/>
    </row>
    <row r="493" spans="6:17" ht="13.2">
      <c r="F493" s="198"/>
      <c r="Q493" s="198"/>
    </row>
    <row r="494" spans="6:17" ht="13.2">
      <c r="F494" s="198"/>
      <c r="Q494" s="198"/>
    </row>
    <row r="495" spans="6:17" ht="13.2">
      <c r="F495" s="198"/>
      <c r="Q495" s="198"/>
    </row>
    <row r="496" spans="6:17" ht="13.2">
      <c r="F496" s="198"/>
      <c r="Q496" s="198"/>
    </row>
    <row r="497" spans="6:17" ht="13.2">
      <c r="F497" s="198"/>
      <c r="Q497" s="198"/>
    </row>
    <row r="498" spans="6:17" ht="13.2">
      <c r="F498" s="198"/>
      <c r="Q498" s="198"/>
    </row>
    <row r="499" spans="6:17" ht="13.2">
      <c r="F499" s="198"/>
      <c r="Q499" s="198"/>
    </row>
    <row r="500" spans="6:17" ht="13.2">
      <c r="F500" s="198"/>
      <c r="Q500" s="198"/>
    </row>
    <row r="501" spans="6:17" ht="13.2">
      <c r="F501" s="198"/>
      <c r="Q501" s="198"/>
    </row>
    <row r="502" spans="6:17" ht="13.2">
      <c r="F502" s="198"/>
      <c r="Q502" s="198"/>
    </row>
    <row r="503" spans="6:17" ht="13.2">
      <c r="F503" s="198"/>
      <c r="Q503" s="198"/>
    </row>
    <row r="504" spans="6:17" ht="13.2">
      <c r="F504" s="198"/>
      <c r="Q504" s="198"/>
    </row>
    <row r="505" spans="6:17" ht="13.2">
      <c r="F505" s="198"/>
      <c r="Q505" s="198"/>
    </row>
    <row r="506" spans="6:17" ht="13.2">
      <c r="F506" s="198"/>
      <c r="Q506" s="198"/>
    </row>
    <row r="507" spans="6:17" ht="13.2">
      <c r="F507" s="198"/>
      <c r="Q507" s="198"/>
    </row>
    <row r="508" spans="6:17" ht="13.2">
      <c r="F508" s="198"/>
      <c r="Q508" s="198"/>
    </row>
    <row r="509" spans="6:17" ht="13.2">
      <c r="F509" s="198"/>
      <c r="Q509" s="198"/>
    </row>
    <row r="510" spans="6:17" ht="13.2">
      <c r="F510" s="198"/>
      <c r="Q510" s="198"/>
    </row>
    <row r="511" spans="6:17" ht="13.2">
      <c r="F511" s="198"/>
      <c r="Q511" s="198"/>
    </row>
    <row r="512" spans="6:17" ht="13.2">
      <c r="F512" s="198"/>
      <c r="Q512" s="198"/>
    </row>
    <row r="513" spans="6:17" ht="13.2">
      <c r="F513" s="198"/>
      <c r="Q513" s="198"/>
    </row>
    <row r="514" spans="6:17" ht="13.2">
      <c r="F514" s="198"/>
      <c r="Q514" s="198"/>
    </row>
    <row r="515" spans="6:17" ht="13.2">
      <c r="F515" s="198"/>
      <c r="Q515" s="198"/>
    </row>
    <row r="516" spans="6:17" ht="13.2">
      <c r="F516" s="198"/>
      <c r="Q516" s="198"/>
    </row>
    <row r="517" spans="6:17" ht="13.2">
      <c r="F517" s="198"/>
      <c r="Q517" s="198"/>
    </row>
    <row r="518" spans="6:17" ht="13.2">
      <c r="F518" s="198"/>
      <c r="Q518" s="198"/>
    </row>
    <row r="519" spans="6:17" ht="13.2">
      <c r="F519" s="198"/>
      <c r="Q519" s="198"/>
    </row>
    <row r="520" spans="6:17" ht="13.2">
      <c r="F520" s="198"/>
      <c r="Q520" s="198"/>
    </row>
    <row r="521" spans="6:17" ht="13.2">
      <c r="F521" s="198"/>
      <c r="Q521" s="198"/>
    </row>
    <row r="522" spans="6:17" ht="13.2">
      <c r="F522" s="198"/>
      <c r="Q522" s="198"/>
    </row>
    <row r="523" spans="6:17" ht="13.2">
      <c r="F523" s="198"/>
      <c r="Q523" s="198"/>
    </row>
    <row r="524" spans="6:17" ht="13.2">
      <c r="F524" s="198"/>
      <c r="Q524" s="198"/>
    </row>
    <row r="525" spans="6:17" ht="13.2">
      <c r="F525" s="198"/>
      <c r="Q525" s="198"/>
    </row>
    <row r="526" spans="6:17" ht="13.2">
      <c r="F526" s="198"/>
      <c r="Q526" s="198"/>
    </row>
    <row r="527" spans="6:17" ht="13.2">
      <c r="F527" s="198"/>
      <c r="Q527" s="198"/>
    </row>
    <row r="528" spans="6:17" ht="13.2">
      <c r="F528" s="198"/>
      <c r="Q528" s="198"/>
    </row>
    <row r="529" spans="6:17" ht="13.2">
      <c r="F529" s="198"/>
      <c r="Q529" s="198"/>
    </row>
    <row r="530" spans="6:17" ht="13.2">
      <c r="F530" s="198"/>
      <c r="Q530" s="198"/>
    </row>
    <row r="531" spans="6:17" ht="13.2">
      <c r="F531" s="198"/>
      <c r="Q531" s="198"/>
    </row>
    <row r="532" spans="6:17" ht="13.2">
      <c r="F532" s="198"/>
      <c r="Q532" s="198"/>
    </row>
    <row r="533" spans="6:17" ht="13.2">
      <c r="F533" s="198"/>
      <c r="Q533" s="198"/>
    </row>
    <row r="534" spans="6:17" ht="13.2">
      <c r="F534" s="198"/>
      <c r="Q534" s="198"/>
    </row>
    <row r="535" spans="6:17" ht="13.2">
      <c r="F535" s="198"/>
      <c r="Q535" s="198"/>
    </row>
    <row r="536" spans="6:17" ht="13.2">
      <c r="F536" s="198"/>
      <c r="Q536" s="198"/>
    </row>
    <row r="537" spans="6:17" ht="13.2">
      <c r="F537" s="198"/>
      <c r="Q537" s="198"/>
    </row>
    <row r="538" spans="6:17" ht="13.2">
      <c r="F538" s="198"/>
      <c r="Q538" s="198"/>
    </row>
    <row r="539" spans="6:17" ht="13.2">
      <c r="F539" s="198"/>
      <c r="Q539" s="198"/>
    </row>
    <row r="540" spans="6:17" ht="13.2">
      <c r="F540" s="198"/>
      <c r="Q540" s="198"/>
    </row>
    <row r="541" spans="6:17" ht="13.2">
      <c r="F541" s="198"/>
      <c r="Q541" s="198"/>
    </row>
    <row r="542" spans="6:17" ht="13.2">
      <c r="F542" s="198"/>
      <c r="Q542" s="198"/>
    </row>
    <row r="543" spans="6:17" ht="13.2">
      <c r="F543" s="198"/>
      <c r="Q543" s="198"/>
    </row>
    <row r="544" spans="6:17" ht="13.2">
      <c r="F544" s="198"/>
      <c r="Q544" s="198"/>
    </row>
    <row r="545" spans="6:17" ht="13.2">
      <c r="F545" s="198"/>
      <c r="Q545" s="198"/>
    </row>
    <row r="546" spans="6:17" ht="13.2">
      <c r="F546" s="198"/>
      <c r="Q546" s="198"/>
    </row>
    <row r="547" spans="6:17" ht="13.2">
      <c r="F547" s="198"/>
      <c r="Q547" s="198"/>
    </row>
    <row r="548" spans="6:17" ht="13.2">
      <c r="F548" s="198"/>
      <c r="Q548" s="198"/>
    </row>
    <row r="549" spans="6:17" ht="13.2">
      <c r="F549" s="198"/>
      <c r="Q549" s="198"/>
    </row>
    <row r="550" spans="6:17" ht="13.2">
      <c r="F550" s="198"/>
      <c r="Q550" s="198"/>
    </row>
    <row r="551" spans="6:17" ht="13.2">
      <c r="F551" s="198"/>
      <c r="Q551" s="198"/>
    </row>
    <row r="552" spans="6:17" ht="13.2">
      <c r="F552" s="198"/>
      <c r="Q552" s="198"/>
    </row>
    <row r="553" spans="6:17" ht="13.2">
      <c r="F553" s="198"/>
      <c r="Q553" s="198"/>
    </row>
    <row r="554" spans="6:17" ht="13.2">
      <c r="F554" s="198"/>
      <c r="Q554" s="198"/>
    </row>
    <row r="555" spans="6:17" ht="13.2">
      <c r="F555" s="198"/>
      <c r="Q555" s="198"/>
    </row>
    <row r="556" spans="6:17" ht="13.2">
      <c r="F556" s="198"/>
      <c r="Q556" s="198"/>
    </row>
    <row r="557" spans="6:17" ht="13.2">
      <c r="F557" s="198"/>
      <c r="Q557" s="198"/>
    </row>
    <row r="558" spans="6:17" ht="13.2">
      <c r="F558" s="198"/>
      <c r="Q558" s="198"/>
    </row>
    <row r="559" spans="6:17" ht="13.2">
      <c r="F559" s="198"/>
      <c r="Q559" s="198"/>
    </row>
    <row r="560" spans="6:17" ht="13.2">
      <c r="F560" s="198"/>
      <c r="Q560" s="198"/>
    </row>
    <row r="561" spans="6:17" ht="13.2">
      <c r="F561" s="198"/>
      <c r="Q561" s="198"/>
    </row>
    <row r="562" spans="6:17" ht="13.2">
      <c r="F562" s="198"/>
      <c r="Q562" s="198"/>
    </row>
    <row r="563" spans="6:17" ht="13.2">
      <c r="F563" s="198"/>
      <c r="Q563" s="198"/>
    </row>
    <row r="564" spans="6:17" ht="13.2">
      <c r="F564" s="198"/>
      <c r="Q564" s="198"/>
    </row>
    <row r="565" spans="6:17" ht="13.2">
      <c r="F565" s="198"/>
      <c r="Q565" s="198"/>
    </row>
    <row r="566" spans="6:17" ht="13.2">
      <c r="F566" s="198"/>
      <c r="Q566" s="198"/>
    </row>
    <row r="567" spans="6:17" ht="13.2">
      <c r="F567" s="198"/>
      <c r="Q567" s="198"/>
    </row>
    <row r="568" spans="6:17" ht="13.2">
      <c r="F568" s="198"/>
      <c r="Q568" s="198"/>
    </row>
    <row r="569" spans="6:17" ht="13.2">
      <c r="F569" s="198"/>
      <c r="Q569" s="198"/>
    </row>
    <row r="570" spans="6:17" ht="13.2">
      <c r="F570" s="198"/>
      <c r="Q570" s="198"/>
    </row>
    <row r="571" spans="6:17" ht="13.2">
      <c r="F571" s="198"/>
      <c r="Q571" s="198"/>
    </row>
    <row r="572" spans="6:17" ht="13.2">
      <c r="F572" s="198"/>
      <c r="Q572" s="198"/>
    </row>
    <row r="573" spans="6:17" ht="13.2">
      <c r="F573" s="198"/>
      <c r="Q573" s="198"/>
    </row>
    <row r="574" spans="6:17" ht="13.2">
      <c r="F574" s="198"/>
      <c r="Q574" s="198"/>
    </row>
    <row r="575" spans="6:17" ht="13.2">
      <c r="F575" s="198"/>
      <c r="Q575" s="198"/>
    </row>
    <row r="576" spans="6:17" ht="13.2">
      <c r="F576" s="198"/>
      <c r="Q576" s="198"/>
    </row>
    <row r="577" spans="6:17" ht="13.2">
      <c r="F577" s="198"/>
      <c r="Q577" s="198"/>
    </row>
    <row r="578" spans="6:17" ht="13.2">
      <c r="F578" s="198"/>
      <c r="Q578" s="198"/>
    </row>
    <row r="579" spans="6:17" ht="13.2">
      <c r="F579" s="198"/>
      <c r="Q579" s="198"/>
    </row>
    <row r="580" spans="6:17" ht="13.2">
      <c r="F580" s="198"/>
      <c r="Q580" s="198"/>
    </row>
    <row r="581" spans="6:17" ht="13.2">
      <c r="F581" s="198"/>
      <c r="Q581" s="198"/>
    </row>
    <row r="582" spans="6:17" ht="13.2">
      <c r="F582" s="198"/>
      <c r="Q582" s="198"/>
    </row>
    <row r="583" spans="6:17" ht="13.2">
      <c r="F583" s="198"/>
      <c r="Q583" s="198"/>
    </row>
    <row r="584" spans="6:17" ht="13.2">
      <c r="F584" s="198"/>
      <c r="Q584" s="198"/>
    </row>
    <row r="585" spans="6:17" ht="13.2">
      <c r="F585" s="198"/>
      <c r="Q585" s="198"/>
    </row>
    <row r="586" spans="6:17" ht="13.2">
      <c r="F586" s="198"/>
      <c r="Q586" s="198"/>
    </row>
    <row r="587" spans="6:17" ht="13.2">
      <c r="F587" s="198"/>
      <c r="Q587" s="198"/>
    </row>
    <row r="588" spans="6:17" ht="13.2">
      <c r="F588" s="198"/>
      <c r="Q588" s="198"/>
    </row>
    <row r="589" spans="6:17" ht="13.2">
      <c r="F589" s="198"/>
      <c r="Q589" s="198"/>
    </row>
    <row r="590" spans="6:17" ht="13.2">
      <c r="F590" s="198"/>
      <c r="Q590" s="198"/>
    </row>
    <row r="591" spans="6:17" ht="13.2">
      <c r="F591" s="198"/>
      <c r="Q591" s="198"/>
    </row>
    <row r="592" spans="6:17" ht="13.2">
      <c r="F592" s="198"/>
      <c r="Q592" s="198"/>
    </row>
    <row r="593" spans="6:17" ht="13.2">
      <c r="F593" s="198"/>
      <c r="Q593" s="198"/>
    </row>
    <row r="594" spans="6:17" ht="13.2">
      <c r="F594" s="198"/>
      <c r="Q594" s="198"/>
    </row>
    <row r="595" spans="6:17" ht="13.2">
      <c r="F595" s="198"/>
      <c r="Q595" s="198"/>
    </row>
    <row r="596" spans="6:17" ht="13.2">
      <c r="F596" s="198"/>
      <c r="Q596" s="198"/>
    </row>
    <row r="597" spans="6:17" ht="13.2">
      <c r="F597" s="198"/>
      <c r="Q597" s="198"/>
    </row>
    <row r="598" spans="6:17" ht="13.2">
      <c r="F598" s="198"/>
      <c r="Q598" s="198"/>
    </row>
    <row r="599" spans="6:17" ht="13.2">
      <c r="F599" s="198"/>
      <c r="Q599" s="198"/>
    </row>
    <row r="600" spans="6:17" ht="13.2">
      <c r="F600" s="198"/>
      <c r="Q600" s="198"/>
    </row>
    <row r="601" spans="6:17" ht="13.2">
      <c r="F601" s="198"/>
      <c r="Q601" s="198"/>
    </row>
    <row r="602" spans="6:17" ht="13.2">
      <c r="F602" s="198"/>
      <c r="Q602" s="198"/>
    </row>
    <row r="603" spans="6:17" ht="13.2">
      <c r="F603" s="198"/>
      <c r="Q603" s="198"/>
    </row>
    <row r="604" spans="6:17" ht="13.2">
      <c r="F604" s="198"/>
      <c r="Q604" s="198"/>
    </row>
    <row r="605" spans="6:17" ht="13.2">
      <c r="F605" s="198"/>
      <c r="Q605" s="198"/>
    </row>
    <row r="606" spans="6:17" ht="13.2">
      <c r="F606" s="198"/>
      <c r="Q606" s="198"/>
    </row>
    <row r="607" spans="6:17" ht="13.2">
      <c r="F607" s="198"/>
      <c r="Q607" s="198"/>
    </row>
    <row r="608" spans="6:17" ht="13.2">
      <c r="F608" s="198"/>
      <c r="Q608" s="198"/>
    </row>
    <row r="609" spans="6:17" ht="13.2">
      <c r="F609" s="198"/>
      <c r="Q609" s="198"/>
    </row>
    <row r="610" spans="6:17" ht="13.2">
      <c r="F610" s="198"/>
      <c r="Q610" s="198"/>
    </row>
    <row r="611" spans="6:17" ht="13.2">
      <c r="F611" s="198"/>
      <c r="Q611" s="198"/>
    </row>
    <row r="612" spans="6:17" ht="13.2">
      <c r="F612" s="198"/>
      <c r="Q612" s="198"/>
    </row>
    <row r="613" spans="6:17" ht="13.2">
      <c r="F613" s="198"/>
      <c r="Q613" s="198"/>
    </row>
    <row r="614" spans="6:17" ht="13.2">
      <c r="F614" s="198"/>
      <c r="Q614" s="198"/>
    </row>
    <row r="615" spans="6:17" ht="13.2">
      <c r="F615" s="198"/>
      <c r="Q615" s="198"/>
    </row>
    <row r="616" spans="6:17" ht="13.2">
      <c r="F616" s="198"/>
      <c r="Q616" s="198"/>
    </row>
    <row r="617" spans="6:17" ht="13.2">
      <c r="F617" s="198"/>
      <c r="Q617" s="198"/>
    </row>
    <row r="618" spans="6:17" ht="13.2">
      <c r="F618" s="198"/>
      <c r="Q618" s="198"/>
    </row>
    <row r="619" spans="6:17" ht="13.2">
      <c r="F619" s="198"/>
      <c r="Q619" s="198"/>
    </row>
    <row r="620" spans="6:17" ht="13.2">
      <c r="F620" s="198"/>
      <c r="Q620" s="198"/>
    </row>
    <row r="621" spans="6:17" ht="13.2">
      <c r="F621" s="198"/>
      <c r="Q621" s="198"/>
    </row>
    <row r="622" spans="6:17" ht="13.2">
      <c r="F622" s="198"/>
      <c r="Q622" s="198"/>
    </row>
    <row r="623" spans="6:17" ht="13.2">
      <c r="F623" s="198"/>
      <c r="Q623" s="198"/>
    </row>
    <row r="624" spans="6:17" ht="13.2">
      <c r="F624" s="198"/>
      <c r="Q624" s="198"/>
    </row>
    <row r="625" spans="6:17" ht="13.2">
      <c r="F625" s="198"/>
      <c r="Q625" s="198"/>
    </row>
    <row r="626" spans="6:17" ht="13.2">
      <c r="F626" s="198"/>
      <c r="Q626" s="198"/>
    </row>
    <row r="627" spans="6:17" ht="13.2">
      <c r="F627" s="198"/>
      <c r="Q627" s="198"/>
    </row>
    <row r="628" spans="6:17" ht="13.2">
      <c r="F628" s="198"/>
      <c r="Q628" s="198"/>
    </row>
    <row r="629" spans="6:17" ht="13.2">
      <c r="F629" s="198"/>
      <c r="Q629" s="198"/>
    </row>
    <row r="630" spans="6:17" ht="13.2">
      <c r="F630" s="198"/>
      <c r="Q630" s="198"/>
    </row>
    <row r="631" spans="6:17" ht="13.2">
      <c r="F631" s="198"/>
      <c r="Q631" s="198"/>
    </row>
    <row r="632" spans="6:17" ht="13.2">
      <c r="F632" s="198"/>
      <c r="Q632" s="198"/>
    </row>
    <row r="633" spans="6:17" ht="13.2">
      <c r="F633" s="198"/>
      <c r="Q633" s="198"/>
    </row>
    <row r="634" spans="6:17" ht="13.2">
      <c r="F634" s="198"/>
      <c r="Q634" s="198"/>
    </row>
    <row r="635" spans="6:17" ht="13.2">
      <c r="F635" s="198"/>
      <c r="Q635" s="198"/>
    </row>
    <row r="636" spans="6:17" ht="13.2">
      <c r="F636" s="198"/>
      <c r="Q636" s="198"/>
    </row>
    <row r="637" spans="6:17" ht="13.2">
      <c r="F637" s="198"/>
      <c r="Q637" s="198"/>
    </row>
    <row r="638" spans="6:17" ht="13.2">
      <c r="F638" s="198"/>
      <c r="Q638" s="198"/>
    </row>
    <row r="639" spans="6:17" ht="13.2">
      <c r="F639" s="198"/>
      <c r="Q639" s="198"/>
    </row>
    <row r="640" spans="6:17" ht="13.2">
      <c r="F640" s="198"/>
      <c r="Q640" s="198"/>
    </row>
    <row r="641" spans="6:17" ht="13.2">
      <c r="F641" s="198"/>
      <c r="Q641" s="198"/>
    </row>
    <row r="642" spans="6:17" ht="13.2">
      <c r="F642" s="198"/>
      <c r="Q642" s="198"/>
    </row>
    <row r="643" spans="6:17" ht="13.2">
      <c r="F643" s="198"/>
      <c r="Q643" s="198"/>
    </row>
    <row r="644" spans="6:17" ht="13.2">
      <c r="F644" s="198"/>
      <c r="Q644" s="198"/>
    </row>
    <row r="645" spans="6:17" ht="13.2">
      <c r="F645" s="198"/>
      <c r="Q645" s="198"/>
    </row>
    <row r="646" spans="6:17" ht="13.2">
      <c r="F646" s="198"/>
      <c r="Q646" s="198"/>
    </row>
    <row r="647" spans="6:17" ht="13.2">
      <c r="F647" s="198"/>
      <c r="Q647" s="198"/>
    </row>
    <row r="648" spans="6:17" ht="13.2">
      <c r="F648" s="198"/>
      <c r="Q648" s="198"/>
    </row>
    <row r="649" spans="6:17" ht="13.2">
      <c r="F649" s="198"/>
      <c r="Q649" s="198"/>
    </row>
    <row r="650" spans="6:17" ht="13.2">
      <c r="F650" s="198"/>
      <c r="Q650" s="198"/>
    </row>
    <row r="651" spans="6:17" ht="13.2">
      <c r="F651" s="198"/>
      <c r="Q651" s="198"/>
    </row>
    <row r="652" spans="6:17" ht="13.2">
      <c r="F652" s="198"/>
      <c r="Q652" s="198"/>
    </row>
    <row r="653" spans="6:17" ht="13.2">
      <c r="F653" s="198"/>
      <c r="Q653" s="198"/>
    </row>
    <row r="654" spans="6:17" ht="13.2">
      <c r="F654" s="198"/>
      <c r="Q654" s="198"/>
    </row>
    <row r="655" spans="6:17" ht="13.2">
      <c r="F655" s="198"/>
      <c r="Q655" s="198"/>
    </row>
    <row r="656" spans="6:17" ht="13.2">
      <c r="F656" s="198"/>
      <c r="Q656" s="198"/>
    </row>
    <row r="657" spans="6:17" ht="13.2">
      <c r="F657" s="198"/>
      <c r="Q657" s="198"/>
    </row>
    <row r="658" spans="6:17" ht="13.2">
      <c r="F658" s="198"/>
      <c r="Q658" s="198"/>
    </row>
    <row r="659" spans="6:17" ht="13.2">
      <c r="F659" s="198"/>
      <c r="Q659" s="198"/>
    </row>
    <row r="660" spans="6:17" ht="13.2">
      <c r="F660" s="198"/>
      <c r="Q660" s="198"/>
    </row>
    <row r="661" spans="6:17" ht="13.2">
      <c r="F661" s="198"/>
      <c r="Q661" s="198"/>
    </row>
    <row r="662" spans="6:17" ht="13.2">
      <c r="F662" s="198"/>
      <c r="Q662" s="198"/>
    </row>
    <row r="663" spans="6:17" ht="13.2">
      <c r="F663" s="198"/>
      <c r="Q663" s="198"/>
    </row>
    <row r="664" spans="6:17" ht="13.2">
      <c r="F664" s="198"/>
      <c r="Q664" s="198"/>
    </row>
    <row r="665" spans="6:17" ht="13.2">
      <c r="F665" s="198"/>
      <c r="Q665" s="198"/>
    </row>
    <row r="666" spans="6:17" ht="13.2">
      <c r="F666" s="198"/>
      <c r="Q666" s="198"/>
    </row>
    <row r="667" spans="6:17" ht="13.2">
      <c r="F667" s="198"/>
      <c r="Q667" s="198"/>
    </row>
    <row r="668" spans="6:17" ht="13.2">
      <c r="F668" s="198"/>
      <c r="Q668" s="198"/>
    </row>
    <row r="669" spans="6:17" ht="13.2">
      <c r="F669" s="198"/>
      <c r="Q669" s="198"/>
    </row>
    <row r="670" spans="6:17" ht="13.2">
      <c r="F670" s="198"/>
      <c r="Q670" s="198"/>
    </row>
    <row r="671" spans="6:17" ht="13.2">
      <c r="F671" s="198"/>
      <c r="Q671" s="198"/>
    </row>
    <row r="672" spans="6:17" ht="13.2">
      <c r="F672" s="198"/>
      <c r="Q672" s="198"/>
    </row>
    <row r="673" spans="6:17" ht="13.2">
      <c r="F673" s="198"/>
      <c r="Q673" s="198"/>
    </row>
    <row r="674" spans="6:17" ht="13.2">
      <c r="F674" s="198"/>
      <c r="Q674" s="198"/>
    </row>
    <row r="675" spans="6:17" ht="13.2">
      <c r="F675" s="198"/>
      <c r="Q675" s="198"/>
    </row>
    <row r="676" spans="6:17" ht="13.2">
      <c r="F676" s="198"/>
      <c r="Q676" s="198"/>
    </row>
    <row r="677" spans="6:17" ht="13.2">
      <c r="F677" s="198"/>
      <c r="Q677" s="198"/>
    </row>
    <row r="678" spans="6:17" ht="13.2">
      <c r="F678" s="198"/>
      <c r="Q678" s="198"/>
    </row>
    <row r="679" spans="6:17" ht="13.2">
      <c r="F679" s="198"/>
      <c r="Q679" s="198"/>
    </row>
    <row r="680" spans="6:17" ht="13.2">
      <c r="F680" s="198"/>
      <c r="Q680" s="198"/>
    </row>
    <row r="681" spans="6:17" ht="13.2">
      <c r="F681" s="198"/>
      <c r="Q681" s="198"/>
    </row>
    <row r="682" spans="6:17" ht="13.2">
      <c r="F682" s="198"/>
      <c r="Q682" s="198"/>
    </row>
    <row r="683" spans="6:17" ht="13.2">
      <c r="F683" s="198"/>
      <c r="Q683" s="198"/>
    </row>
    <row r="684" spans="6:17" ht="13.2">
      <c r="F684" s="198"/>
      <c r="Q684" s="198"/>
    </row>
    <row r="685" spans="6:17" ht="13.2">
      <c r="F685" s="198"/>
      <c r="Q685" s="198"/>
    </row>
    <row r="686" spans="6:17" ht="13.2">
      <c r="F686" s="198"/>
      <c r="Q686" s="198"/>
    </row>
    <row r="687" spans="6:17" ht="13.2">
      <c r="F687" s="198"/>
      <c r="Q687" s="198"/>
    </row>
    <row r="688" spans="6:17" ht="13.2">
      <c r="F688" s="198"/>
      <c r="Q688" s="198"/>
    </row>
    <row r="689" spans="6:17" ht="13.2">
      <c r="F689" s="198"/>
      <c r="Q689" s="198"/>
    </row>
    <row r="690" spans="6:17" ht="13.2">
      <c r="F690" s="198"/>
      <c r="Q690" s="198"/>
    </row>
    <row r="691" spans="6:17" ht="13.2">
      <c r="F691" s="198"/>
      <c r="Q691" s="198"/>
    </row>
    <row r="692" spans="6:17" ht="13.2">
      <c r="F692" s="198"/>
      <c r="Q692" s="198"/>
    </row>
    <row r="693" spans="6:17" ht="13.2">
      <c r="F693" s="198"/>
      <c r="Q693" s="198"/>
    </row>
    <row r="694" spans="6:17" ht="13.2">
      <c r="F694" s="198"/>
      <c r="Q694" s="198"/>
    </row>
    <row r="695" spans="6:17" ht="13.2">
      <c r="F695" s="198"/>
      <c r="Q695" s="198"/>
    </row>
    <row r="696" spans="6:17" ht="13.2">
      <c r="F696" s="198"/>
      <c r="Q696" s="198"/>
    </row>
    <row r="697" spans="6:17" ht="13.2">
      <c r="F697" s="198"/>
      <c r="Q697" s="198"/>
    </row>
    <row r="698" spans="6:17" ht="13.2">
      <c r="F698" s="198"/>
      <c r="Q698" s="198"/>
    </row>
    <row r="699" spans="6:17" ht="13.2">
      <c r="F699" s="198"/>
      <c r="Q699" s="198"/>
    </row>
    <row r="700" spans="6:17" ht="13.2">
      <c r="F700" s="198"/>
      <c r="Q700" s="198"/>
    </row>
    <row r="701" spans="6:17" ht="13.2">
      <c r="F701" s="198"/>
      <c r="Q701" s="198"/>
    </row>
    <row r="702" spans="6:17" ht="13.2">
      <c r="F702" s="198"/>
      <c r="Q702" s="198"/>
    </row>
    <row r="703" spans="6:17" ht="13.2">
      <c r="F703" s="198"/>
      <c r="Q703" s="198"/>
    </row>
    <row r="704" spans="6:17" ht="13.2">
      <c r="F704" s="198"/>
      <c r="Q704" s="198"/>
    </row>
    <row r="705" spans="6:17" ht="13.2">
      <c r="F705" s="198"/>
      <c r="Q705" s="198"/>
    </row>
    <row r="706" spans="6:17" ht="13.2">
      <c r="F706" s="198"/>
      <c r="Q706" s="198"/>
    </row>
    <row r="707" spans="6:17" ht="13.2">
      <c r="F707" s="198"/>
      <c r="Q707" s="198"/>
    </row>
    <row r="708" spans="6:17" ht="13.2">
      <c r="F708" s="198"/>
      <c r="Q708" s="198"/>
    </row>
    <row r="709" spans="6:17" ht="13.2">
      <c r="F709" s="198"/>
      <c r="Q709" s="198"/>
    </row>
    <row r="710" spans="6:17" ht="13.2">
      <c r="F710" s="198"/>
      <c r="Q710" s="198"/>
    </row>
    <row r="711" spans="6:17" ht="13.2">
      <c r="F711" s="198"/>
      <c r="Q711" s="198"/>
    </row>
    <row r="712" spans="6:17" ht="13.2">
      <c r="F712" s="198"/>
      <c r="Q712" s="198"/>
    </row>
    <row r="713" spans="6:17" ht="13.2">
      <c r="F713" s="198"/>
      <c r="Q713" s="198"/>
    </row>
    <row r="714" spans="6:17" ht="13.2">
      <c r="F714" s="198"/>
      <c r="Q714" s="198"/>
    </row>
    <row r="715" spans="6:17" ht="13.2">
      <c r="F715" s="198"/>
      <c r="Q715" s="198"/>
    </row>
    <row r="716" spans="6:17" ht="13.2">
      <c r="F716" s="198"/>
      <c r="Q716" s="198"/>
    </row>
    <row r="717" spans="6:17" ht="13.2">
      <c r="F717" s="198"/>
      <c r="Q717" s="198"/>
    </row>
    <row r="718" spans="6:17" ht="13.2">
      <c r="F718" s="198"/>
      <c r="Q718" s="198"/>
    </row>
    <row r="719" spans="6:17" ht="13.2">
      <c r="F719" s="198"/>
      <c r="Q719" s="198"/>
    </row>
    <row r="720" spans="6:17" ht="13.2">
      <c r="F720" s="198"/>
      <c r="Q720" s="198"/>
    </row>
    <row r="721" spans="6:17" ht="13.2">
      <c r="F721" s="198"/>
      <c r="Q721" s="198"/>
    </row>
    <row r="722" spans="6:17" ht="13.2">
      <c r="F722" s="198"/>
      <c r="Q722" s="198"/>
    </row>
    <row r="723" spans="6:17" ht="13.2">
      <c r="F723" s="198"/>
      <c r="Q723" s="198"/>
    </row>
    <row r="724" spans="6:17" ht="13.2">
      <c r="F724" s="198"/>
      <c r="Q724" s="198"/>
    </row>
    <row r="725" spans="6:17" ht="13.2">
      <c r="F725" s="198"/>
      <c r="Q725" s="198"/>
    </row>
    <row r="726" spans="6:17" ht="13.2">
      <c r="F726" s="198"/>
      <c r="Q726" s="198"/>
    </row>
    <row r="727" spans="6:17" ht="13.2">
      <c r="F727" s="198"/>
      <c r="Q727" s="198"/>
    </row>
    <row r="728" spans="6:17" ht="13.2">
      <c r="F728" s="198"/>
      <c r="Q728" s="198"/>
    </row>
    <row r="729" spans="6:17" ht="13.2">
      <c r="F729" s="198"/>
      <c r="Q729" s="198"/>
    </row>
    <row r="730" spans="6:17" ht="13.2">
      <c r="F730" s="198"/>
      <c r="Q730" s="198"/>
    </row>
    <row r="731" spans="6:17" ht="13.2">
      <c r="F731" s="198"/>
      <c r="Q731" s="198"/>
    </row>
    <row r="732" spans="6:17" ht="13.2">
      <c r="F732" s="198"/>
      <c r="Q732" s="198"/>
    </row>
    <row r="733" spans="6:17" ht="13.2">
      <c r="F733" s="198"/>
      <c r="Q733" s="198"/>
    </row>
    <row r="734" spans="6:17" ht="13.2">
      <c r="F734" s="198"/>
      <c r="Q734" s="198"/>
    </row>
    <row r="735" spans="6:17" ht="13.2">
      <c r="F735" s="198"/>
      <c r="Q735" s="198"/>
    </row>
    <row r="736" spans="6:17" ht="13.2">
      <c r="F736" s="198"/>
      <c r="Q736" s="198"/>
    </row>
    <row r="737" spans="6:17" ht="13.2">
      <c r="F737" s="198"/>
      <c r="Q737" s="198"/>
    </row>
    <row r="738" spans="6:17" ht="13.2">
      <c r="F738" s="198"/>
      <c r="Q738" s="198"/>
    </row>
    <row r="739" spans="6:17" ht="13.2">
      <c r="F739" s="198"/>
      <c r="Q739" s="198"/>
    </row>
    <row r="740" spans="6:17" ht="13.2">
      <c r="F740" s="198"/>
      <c r="Q740" s="198"/>
    </row>
    <row r="741" spans="6:17" ht="13.2">
      <c r="F741" s="198"/>
      <c r="Q741" s="198"/>
    </row>
    <row r="742" spans="6:17" ht="13.2">
      <c r="F742" s="198"/>
      <c r="Q742" s="198"/>
    </row>
    <row r="743" spans="6:17" ht="13.2">
      <c r="F743" s="198"/>
      <c r="Q743" s="198"/>
    </row>
    <row r="744" spans="6:17" ht="13.2">
      <c r="F744" s="198"/>
      <c r="Q744" s="198"/>
    </row>
    <row r="745" spans="6:17" ht="13.2">
      <c r="F745" s="198"/>
      <c r="Q745" s="198"/>
    </row>
    <row r="746" spans="6:17" ht="13.2">
      <c r="F746" s="198"/>
      <c r="Q746" s="198"/>
    </row>
    <row r="747" spans="6:17" ht="13.2">
      <c r="F747" s="198"/>
      <c r="Q747" s="198"/>
    </row>
    <row r="748" spans="6:17" ht="13.2">
      <c r="F748" s="198"/>
      <c r="Q748" s="198"/>
    </row>
    <row r="749" spans="6:17" ht="13.2">
      <c r="F749" s="198"/>
      <c r="Q749" s="198"/>
    </row>
    <row r="750" spans="6:17" ht="13.2">
      <c r="F750" s="198"/>
      <c r="Q750" s="198"/>
    </row>
    <row r="751" spans="6:17" ht="13.2">
      <c r="F751" s="198"/>
      <c r="Q751" s="198"/>
    </row>
    <row r="752" spans="6:17" ht="13.2">
      <c r="F752" s="198"/>
      <c r="Q752" s="198"/>
    </row>
    <row r="753" spans="6:17" ht="13.2">
      <c r="F753" s="198"/>
      <c r="Q753" s="198"/>
    </row>
    <row r="754" spans="6:17" ht="13.2">
      <c r="F754" s="198"/>
      <c r="Q754" s="198"/>
    </row>
    <row r="755" spans="6:17" ht="13.2">
      <c r="F755" s="198"/>
      <c r="Q755" s="198"/>
    </row>
    <row r="756" spans="6:17" ht="13.2">
      <c r="F756" s="198"/>
      <c r="Q756" s="198"/>
    </row>
    <row r="757" spans="6:17" ht="13.2">
      <c r="F757" s="198"/>
      <c r="Q757" s="198"/>
    </row>
    <row r="758" spans="6:17" ht="13.2">
      <c r="F758" s="198"/>
      <c r="Q758" s="198"/>
    </row>
    <row r="759" spans="6:17" ht="13.2">
      <c r="F759" s="198"/>
      <c r="Q759" s="198"/>
    </row>
    <row r="760" spans="6:17" ht="13.2">
      <c r="F760" s="198"/>
      <c r="Q760" s="198"/>
    </row>
    <row r="761" spans="6:17" ht="13.2">
      <c r="F761" s="198"/>
      <c r="Q761" s="198"/>
    </row>
    <row r="762" spans="6:17" ht="13.2">
      <c r="F762" s="198"/>
      <c r="Q762" s="198"/>
    </row>
    <row r="763" spans="6:17" ht="13.2">
      <c r="F763" s="198"/>
      <c r="Q763" s="198"/>
    </row>
    <row r="764" spans="6:17" ht="13.2">
      <c r="F764" s="198"/>
      <c r="Q764" s="198"/>
    </row>
    <row r="765" spans="6:17" ht="13.2">
      <c r="F765" s="198"/>
      <c r="Q765" s="198"/>
    </row>
    <row r="766" spans="6:17" ht="13.2">
      <c r="F766" s="198"/>
      <c r="Q766" s="198"/>
    </row>
    <row r="767" spans="6:17" ht="13.2">
      <c r="F767" s="198"/>
      <c r="Q767" s="198"/>
    </row>
    <row r="768" spans="6:17" ht="13.2">
      <c r="F768" s="198"/>
      <c r="Q768" s="198"/>
    </row>
    <row r="769" spans="6:17" ht="13.2">
      <c r="F769" s="198"/>
      <c r="Q769" s="198"/>
    </row>
    <row r="770" spans="6:17" ht="13.2">
      <c r="F770" s="198"/>
      <c r="Q770" s="198"/>
    </row>
    <row r="771" spans="6:17" ht="13.2">
      <c r="F771" s="198"/>
      <c r="Q771" s="198"/>
    </row>
    <row r="772" spans="6:17" ht="13.2">
      <c r="F772" s="198"/>
      <c r="Q772" s="198"/>
    </row>
    <row r="773" spans="6:17" ht="13.2">
      <c r="F773" s="198"/>
      <c r="Q773" s="198"/>
    </row>
    <row r="774" spans="6:17" ht="13.2">
      <c r="F774" s="198"/>
      <c r="Q774" s="198"/>
    </row>
    <row r="775" spans="6:17" ht="13.2">
      <c r="F775" s="198"/>
      <c r="Q775" s="198"/>
    </row>
    <row r="776" spans="6:17" ht="13.2">
      <c r="F776" s="198"/>
      <c r="Q776" s="198"/>
    </row>
    <row r="777" spans="6:17" ht="13.2">
      <c r="F777" s="198"/>
      <c r="Q777" s="198"/>
    </row>
    <row r="778" spans="6:17" ht="13.2">
      <c r="F778" s="198"/>
      <c r="Q778" s="198"/>
    </row>
    <row r="779" spans="6:17" ht="13.2">
      <c r="F779" s="198"/>
      <c r="Q779" s="198"/>
    </row>
    <row r="780" spans="6:17" ht="13.2">
      <c r="F780" s="198"/>
      <c r="Q780" s="198"/>
    </row>
    <row r="781" spans="6:17" ht="13.2">
      <c r="F781" s="198"/>
      <c r="Q781" s="198"/>
    </row>
    <row r="782" spans="6:17" ht="13.2">
      <c r="F782" s="198"/>
      <c r="Q782" s="198"/>
    </row>
    <row r="783" spans="6:17" ht="13.2">
      <c r="F783" s="198"/>
      <c r="Q783" s="198"/>
    </row>
    <row r="784" spans="6:17" ht="13.2">
      <c r="F784" s="198"/>
      <c r="Q784" s="198"/>
    </row>
    <row r="785" spans="6:17" ht="13.2">
      <c r="F785" s="198"/>
      <c r="Q785" s="198"/>
    </row>
    <row r="786" spans="6:17" ht="13.2">
      <c r="F786" s="198"/>
      <c r="Q786" s="198"/>
    </row>
    <row r="787" spans="6:17" ht="13.2">
      <c r="F787" s="198"/>
      <c r="Q787" s="198"/>
    </row>
    <row r="788" spans="6:17" ht="13.2">
      <c r="F788" s="198"/>
      <c r="Q788" s="198"/>
    </row>
    <row r="789" spans="6:17" ht="13.2">
      <c r="F789" s="198"/>
      <c r="Q789" s="198"/>
    </row>
    <row r="790" spans="6:17" ht="13.2">
      <c r="F790" s="198"/>
      <c r="Q790" s="198"/>
    </row>
    <row r="791" spans="6:17" ht="13.2">
      <c r="F791" s="198"/>
      <c r="Q791" s="198"/>
    </row>
    <row r="792" spans="6:17" ht="13.2">
      <c r="F792" s="198"/>
      <c r="Q792" s="198"/>
    </row>
    <row r="793" spans="6:17" ht="13.2">
      <c r="F793" s="198"/>
      <c r="Q793" s="198"/>
    </row>
    <row r="794" spans="6:17" ht="13.2">
      <c r="F794" s="198"/>
      <c r="Q794" s="198"/>
    </row>
    <row r="795" spans="6:17" ht="13.2">
      <c r="F795" s="198"/>
      <c r="Q795" s="198"/>
    </row>
    <row r="796" spans="6:17" ht="13.2">
      <c r="F796" s="198"/>
      <c r="Q796" s="198"/>
    </row>
    <row r="797" spans="6:17" ht="13.2">
      <c r="F797" s="198"/>
      <c r="Q797" s="198"/>
    </row>
    <row r="798" spans="6:17" ht="13.2">
      <c r="F798" s="198"/>
      <c r="Q798" s="198"/>
    </row>
    <row r="799" spans="6:17" ht="13.2">
      <c r="F799" s="198"/>
      <c r="Q799" s="198"/>
    </row>
    <row r="800" spans="6:17" ht="13.2">
      <c r="F800" s="198"/>
      <c r="Q800" s="198"/>
    </row>
    <row r="801" spans="6:17" ht="13.2">
      <c r="F801" s="198"/>
      <c r="Q801" s="198"/>
    </row>
    <row r="802" spans="6:17" ht="13.2">
      <c r="F802" s="198"/>
      <c r="Q802" s="198"/>
    </row>
    <row r="803" spans="6:17" ht="13.2">
      <c r="F803" s="198"/>
      <c r="Q803" s="198"/>
    </row>
    <row r="804" spans="6:17" ht="13.2">
      <c r="F804" s="198"/>
      <c r="Q804" s="198"/>
    </row>
    <row r="805" spans="6:17" ht="13.2">
      <c r="F805" s="198"/>
      <c r="Q805" s="198"/>
    </row>
    <row r="806" spans="6:17" ht="13.2">
      <c r="F806" s="198"/>
      <c r="Q806" s="198"/>
    </row>
    <row r="807" spans="6:17" ht="13.2">
      <c r="F807" s="198"/>
      <c r="Q807" s="198"/>
    </row>
    <row r="808" spans="6:17" ht="13.2">
      <c r="F808" s="198"/>
      <c r="Q808" s="198"/>
    </row>
    <row r="809" spans="6:17" ht="13.2">
      <c r="F809" s="198"/>
      <c r="Q809" s="198"/>
    </row>
    <row r="810" spans="6:17" ht="13.2">
      <c r="F810" s="198"/>
      <c r="Q810" s="198"/>
    </row>
    <row r="811" spans="6:17" ht="13.2">
      <c r="F811" s="198"/>
      <c r="Q811" s="198"/>
    </row>
    <row r="812" spans="6:17" ht="13.2">
      <c r="F812" s="198"/>
      <c r="Q812" s="198"/>
    </row>
    <row r="813" spans="6:17" ht="13.2">
      <c r="F813" s="198"/>
      <c r="Q813" s="198"/>
    </row>
    <row r="814" spans="6:17" ht="13.2">
      <c r="F814" s="198"/>
      <c r="Q814" s="198"/>
    </row>
    <row r="815" spans="6:17" ht="13.2">
      <c r="F815" s="198"/>
      <c r="Q815" s="198"/>
    </row>
    <row r="816" spans="6:17" ht="13.2">
      <c r="F816" s="198"/>
      <c r="Q816" s="198"/>
    </row>
    <row r="817" spans="6:17" ht="13.2">
      <c r="F817" s="198"/>
      <c r="Q817" s="198"/>
    </row>
    <row r="818" spans="6:17" ht="13.2">
      <c r="F818" s="198"/>
      <c r="Q818" s="198"/>
    </row>
    <row r="819" spans="6:17" ht="13.2">
      <c r="F819" s="198"/>
      <c r="Q819" s="198"/>
    </row>
    <row r="820" spans="6:17" ht="13.2">
      <c r="F820" s="198"/>
      <c r="Q820" s="198"/>
    </row>
    <row r="821" spans="6:17" ht="13.2">
      <c r="F821" s="198"/>
      <c r="Q821" s="198"/>
    </row>
    <row r="822" spans="6:17" ht="13.2">
      <c r="F822" s="198"/>
      <c r="Q822" s="198"/>
    </row>
    <row r="823" spans="6:17" ht="13.2">
      <c r="F823" s="198"/>
      <c r="Q823" s="198"/>
    </row>
    <row r="824" spans="6:17" ht="13.2">
      <c r="F824" s="198"/>
      <c r="Q824" s="198"/>
    </row>
    <row r="825" spans="6:17" ht="13.2">
      <c r="F825" s="198"/>
      <c r="Q825" s="198"/>
    </row>
    <row r="826" spans="6:17" ht="13.2">
      <c r="F826" s="198"/>
      <c r="Q826" s="198"/>
    </row>
    <row r="827" spans="6:17" ht="13.2">
      <c r="F827" s="198"/>
      <c r="Q827" s="198"/>
    </row>
    <row r="828" spans="6:17" ht="13.2">
      <c r="F828" s="198"/>
      <c r="Q828" s="198"/>
    </row>
    <row r="829" spans="6:17" ht="13.2">
      <c r="F829" s="198"/>
      <c r="Q829" s="198"/>
    </row>
    <row r="830" spans="6:17" ht="13.2">
      <c r="F830" s="198"/>
      <c r="Q830" s="198"/>
    </row>
    <row r="831" spans="6:17" ht="13.2">
      <c r="F831" s="198"/>
      <c r="Q831" s="198"/>
    </row>
    <row r="832" spans="6:17" ht="13.2">
      <c r="F832" s="198"/>
      <c r="Q832" s="198"/>
    </row>
    <row r="833" spans="6:17" ht="13.2">
      <c r="F833" s="198"/>
      <c r="Q833" s="198"/>
    </row>
    <row r="834" spans="6:17" ht="13.2">
      <c r="F834" s="198"/>
      <c r="Q834" s="198"/>
    </row>
    <row r="835" spans="6:17" ht="13.2">
      <c r="F835" s="198"/>
      <c r="Q835" s="198"/>
    </row>
    <row r="836" spans="6:17" ht="13.2">
      <c r="F836" s="198"/>
      <c r="Q836" s="198"/>
    </row>
    <row r="837" spans="6:17" ht="13.2">
      <c r="F837" s="198"/>
      <c r="Q837" s="198"/>
    </row>
    <row r="838" spans="6:17" ht="13.2">
      <c r="F838" s="198"/>
      <c r="Q838" s="198"/>
    </row>
    <row r="839" spans="6:17" ht="13.2">
      <c r="F839" s="198"/>
      <c r="Q839" s="198"/>
    </row>
    <row r="840" spans="6:17" ht="13.2">
      <c r="F840" s="198"/>
      <c r="Q840" s="198"/>
    </row>
    <row r="841" spans="6:17" ht="13.2">
      <c r="F841" s="198"/>
      <c r="Q841" s="198"/>
    </row>
    <row r="842" spans="6:17" ht="13.2">
      <c r="F842" s="198"/>
      <c r="Q842" s="198"/>
    </row>
    <row r="843" spans="6:17" ht="13.2">
      <c r="F843" s="198"/>
      <c r="Q843" s="198"/>
    </row>
    <row r="844" spans="6:17" ht="13.2">
      <c r="F844" s="198"/>
      <c r="Q844" s="198"/>
    </row>
    <row r="845" spans="6:17" ht="13.2">
      <c r="F845" s="198"/>
      <c r="Q845" s="198"/>
    </row>
    <row r="846" spans="6:17" ht="13.2">
      <c r="F846" s="198"/>
      <c r="Q846" s="198"/>
    </row>
    <row r="847" spans="6:17" ht="13.2">
      <c r="F847" s="198"/>
      <c r="Q847" s="198"/>
    </row>
    <row r="848" spans="6:17" ht="13.2">
      <c r="F848" s="198"/>
      <c r="Q848" s="198"/>
    </row>
    <row r="849" spans="6:17" ht="13.2">
      <c r="F849" s="198"/>
      <c r="Q849" s="198"/>
    </row>
    <row r="850" spans="6:17" ht="13.2">
      <c r="F850" s="198"/>
      <c r="Q850" s="198"/>
    </row>
    <row r="851" spans="6:17" ht="13.2">
      <c r="F851" s="198"/>
      <c r="Q851" s="198"/>
    </row>
    <row r="852" spans="6:17" ht="13.2">
      <c r="F852" s="198"/>
      <c r="Q852" s="198"/>
    </row>
    <row r="853" spans="6:17" ht="13.2">
      <c r="F853" s="198"/>
      <c r="Q853" s="198"/>
    </row>
    <row r="854" spans="6:17" ht="13.2">
      <c r="F854" s="198"/>
      <c r="Q854" s="198"/>
    </row>
    <row r="855" spans="6:17" ht="13.2">
      <c r="F855" s="198"/>
      <c r="Q855" s="198"/>
    </row>
    <row r="856" spans="6:17" ht="13.2">
      <c r="F856" s="198"/>
      <c r="Q856" s="198"/>
    </row>
    <row r="857" spans="6:17" ht="13.2">
      <c r="F857" s="198"/>
      <c r="Q857" s="198"/>
    </row>
    <row r="858" spans="6:17" ht="13.2">
      <c r="F858" s="198"/>
      <c r="Q858" s="198"/>
    </row>
    <row r="859" spans="6:17" ht="13.2">
      <c r="F859" s="198"/>
      <c r="Q859" s="198"/>
    </row>
    <row r="860" spans="6:17" ht="13.2">
      <c r="F860" s="198"/>
      <c r="Q860" s="198"/>
    </row>
    <row r="861" spans="6:17" ht="13.2">
      <c r="F861" s="198"/>
      <c r="Q861" s="198"/>
    </row>
    <row r="862" spans="6:17" ht="13.2">
      <c r="F862" s="198"/>
      <c r="Q862" s="198"/>
    </row>
    <row r="863" spans="6:17" ht="13.2">
      <c r="F863" s="198"/>
      <c r="Q863" s="198"/>
    </row>
    <row r="864" spans="6:17" ht="13.2">
      <c r="F864" s="198"/>
      <c r="Q864" s="198"/>
    </row>
    <row r="865" spans="6:17" ht="13.2">
      <c r="F865" s="198"/>
      <c r="Q865" s="198"/>
    </row>
    <row r="866" spans="6:17" ht="13.2">
      <c r="F866" s="198"/>
      <c r="Q866" s="198"/>
    </row>
    <row r="867" spans="6:17" ht="13.2">
      <c r="F867" s="198"/>
      <c r="Q867" s="198"/>
    </row>
    <row r="868" spans="6:17" ht="13.2">
      <c r="F868" s="198"/>
      <c r="Q868" s="198"/>
    </row>
    <row r="869" spans="6:17" ht="13.2">
      <c r="F869" s="198"/>
      <c r="Q869" s="198"/>
    </row>
    <row r="870" spans="6:17" ht="13.2">
      <c r="F870" s="198"/>
      <c r="Q870" s="198"/>
    </row>
    <row r="871" spans="6:17" ht="13.2">
      <c r="F871" s="198"/>
      <c r="Q871" s="198"/>
    </row>
    <row r="872" spans="6:17" ht="13.2">
      <c r="F872" s="198"/>
      <c r="Q872" s="198"/>
    </row>
    <row r="873" spans="6:17" ht="13.2">
      <c r="F873" s="198"/>
      <c r="Q873" s="198"/>
    </row>
    <row r="874" spans="6:17" ht="13.2">
      <c r="F874" s="198"/>
      <c r="Q874" s="198"/>
    </row>
    <row r="875" spans="6:17" ht="13.2">
      <c r="F875" s="198"/>
      <c r="Q875" s="198"/>
    </row>
    <row r="876" spans="6:17" ht="13.2">
      <c r="F876" s="198"/>
      <c r="Q876" s="198"/>
    </row>
    <row r="877" spans="6:17" ht="13.2">
      <c r="F877" s="198"/>
      <c r="Q877" s="198"/>
    </row>
    <row r="878" spans="6:17" ht="13.2">
      <c r="F878" s="198"/>
      <c r="Q878" s="198"/>
    </row>
    <row r="879" spans="6:17" ht="13.2">
      <c r="F879" s="198"/>
      <c r="Q879" s="198"/>
    </row>
    <row r="880" spans="6:17" ht="13.2">
      <c r="F880" s="198"/>
      <c r="Q880" s="198"/>
    </row>
    <row r="881" spans="6:17" ht="13.2">
      <c r="F881" s="198"/>
      <c r="Q881" s="198"/>
    </row>
    <row r="882" spans="6:17" ht="13.2">
      <c r="F882" s="198"/>
      <c r="Q882" s="198"/>
    </row>
    <row r="883" spans="6:17" ht="13.2">
      <c r="F883" s="198"/>
      <c r="Q883" s="198"/>
    </row>
    <row r="884" spans="6:17" ht="13.2">
      <c r="F884" s="198"/>
      <c r="Q884" s="198"/>
    </row>
    <row r="885" spans="6:17" ht="13.2">
      <c r="F885" s="198"/>
      <c r="Q885" s="198"/>
    </row>
    <row r="886" spans="6:17" ht="13.2">
      <c r="F886" s="198"/>
      <c r="Q886" s="198"/>
    </row>
    <row r="887" spans="6:17" ht="13.2">
      <c r="F887" s="198"/>
      <c r="Q887" s="198"/>
    </row>
    <row r="888" spans="6:17" ht="13.2">
      <c r="F888" s="198"/>
      <c r="Q888" s="198"/>
    </row>
    <row r="889" spans="6:17" ht="13.2">
      <c r="F889" s="198"/>
      <c r="Q889" s="198"/>
    </row>
    <row r="890" spans="6:17" ht="13.2">
      <c r="F890" s="198"/>
      <c r="Q890" s="198"/>
    </row>
    <row r="891" spans="6:17" ht="13.2">
      <c r="F891" s="198"/>
      <c r="Q891" s="198"/>
    </row>
    <row r="892" spans="6:17" ht="13.2">
      <c r="F892" s="198"/>
      <c r="Q892" s="198"/>
    </row>
    <row r="893" spans="6:17" ht="13.2">
      <c r="F893" s="198"/>
      <c r="Q893" s="198"/>
    </row>
    <row r="894" spans="6:17" ht="13.2">
      <c r="F894" s="198"/>
      <c r="Q894" s="198"/>
    </row>
    <row r="895" spans="6:17" ht="13.2">
      <c r="F895" s="198"/>
      <c r="Q895" s="198"/>
    </row>
    <row r="896" spans="6:17" ht="13.2">
      <c r="F896" s="198"/>
      <c r="Q896" s="198"/>
    </row>
    <row r="897" spans="6:17" ht="13.2">
      <c r="F897" s="198"/>
      <c r="Q897" s="198"/>
    </row>
    <row r="898" spans="6:17" ht="13.2">
      <c r="F898" s="198"/>
      <c r="Q898" s="198"/>
    </row>
    <row r="899" spans="6:17" ht="13.2">
      <c r="F899" s="198"/>
      <c r="Q899" s="198"/>
    </row>
    <row r="900" spans="6:17" ht="13.2">
      <c r="F900" s="198"/>
      <c r="Q900" s="198"/>
    </row>
    <row r="901" spans="6:17" ht="13.2">
      <c r="F901" s="198"/>
      <c r="Q901" s="198"/>
    </row>
    <row r="902" spans="6:17" ht="13.2">
      <c r="F902" s="198"/>
      <c r="Q902" s="198"/>
    </row>
    <row r="903" spans="6:17" ht="13.2">
      <c r="F903" s="198"/>
      <c r="Q903" s="198"/>
    </row>
    <row r="904" spans="6:17" ht="13.2">
      <c r="F904" s="198"/>
      <c r="Q904" s="198"/>
    </row>
    <row r="905" spans="6:17" ht="13.2">
      <c r="F905" s="198"/>
      <c r="Q905" s="198"/>
    </row>
    <row r="906" spans="6:17" ht="13.2">
      <c r="F906" s="198"/>
      <c r="Q906" s="198"/>
    </row>
    <row r="907" spans="6:17" ht="13.2">
      <c r="F907" s="198"/>
      <c r="Q907" s="198"/>
    </row>
    <row r="908" spans="6:17" ht="13.2">
      <c r="F908" s="198"/>
      <c r="Q908" s="198"/>
    </row>
    <row r="909" spans="6:17" ht="13.2">
      <c r="F909" s="198"/>
      <c r="Q909" s="198"/>
    </row>
    <row r="910" spans="6:17" ht="13.2">
      <c r="F910" s="198"/>
      <c r="Q910" s="198"/>
    </row>
    <row r="911" spans="6:17" ht="13.2">
      <c r="F911" s="198"/>
      <c r="Q911" s="198"/>
    </row>
    <row r="912" spans="6:17" ht="13.2">
      <c r="F912" s="198"/>
      <c r="Q912" s="198"/>
    </row>
    <row r="913" spans="6:17" ht="13.2">
      <c r="F913" s="198"/>
      <c r="Q913" s="198"/>
    </row>
    <row r="914" spans="6:17" ht="13.2">
      <c r="F914" s="198"/>
      <c r="Q914" s="198"/>
    </row>
    <row r="915" spans="6:17" ht="13.2">
      <c r="F915" s="198"/>
      <c r="Q915" s="198"/>
    </row>
    <row r="916" spans="6:17" ht="13.2">
      <c r="F916" s="198"/>
      <c r="Q916" s="198"/>
    </row>
    <row r="917" spans="6:17" ht="13.2">
      <c r="F917" s="198"/>
      <c r="Q917" s="198"/>
    </row>
    <row r="918" spans="6:17" ht="13.2">
      <c r="F918" s="198"/>
      <c r="Q918" s="198"/>
    </row>
    <row r="919" spans="6:17" ht="13.2">
      <c r="F919" s="198"/>
      <c r="Q919" s="198"/>
    </row>
    <row r="920" spans="6:17" ht="13.2">
      <c r="F920" s="198"/>
      <c r="Q920" s="198"/>
    </row>
    <row r="921" spans="6:17" ht="13.2">
      <c r="F921" s="198"/>
      <c r="Q921" s="198"/>
    </row>
    <row r="922" spans="6:17" ht="13.2">
      <c r="F922" s="198"/>
      <c r="Q922" s="198"/>
    </row>
    <row r="923" spans="6:17" ht="13.2">
      <c r="F923" s="198"/>
      <c r="Q923" s="198"/>
    </row>
    <row r="924" spans="6:17" ht="13.2">
      <c r="F924" s="198"/>
      <c r="Q924" s="198"/>
    </row>
    <row r="925" spans="6:17" ht="13.2">
      <c r="F925" s="198"/>
      <c r="Q925" s="198"/>
    </row>
    <row r="926" spans="6:17" ht="13.2">
      <c r="F926" s="198"/>
      <c r="Q926" s="198"/>
    </row>
    <row r="927" spans="6:17" ht="13.2">
      <c r="F927" s="198"/>
      <c r="Q927" s="198"/>
    </row>
    <row r="928" spans="6:17" ht="13.2">
      <c r="F928" s="198"/>
      <c r="Q928" s="198"/>
    </row>
    <row r="929" spans="6:17" ht="13.2">
      <c r="F929" s="198"/>
      <c r="Q929" s="198"/>
    </row>
    <row r="930" spans="6:17" ht="13.2">
      <c r="F930" s="198"/>
      <c r="Q930" s="198"/>
    </row>
    <row r="931" spans="6:17" ht="13.2">
      <c r="F931" s="198"/>
      <c r="Q931" s="198"/>
    </row>
    <row r="932" spans="6:17" ht="13.2">
      <c r="F932" s="198"/>
      <c r="Q932" s="198"/>
    </row>
    <row r="933" spans="6:17" ht="13.2">
      <c r="F933" s="198"/>
      <c r="Q933" s="198"/>
    </row>
    <row r="934" spans="6:17" ht="13.2">
      <c r="F934" s="198"/>
      <c r="Q934" s="198"/>
    </row>
    <row r="935" spans="6:17" ht="13.2">
      <c r="F935" s="198"/>
      <c r="Q935" s="198"/>
    </row>
    <row r="936" spans="6:17" ht="13.2">
      <c r="F936" s="198"/>
      <c r="Q936" s="198"/>
    </row>
    <row r="937" spans="6:17" ht="13.2">
      <c r="F937" s="198"/>
      <c r="Q937" s="198"/>
    </row>
    <row r="938" spans="6:17" ht="13.2">
      <c r="F938" s="198"/>
      <c r="Q938" s="198"/>
    </row>
    <row r="939" spans="6:17" ht="13.2">
      <c r="F939" s="198"/>
      <c r="Q939" s="198"/>
    </row>
    <row r="940" spans="6:17" ht="13.2">
      <c r="F940" s="198"/>
      <c r="Q940" s="198"/>
    </row>
    <row r="941" spans="6:17" ht="13.2">
      <c r="F941" s="198"/>
      <c r="Q941" s="198"/>
    </row>
    <row r="942" spans="6:17" ht="13.2">
      <c r="F942" s="198"/>
      <c r="Q942" s="198"/>
    </row>
    <row r="943" spans="6:17" ht="13.2">
      <c r="F943" s="198"/>
      <c r="Q943" s="198"/>
    </row>
    <row r="944" spans="6:17" ht="13.2">
      <c r="F944" s="198"/>
      <c r="Q944" s="198"/>
    </row>
    <row r="945" spans="6:17" ht="13.2">
      <c r="F945" s="198"/>
      <c r="Q945" s="198"/>
    </row>
    <row r="946" spans="6:17" ht="13.2">
      <c r="F946" s="198"/>
      <c r="Q946" s="198"/>
    </row>
    <row r="947" spans="6:17" ht="13.2">
      <c r="F947" s="198"/>
      <c r="Q947" s="198"/>
    </row>
    <row r="948" spans="6:17" ht="13.2">
      <c r="F948" s="198"/>
      <c r="Q948" s="198"/>
    </row>
    <row r="949" spans="6:17" ht="13.2">
      <c r="F949" s="198"/>
      <c r="Q949" s="198"/>
    </row>
    <row r="950" spans="6:17" ht="13.2">
      <c r="F950" s="198"/>
      <c r="Q950" s="198"/>
    </row>
    <row r="951" spans="6:17" ht="13.2">
      <c r="F951" s="198"/>
      <c r="Q951" s="198"/>
    </row>
    <row r="952" spans="6:17" ht="13.2">
      <c r="F952" s="198"/>
      <c r="Q952" s="198"/>
    </row>
    <row r="953" spans="6:17" ht="13.2">
      <c r="F953" s="198"/>
      <c r="Q953" s="198"/>
    </row>
    <row r="954" spans="6:17" ht="13.2">
      <c r="F954" s="198"/>
      <c r="Q954" s="198"/>
    </row>
    <row r="955" spans="6:17" ht="13.2">
      <c r="F955" s="198"/>
      <c r="Q955" s="198"/>
    </row>
    <row r="956" spans="6:17" ht="13.2">
      <c r="F956" s="198"/>
      <c r="Q956" s="198"/>
    </row>
    <row r="957" spans="6:17" ht="13.2">
      <c r="F957" s="198"/>
      <c r="Q957" s="198"/>
    </row>
    <row r="958" spans="6:17" ht="13.2">
      <c r="F958" s="198"/>
      <c r="Q958" s="198"/>
    </row>
    <row r="959" spans="6:17" ht="13.2">
      <c r="F959" s="198"/>
      <c r="Q959" s="198"/>
    </row>
    <row r="960" spans="6:17" ht="13.2">
      <c r="F960" s="198"/>
      <c r="Q960" s="198"/>
    </row>
    <row r="961" spans="6:17" ht="13.2">
      <c r="F961" s="198"/>
      <c r="Q961" s="198"/>
    </row>
    <row r="962" spans="6:17" ht="13.2">
      <c r="F962" s="198"/>
      <c r="Q962" s="198"/>
    </row>
    <row r="963" spans="6:17" ht="13.2">
      <c r="F963" s="198"/>
      <c r="Q963" s="198"/>
    </row>
    <row r="964" spans="6:17" ht="13.2">
      <c r="F964" s="198"/>
      <c r="Q964" s="198"/>
    </row>
    <row r="965" spans="6:17" ht="13.2">
      <c r="F965" s="198"/>
      <c r="Q965" s="198"/>
    </row>
    <row r="966" spans="6:17" ht="13.2">
      <c r="F966" s="198"/>
      <c r="Q966" s="198"/>
    </row>
    <row r="967" spans="6:17" ht="13.2">
      <c r="F967" s="198"/>
      <c r="Q967" s="198"/>
    </row>
    <row r="968" spans="6:17" ht="13.2">
      <c r="F968" s="198"/>
      <c r="Q968" s="198"/>
    </row>
    <row r="969" spans="6:17" ht="13.2">
      <c r="F969" s="198"/>
      <c r="Q969" s="198"/>
    </row>
    <row r="970" spans="6:17" ht="13.2">
      <c r="F970" s="198"/>
      <c r="Q970" s="198"/>
    </row>
    <row r="971" spans="6:17" ht="13.2">
      <c r="F971" s="198"/>
      <c r="Q971" s="198"/>
    </row>
    <row r="972" spans="6:17" ht="13.2">
      <c r="F972" s="198"/>
      <c r="Q972" s="198"/>
    </row>
    <row r="973" spans="6:17" ht="13.2">
      <c r="F973" s="198"/>
      <c r="Q973" s="198"/>
    </row>
    <row r="974" spans="6:17" ht="13.2">
      <c r="F974" s="198"/>
      <c r="Q974" s="198"/>
    </row>
    <row r="975" spans="6:17" ht="13.2">
      <c r="F975" s="198"/>
      <c r="Q975" s="198"/>
    </row>
    <row r="976" spans="6:17" ht="13.2">
      <c r="F976" s="198"/>
      <c r="Q976" s="198"/>
    </row>
    <row r="977" spans="6:17" ht="13.2">
      <c r="F977" s="198"/>
      <c r="Q977" s="198"/>
    </row>
    <row r="978" spans="6:17" ht="13.2">
      <c r="F978" s="198"/>
      <c r="Q978" s="198"/>
    </row>
    <row r="979" spans="6:17" ht="13.2">
      <c r="F979" s="198"/>
      <c r="Q979" s="198"/>
    </row>
    <row r="980" spans="6:17" ht="13.2">
      <c r="F980" s="198"/>
      <c r="Q980" s="198"/>
    </row>
    <row r="981" spans="6:17" ht="13.2">
      <c r="F981" s="198"/>
      <c r="Q981" s="198"/>
    </row>
    <row r="982" spans="6:17" ht="13.2">
      <c r="F982" s="198"/>
      <c r="Q982" s="198"/>
    </row>
    <row r="983" spans="6:17" ht="13.2">
      <c r="F983" s="198"/>
      <c r="Q983" s="198"/>
    </row>
    <row r="984" spans="6:17" ht="13.2">
      <c r="F984" s="198"/>
      <c r="Q984" s="198"/>
    </row>
    <row r="985" spans="6:17" ht="13.2">
      <c r="F985" s="198"/>
      <c r="Q985" s="198"/>
    </row>
    <row r="986" spans="6:17" ht="13.2">
      <c r="F986" s="198"/>
      <c r="Q986" s="198"/>
    </row>
    <row r="987" spans="6:17" ht="13.2">
      <c r="F987" s="198"/>
      <c r="Q987" s="198"/>
    </row>
    <row r="988" spans="6:17" ht="13.2">
      <c r="F988" s="198"/>
      <c r="Q988" s="198"/>
    </row>
    <row r="989" spans="6:17" ht="13.2">
      <c r="F989" s="198"/>
      <c r="Q989" s="198"/>
    </row>
    <row r="990" spans="6:17" ht="13.2">
      <c r="F990" s="198"/>
      <c r="Q990" s="198"/>
    </row>
    <row r="991" spans="6:17" ht="13.2">
      <c r="F991" s="198"/>
      <c r="Q991" s="198"/>
    </row>
    <row r="992" spans="6:17" ht="13.2">
      <c r="F992" s="198"/>
      <c r="Q992" s="198"/>
    </row>
    <row r="993" spans="6:17" ht="13.2">
      <c r="F993" s="198"/>
      <c r="Q993" s="198"/>
    </row>
    <row r="994" spans="6:17" ht="13.2">
      <c r="F994" s="198"/>
      <c r="Q994" s="198"/>
    </row>
    <row r="995" spans="6:17" ht="13.2">
      <c r="F995" s="198"/>
      <c r="Q995" s="198"/>
    </row>
    <row r="996" spans="6:17" ht="13.2">
      <c r="F996" s="198"/>
      <c r="Q996" s="198"/>
    </row>
    <row r="997" spans="6:17" ht="13.2">
      <c r="F997" s="198"/>
      <c r="Q997" s="198"/>
    </row>
    <row r="998" spans="6:17" ht="13.2">
      <c r="F998" s="198"/>
      <c r="Q998" s="198"/>
    </row>
    <row r="999" spans="6:17" ht="13.2">
      <c r="F999" s="198"/>
      <c r="Q999" s="198"/>
    </row>
    <row r="1000" spans="6:17" ht="13.2">
      <c r="F1000" s="198"/>
      <c r="Q1000" s="198"/>
    </row>
  </sheetData>
  <mergeCells count="8">
    <mergeCell ref="S2:V2"/>
    <mergeCell ref="W2:Z2"/>
    <mergeCell ref="AC2:AF2"/>
    <mergeCell ref="A2:A3"/>
    <mergeCell ref="B2:B3"/>
    <mergeCell ref="F2:I2"/>
    <mergeCell ref="J2:N2"/>
    <mergeCell ref="O2:R2"/>
  </mergeCells>
  <dataValidations count="2">
    <dataValidation type="list" allowBlank="1" showErrorMessage="1" sqref="F4:AA49" xr:uid="{00000000-0002-0000-0C00-000000000000}">
      <formula1>"አለ/ች,ቀሪ,ፍቃድ"</formula1>
    </dataValidation>
    <dataValidation type="list" allowBlank="1" showErrorMessage="1" sqref="D4:D29" xr:uid="{00000000-0002-0000-0C00-000001000000}">
      <formula1>"ወ,ሴ"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FFFF"/>
    <outlinePr summaryBelow="0" summaryRight="0"/>
  </sheetPr>
  <dimension ref="A1:AF1000"/>
  <sheetViews>
    <sheetView workbookViewId="0">
      <pane xSplit="2" topLeftCell="C1" activePane="topRight" state="frozen"/>
      <selection pane="topRight" activeCell="D2" sqref="D2"/>
    </sheetView>
  </sheetViews>
  <sheetFormatPr defaultColWidth="12.6640625" defaultRowHeight="15.75" customHeight="1"/>
  <cols>
    <col min="2" max="2" width="15.44140625" customWidth="1"/>
    <col min="3" max="3" width="6.33203125" customWidth="1"/>
    <col min="4" max="4" width="5.77734375" customWidth="1"/>
  </cols>
  <sheetData>
    <row r="1" spans="1:32">
      <c r="F1" s="198"/>
      <c r="Q1" s="198"/>
      <c r="V1" s="198"/>
    </row>
    <row r="2" spans="1:32" ht="15.75" customHeight="1">
      <c r="A2" s="329" t="s">
        <v>0</v>
      </c>
      <c r="B2" s="329" t="s">
        <v>1</v>
      </c>
      <c r="C2" s="5"/>
      <c r="D2" s="6"/>
      <c r="E2" s="154"/>
      <c r="F2" s="322" t="s">
        <v>2</v>
      </c>
      <c r="G2" s="311"/>
      <c r="H2" s="311"/>
      <c r="I2" s="312"/>
      <c r="J2" s="334" t="s">
        <v>6</v>
      </c>
      <c r="K2" s="311"/>
      <c r="L2" s="311"/>
      <c r="M2" s="311"/>
      <c r="N2" s="312"/>
      <c r="O2" s="334" t="s">
        <v>10</v>
      </c>
      <c r="P2" s="311"/>
      <c r="Q2" s="311"/>
      <c r="R2" s="312"/>
      <c r="S2" s="334" t="s">
        <v>12</v>
      </c>
      <c r="T2" s="311"/>
      <c r="U2" s="311"/>
      <c r="V2" s="312"/>
      <c r="W2" s="334" t="s">
        <v>15</v>
      </c>
      <c r="X2" s="311"/>
      <c r="Y2" s="311"/>
      <c r="Z2" s="312"/>
      <c r="AA2" s="297" t="s">
        <v>17</v>
      </c>
      <c r="AB2" s="22"/>
      <c r="AC2" s="325"/>
      <c r="AD2" s="311"/>
      <c r="AE2" s="311"/>
      <c r="AF2" s="312"/>
    </row>
    <row r="3" spans="1:32" ht="15.75" customHeight="1">
      <c r="A3" s="314"/>
      <c r="B3" s="314"/>
      <c r="C3" s="15" t="s">
        <v>5</v>
      </c>
      <c r="D3" s="15" t="s">
        <v>7</v>
      </c>
      <c r="E3" s="15" t="s">
        <v>8</v>
      </c>
      <c r="F3" s="299">
        <v>4</v>
      </c>
      <c r="G3" s="300">
        <v>11</v>
      </c>
      <c r="H3" s="300">
        <v>18</v>
      </c>
      <c r="I3" s="300">
        <v>25</v>
      </c>
      <c r="J3" s="300">
        <v>2</v>
      </c>
      <c r="K3" s="300">
        <v>9</v>
      </c>
      <c r="L3" s="300">
        <v>16</v>
      </c>
      <c r="M3" s="300">
        <v>23</v>
      </c>
      <c r="N3" s="300">
        <v>30</v>
      </c>
      <c r="O3" s="300">
        <v>7</v>
      </c>
      <c r="P3" s="300">
        <v>14</v>
      </c>
      <c r="Q3" s="300">
        <v>21</v>
      </c>
      <c r="R3" s="300">
        <v>28</v>
      </c>
      <c r="S3" s="300">
        <v>5</v>
      </c>
      <c r="T3" s="300">
        <v>12</v>
      </c>
      <c r="U3" s="301">
        <v>19</v>
      </c>
      <c r="V3" s="301">
        <v>26</v>
      </c>
      <c r="W3" s="300">
        <v>3</v>
      </c>
      <c r="X3" s="300">
        <v>10</v>
      </c>
      <c r="Y3" s="300">
        <v>17</v>
      </c>
      <c r="Z3" s="300">
        <v>24</v>
      </c>
      <c r="AA3" s="300">
        <v>1</v>
      </c>
      <c r="AB3" s="157"/>
      <c r="AC3" s="38"/>
      <c r="AD3" s="38"/>
      <c r="AE3" s="38"/>
      <c r="AF3" s="25"/>
    </row>
    <row r="4" spans="1:32">
      <c r="A4" s="292" t="s">
        <v>1064</v>
      </c>
      <c r="B4" s="293" t="s">
        <v>1065</v>
      </c>
      <c r="C4" s="294">
        <v>27</v>
      </c>
      <c r="D4" s="294" t="s">
        <v>26</v>
      </c>
      <c r="E4" s="294">
        <v>993463874</v>
      </c>
      <c r="F4" s="169"/>
      <c r="G4" s="42" t="s">
        <v>27</v>
      </c>
      <c r="H4" s="42" t="s">
        <v>27</v>
      </c>
      <c r="I4" s="42" t="s">
        <v>27</v>
      </c>
      <c r="J4" s="42" t="s">
        <v>27</v>
      </c>
      <c r="K4" s="42" t="s">
        <v>27</v>
      </c>
      <c r="L4" s="42" t="s">
        <v>27</v>
      </c>
      <c r="M4" s="42" t="s">
        <v>27</v>
      </c>
      <c r="N4" s="42" t="s">
        <v>27</v>
      </c>
      <c r="O4" s="42" t="s">
        <v>27</v>
      </c>
      <c r="P4" s="42" t="s">
        <v>27</v>
      </c>
      <c r="Q4" s="169"/>
      <c r="R4" s="42" t="s">
        <v>27</v>
      </c>
      <c r="S4" s="42" t="s">
        <v>27</v>
      </c>
      <c r="T4" s="42" t="s">
        <v>27</v>
      </c>
      <c r="U4" s="42" t="s">
        <v>27</v>
      </c>
      <c r="V4" s="170"/>
      <c r="W4" s="42" t="s">
        <v>27</v>
      </c>
      <c r="X4" s="42" t="s">
        <v>27</v>
      </c>
      <c r="Y4" s="42" t="s">
        <v>27</v>
      </c>
      <c r="Z4" s="42"/>
      <c r="AA4" s="44"/>
      <c r="AB4" s="44"/>
      <c r="AC4" s="42"/>
      <c r="AD4" s="42"/>
      <c r="AE4" s="44"/>
      <c r="AF4" s="46"/>
    </row>
    <row r="5" spans="1:32">
      <c r="A5" s="293" t="s">
        <v>1066</v>
      </c>
      <c r="B5" s="293" t="s">
        <v>1067</v>
      </c>
      <c r="C5" s="294">
        <v>27</v>
      </c>
      <c r="D5" s="294" t="s">
        <v>35</v>
      </c>
      <c r="E5" s="294">
        <v>965077843</v>
      </c>
      <c r="F5" s="169"/>
      <c r="G5" s="42" t="s">
        <v>27</v>
      </c>
      <c r="H5" s="42" t="s">
        <v>19</v>
      </c>
      <c r="I5" s="42" t="s">
        <v>19</v>
      </c>
      <c r="J5" s="42" t="s">
        <v>19</v>
      </c>
      <c r="K5" s="42" t="s">
        <v>19</v>
      </c>
      <c r="L5" s="42" t="s">
        <v>19</v>
      </c>
      <c r="M5" s="42" t="s">
        <v>19</v>
      </c>
      <c r="N5" s="42" t="s">
        <v>19</v>
      </c>
      <c r="O5" s="42" t="s">
        <v>19</v>
      </c>
      <c r="P5" s="42" t="s">
        <v>19</v>
      </c>
      <c r="Q5" s="169"/>
      <c r="R5" s="42" t="s">
        <v>19</v>
      </c>
      <c r="S5" s="42" t="s">
        <v>19</v>
      </c>
      <c r="T5" s="42" t="s">
        <v>19</v>
      </c>
      <c r="U5" s="42" t="s">
        <v>19</v>
      </c>
      <c r="V5" s="170"/>
      <c r="W5" s="42" t="s">
        <v>19</v>
      </c>
      <c r="X5" s="42" t="s">
        <v>19</v>
      </c>
      <c r="Y5" s="42" t="s">
        <v>19</v>
      </c>
      <c r="Z5" s="42"/>
      <c r="AA5" s="44"/>
      <c r="AB5" s="44"/>
      <c r="AC5" s="42"/>
      <c r="AD5" s="42"/>
      <c r="AE5" s="44"/>
      <c r="AF5" s="46"/>
    </row>
    <row r="6" spans="1:32">
      <c r="A6" s="293" t="s">
        <v>1068</v>
      </c>
      <c r="B6" s="293" t="s">
        <v>1069</v>
      </c>
      <c r="C6" s="294">
        <v>31</v>
      </c>
      <c r="D6" s="294" t="s">
        <v>26</v>
      </c>
      <c r="E6" s="294">
        <v>929340479</v>
      </c>
      <c r="F6" s="169"/>
      <c r="G6" s="42" t="s">
        <v>27</v>
      </c>
      <c r="H6" s="42" t="s">
        <v>27</v>
      </c>
      <c r="I6" s="42" t="s">
        <v>27</v>
      </c>
      <c r="J6" s="42" t="s">
        <v>27</v>
      </c>
      <c r="K6" s="42" t="s">
        <v>27</v>
      </c>
      <c r="L6" s="42" t="s">
        <v>27</v>
      </c>
      <c r="M6" s="42" t="s">
        <v>27</v>
      </c>
      <c r="N6" s="42" t="s">
        <v>27</v>
      </c>
      <c r="O6" s="42" t="s">
        <v>27</v>
      </c>
      <c r="P6" s="42" t="s">
        <v>27</v>
      </c>
      <c r="Q6" s="169"/>
      <c r="R6" s="42" t="s">
        <v>27</v>
      </c>
      <c r="S6" s="42" t="s">
        <v>27</v>
      </c>
      <c r="T6" s="42" t="s">
        <v>27</v>
      </c>
      <c r="U6" s="42" t="s">
        <v>27</v>
      </c>
      <c r="V6" s="170"/>
      <c r="W6" s="42" t="s">
        <v>27</v>
      </c>
      <c r="X6" s="42" t="s">
        <v>27</v>
      </c>
      <c r="Y6" s="42" t="s">
        <v>27</v>
      </c>
      <c r="Z6" s="42"/>
      <c r="AA6" s="44"/>
      <c r="AB6" s="44"/>
      <c r="AC6" s="42"/>
      <c r="AD6" s="42"/>
      <c r="AE6" s="44"/>
      <c r="AF6" s="46"/>
    </row>
    <row r="7" spans="1:32">
      <c r="A7" s="293" t="s">
        <v>1070</v>
      </c>
      <c r="B7" s="293" t="s">
        <v>1071</v>
      </c>
      <c r="C7" s="294">
        <v>29</v>
      </c>
      <c r="D7" s="294" t="s">
        <v>35</v>
      </c>
      <c r="E7" s="294">
        <v>941489093</v>
      </c>
      <c r="F7" s="169"/>
      <c r="G7" s="42" t="s">
        <v>27</v>
      </c>
      <c r="H7" s="42" t="s">
        <v>27</v>
      </c>
      <c r="I7" s="42" t="s">
        <v>27</v>
      </c>
      <c r="J7" s="42" t="s">
        <v>27</v>
      </c>
      <c r="K7" s="42" t="s">
        <v>27</v>
      </c>
      <c r="L7" s="42" t="s">
        <v>27</v>
      </c>
      <c r="M7" s="42" t="s">
        <v>27</v>
      </c>
      <c r="N7" s="42" t="s">
        <v>27</v>
      </c>
      <c r="O7" s="42" t="s">
        <v>27</v>
      </c>
      <c r="P7" s="42" t="s">
        <v>27</v>
      </c>
      <c r="Q7" s="169"/>
      <c r="R7" s="42" t="s">
        <v>27</v>
      </c>
      <c r="S7" s="42" t="s">
        <v>27</v>
      </c>
      <c r="T7" s="42" t="s">
        <v>27</v>
      </c>
      <c r="U7" s="42" t="s">
        <v>27</v>
      </c>
      <c r="V7" s="170"/>
      <c r="W7" s="42" t="s">
        <v>27</v>
      </c>
      <c r="X7" s="42" t="s">
        <v>27</v>
      </c>
      <c r="Y7" s="42" t="s">
        <v>27</v>
      </c>
      <c r="Z7" s="42"/>
      <c r="AA7" s="44"/>
      <c r="AB7" s="44"/>
      <c r="AC7" s="42"/>
      <c r="AD7" s="42"/>
      <c r="AE7" s="44"/>
      <c r="AF7" s="46"/>
    </row>
    <row r="8" spans="1:32">
      <c r="A8" s="293" t="s">
        <v>1072</v>
      </c>
      <c r="B8" s="293" t="s">
        <v>1073</v>
      </c>
      <c r="C8" s="294">
        <v>21</v>
      </c>
      <c r="D8" s="294" t="s">
        <v>35</v>
      </c>
      <c r="E8" s="294">
        <v>953407317</v>
      </c>
      <c r="F8" s="169"/>
      <c r="G8" s="42" t="s">
        <v>19</v>
      </c>
      <c r="H8" s="42" t="s">
        <v>19</v>
      </c>
      <c r="I8" s="42" t="s">
        <v>27</v>
      </c>
      <c r="J8" s="42" t="s">
        <v>19</v>
      </c>
      <c r="K8" s="42" t="s">
        <v>27</v>
      </c>
      <c r="L8" s="42" t="s">
        <v>27</v>
      </c>
      <c r="M8" s="42" t="s">
        <v>27</v>
      </c>
      <c r="N8" s="42" t="s">
        <v>27</v>
      </c>
      <c r="O8" s="42" t="s">
        <v>27</v>
      </c>
      <c r="P8" s="42" t="s">
        <v>19</v>
      </c>
      <c r="Q8" s="169"/>
      <c r="R8" s="42" t="s">
        <v>19</v>
      </c>
      <c r="S8" s="42" t="s">
        <v>27</v>
      </c>
      <c r="T8" s="42" t="s">
        <v>19</v>
      </c>
      <c r="U8" s="42" t="s">
        <v>27</v>
      </c>
      <c r="V8" s="170"/>
      <c r="W8" s="42" t="s">
        <v>27</v>
      </c>
      <c r="X8" s="42" t="s">
        <v>27</v>
      </c>
      <c r="Y8" s="42" t="s">
        <v>27</v>
      </c>
      <c r="Z8" s="42"/>
      <c r="AA8" s="44"/>
      <c r="AB8" s="44"/>
      <c r="AC8" s="42"/>
      <c r="AD8" s="42"/>
      <c r="AE8" s="44"/>
      <c r="AF8" s="46"/>
    </row>
    <row r="9" spans="1:32">
      <c r="A9" s="293" t="s">
        <v>1074</v>
      </c>
      <c r="B9" s="293" t="s">
        <v>1075</v>
      </c>
      <c r="C9" s="294">
        <v>32</v>
      </c>
      <c r="D9" s="294" t="s">
        <v>26</v>
      </c>
      <c r="E9" s="294">
        <v>940166140</v>
      </c>
      <c r="F9" s="169"/>
      <c r="G9" s="42" t="s">
        <v>19</v>
      </c>
      <c r="H9" s="42" t="s">
        <v>19</v>
      </c>
      <c r="I9" s="42" t="s">
        <v>27</v>
      </c>
      <c r="J9" s="42" t="s">
        <v>19</v>
      </c>
      <c r="K9" s="42" t="s">
        <v>27</v>
      </c>
      <c r="L9" s="42" t="s">
        <v>27</v>
      </c>
      <c r="M9" s="42" t="s">
        <v>27</v>
      </c>
      <c r="N9" s="42" t="s">
        <v>27</v>
      </c>
      <c r="O9" s="42" t="s">
        <v>27</v>
      </c>
      <c r="P9" s="42" t="s">
        <v>27</v>
      </c>
      <c r="Q9" s="169"/>
      <c r="R9" s="42" t="s">
        <v>19</v>
      </c>
      <c r="S9" s="42" t="s">
        <v>27</v>
      </c>
      <c r="T9" s="42" t="s">
        <v>19</v>
      </c>
      <c r="U9" s="42" t="s">
        <v>27</v>
      </c>
      <c r="V9" s="170"/>
      <c r="W9" s="42" t="s">
        <v>27</v>
      </c>
      <c r="X9" s="42" t="s">
        <v>27</v>
      </c>
      <c r="Y9" s="42" t="s">
        <v>27</v>
      </c>
      <c r="Z9" s="42"/>
      <c r="AA9" s="44"/>
      <c r="AB9" s="44"/>
      <c r="AC9" s="42"/>
      <c r="AD9" s="42"/>
      <c r="AE9" s="44"/>
      <c r="AF9" s="46"/>
    </row>
    <row r="10" spans="1:32">
      <c r="A10" s="293" t="s">
        <v>1076</v>
      </c>
      <c r="B10" s="293" t="s">
        <v>1077</v>
      </c>
      <c r="C10" s="294">
        <v>23</v>
      </c>
      <c r="D10" s="294" t="s">
        <v>35</v>
      </c>
      <c r="E10" s="294">
        <v>923668952</v>
      </c>
      <c r="F10" s="169"/>
      <c r="G10" s="42" t="s">
        <v>19</v>
      </c>
      <c r="H10" s="42" t="s">
        <v>27</v>
      </c>
      <c r="I10" s="42" t="s">
        <v>19</v>
      </c>
      <c r="J10" s="42" t="s">
        <v>19</v>
      </c>
      <c r="K10" s="42" t="s">
        <v>27</v>
      </c>
      <c r="L10" s="42" t="s">
        <v>27</v>
      </c>
      <c r="M10" s="42" t="s">
        <v>27</v>
      </c>
      <c r="N10" s="42" t="s">
        <v>27</v>
      </c>
      <c r="O10" s="42" t="s">
        <v>27</v>
      </c>
      <c r="P10" s="42" t="s">
        <v>19</v>
      </c>
      <c r="Q10" s="169"/>
      <c r="R10" s="42" t="s">
        <v>27</v>
      </c>
      <c r="S10" s="42" t="s">
        <v>27</v>
      </c>
      <c r="T10" s="42" t="s">
        <v>19</v>
      </c>
      <c r="U10" s="42" t="s">
        <v>27</v>
      </c>
      <c r="V10" s="170"/>
      <c r="W10" s="42" t="s">
        <v>27</v>
      </c>
      <c r="X10" s="42" t="s">
        <v>27</v>
      </c>
      <c r="Y10" s="42" t="s">
        <v>27</v>
      </c>
      <c r="Z10" s="42"/>
      <c r="AA10" s="44"/>
      <c r="AB10" s="44"/>
      <c r="AC10" s="42"/>
      <c r="AD10" s="42"/>
      <c r="AE10" s="44"/>
      <c r="AF10" s="46"/>
    </row>
    <row r="11" spans="1:32">
      <c r="A11" s="293" t="s">
        <v>1078</v>
      </c>
      <c r="B11" s="293" t="s">
        <v>1079</v>
      </c>
      <c r="C11" s="294">
        <v>17</v>
      </c>
      <c r="D11" s="294" t="s">
        <v>26</v>
      </c>
      <c r="E11" s="294">
        <v>976605042</v>
      </c>
      <c r="F11" s="169"/>
      <c r="G11" s="42" t="s">
        <v>27</v>
      </c>
      <c r="H11" s="42" t="s">
        <v>27</v>
      </c>
      <c r="I11" s="42" t="s">
        <v>27</v>
      </c>
      <c r="J11" s="42" t="s">
        <v>27</v>
      </c>
      <c r="K11" s="42" t="s">
        <v>27</v>
      </c>
      <c r="L11" s="42" t="s">
        <v>27</v>
      </c>
      <c r="M11" s="42" t="s">
        <v>27</v>
      </c>
      <c r="N11" s="42" t="s">
        <v>27</v>
      </c>
      <c r="O11" s="42" t="s">
        <v>27</v>
      </c>
      <c r="P11" s="42" t="s">
        <v>27</v>
      </c>
      <c r="Q11" s="169"/>
      <c r="R11" s="42" t="s">
        <v>27</v>
      </c>
      <c r="S11" s="42" t="s">
        <v>27</v>
      </c>
      <c r="T11" s="42" t="s">
        <v>27</v>
      </c>
      <c r="U11" s="42" t="s">
        <v>27</v>
      </c>
      <c r="V11" s="170"/>
      <c r="W11" s="42" t="s">
        <v>27</v>
      </c>
      <c r="X11" s="42" t="s">
        <v>27</v>
      </c>
      <c r="Y11" s="42" t="s">
        <v>27</v>
      </c>
      <c r="Z11" s="42"/>
      <c r="AA11" s="44"/>
      <c r="AB11" s="44"/>
      <c r="AC11" s="42"/>
      <c r="AD11" s="42"/>
      <c r="AE11" s="44"/>
      <c r="AF11" s="46"/>
    </row>
    <row r="12" spans="1:32">
      <c r="A12" s="293" t="s">
        <v>1080</v>
      </c>
      <c r="B12" s="293" t="s">
        <v>1081</v>
      </c>
      <c r="C12" s="294">
        <v>27</v>
      </c>
      <c r="D12" s="294" t="s">
        <v>26</v>
      </c>
      <c r="E12" s="294">
        <v>923976444</v>
      </c>
      <c r="F12" s="169"/>
      <c r="G12" s="42" t="s">
        <v>27</v>
      </c>
      <c r="H12" s="42" t="s">
        <v>27</v>
      </c>
      <c r="I12" s="42" t="s">
        <v>27</v>
      </c>
      <c r="J12" s="42" t="s">
        <v>19</v>
      </c>
      <c r="K12" s="42" t="s">
        <v>27</v>
      </c>
      <c r="L12" s="42" t="s">
        <v>27</v>
      </c>
      <c r="M12" s="42" t="s">
        <v>27</v>
      </c>
      <c r="N12" s="42" t="s">
        <v>27</v>
      </c>
      <c r="O12" s="42" t="s">
        <v>27</v>
      </c>
      <c r="P12" s="42" t="s">
        <v>27</v>
      </c>
      <c r="Q12" s="169"/>
      <c r="R12" s="42" t="s">
        <v>27</v>
      </c>
      <c r="S12" s="42" t="s">
        <v>27</v>
      </c>
      <c r="T12" s="42" t="s">
        <v>19</v>
      </c>
      <c r="U12" s="42" t="s">
        <v>27</v>
      </c>
      <c r="V12" s="170"/>
      <c r="W12" s="42" t="s">
        <v>27</v>
      </c>
      <c r="X12" s="42" t="s">
        <v>27</v>
      </c>
      <c r="Y12" s="42" t="s">
        <v>27</v>
      </c>
      <c r="Z12" s="42"/>
      <c r="AA12" s="44"/>
      <c r="AB12" s="44"/>
      <c r="AC12" s="42"/>
      <c r="AD12" s="42"/>
      <c r="AE12" s="44"/>
      <c r="AF12" s="46"/>
    </row>
    <row r="13" spans="1:32">
      <c r="A13" s="293" t="s">
        <v>1082</v>
      </c>
      <c r="B13" s="293" t="s">
        <v>1083</v>
      </c>
      <c r="C13" s="294">
        <v>31</v>
      </c>
      <c r="D13" s="294" t="s">
        <v>35</v>
      </c>
      <c r="E13" s="294">
        <v>927696698</v>
      </c>
      <c r="F13" s="169"/>
      <c r="G13" s="42" t="s">
        <v>27</v>
      </c>
      <c r="H13" s="42" t="s">
        <v>27</v>
      </c>
      <c r="I13" s="42" t="s">
        <v>27</v>
      </c>
      <c r="J13" s="42" t="s">
        <v>27</v>
      </c>
      <c r="K13" s="42" t="s">
        <v>27</v>
      </c>
      <c r="L13" s="42" t="s">
        <v>27</v>
      </c>
      <c r="M13" s="42" t="s">
        <v>27</v>
      </c>
      <c r="N13" s="42" t="s">
        <v>27</v>
      </c>
      <c r="O13" s="42" t="s">
        <v>27</v>
      </c>
      <c r="P13" s="42" t="s">
        <v>27</v>
      </c>
      <c r="Q13" s="169"/>
      <c r="R13" s="42" t="s">
        <v>19</v>
      </c>
      <c r="S13" s="42" t="s">
        <v>27</v>
      </c>
      <c r="T13" s="42" t="s">
        <v>19</v>
      </c>
      <c r="U13" s="42" t="s">
        <v>27</v>
      </c>
      <c r="V13" s="170"/>
      <c r="W13" s="42" t="s">
        <v>27</v>
      </c>
      <c r="X13" s="42" t="s">
        <v>27</v>
      </c>
      <c r="Y13" s="42" t="s">
        <v>27</v>
      </c>
      <c r="Z13" s="42"/>
      <c r="AA13" s="44"/>
      <c r="AB13" s="44"/>
      <c r="AC13" s="42"/>
      <c r="AD13" s="42"/>
      <c r="AE13" s="44"/>
      <c r="AF13" s="46"/>
    </row>
    <row r="14" spans="1:32">
      <c r="A14" s="293" t="s">
        <v>1084</v>
      </c>
      <c r="B14" s="293" t="s">
        <v>1085</v>
      </c>
      <c r="C14" s="294">
        <v>28</v>
      </c>
      <c r="D14" s="294" t="s">
        <v>35</v>
      </c>
      <c r="E14" s="294">
        <v>975350500</v>
      </c>
      <c r="F14" s="169"/>
      <c r="G14" s="42" t="s">
        <v>27</v>
      </c>
      <c r="H14" s="42" t="s">
        <v>19</v>
      </c>
      <c r="I14" s="42" t="s">
        <v>27</v>
      </c>
      <c r="J14" s="42" t="s">
        <v>27</v>
      </c>
      <c r="K14" s="42" t="s">
        <v>19</v>
      </c>
      <c r="L14" s="42" t="s">
        <v>27</v>
      </c>
      <c r="M14" s="42" t="s">
        <v>27</v>
      </c>
      <c r="N14" s="42" t="s">
        <v>27</v>
      </c>
      <c r="O14" s="42" t="s">
        <v>27</v>
      </c>
      <c r="P14" s="42" t="s">
        <v>19</v>
      </c>
      <c r="Q14" s="169"/>
      <c r="R14" s="42" t="s">
        <v>19</v>
      </c>
      <c r="S14" s="42" t="s">
        <v>27</v>
      </c>
      <c r="T14" s="42" t="s">
        <v>19</v>
      </c>
      <c r="U14" s="42" t="s">
        <v>27</v>
      </c>
      <c r="V14" s="170"/>
      <c r="W14" s="42" t="s">
        <v>27</v>
      </c>
      <c r="X14" s="42" t="s">
        <v>27</v>
      </c>
      <c r="Y14" s="42" t="s">
        <v>27</v>
      </c>
      <c r="Z14" s="42"/>
      <c r="AA14" s="44"/>
      <c r="AB14" s="44"/>
      <c r="AC14" s="42"/>
      <c r="AD14" s="42"/>
      <c r="AE14" s="44"/>
      <c r="AF14" s="46"/>
    </row>
    <row r="15" spans="1:32">
      <c r="A15" s="293" t="s">
        <v>1086</v>
      </c>
      <c r="B15" s="293" t="s">
        <v>1087</v>
      </c>
      <c r="C15" s="294">
        <v>30</v>
      </c>
      <c r="D15" s="294" t="s">
        <v>26</v>
      </c>
      <c r="E15" s="294">
        <v>911265537</v>
      </c>
      <c r="F15" s="169"/>
      <c r="G15" s="42" t="s">
        <v>27</v>
      </c>
      <c r="H15" s="42" t="s">
        <v>27</v>
      </c>
      <c r="I15" s="42" t="s">
        <v>27</v>
      </c>
      <c r="J15" s="42" t="s">
        <v>27</v>
      </c>
      <c r="K15" s="42" t="s">
        <v>27</v>
      </c>
      <c r="L15" s="42" t="s">
        <v>27</v>
      </c>
      <c r="M15" s="42" t="s">
        <v>27</v>
      </c>
      <c r="N15" s="42" t="s">
        <v>27</v>
      </c>
      <c r="O15" s="42" t="s">
        <v>27</v>
      </c>
      <c r="P15" s="42" t="s">
        <v>27</v>
      </c>
      <c r="Q15" s="169"/>
      <c r="R15" s="42" t="s">
        <v>27</v>
      </c>
      <c r="S15" s="42" t="s">
        <v>27</v>
      </c>
      <c r="T15" s="42" t="s">
        <v>27</v>
      </c>
      <c r="U15" s="42" t="s">
        <v>27</v>
      </c>
      <c r="V15" s="170"/>
      <c r="W15" s="42" t="s">
        <v>27</v>
      </c>
      <c r="X15" s="42" t="s">
        <v>27</v>
      </c>
      <c r="Y15" s="42" t="s">
        <v>27</v>
      </c>
      <c r="Z15" s="42"/>
      <c r="AA15" s="44"/>
      <c r="AB15" s="44"/>
      <c r="AC15" s="42"/>
      <c r="AD15" s="42"/>
      <c r="AE15" s="44"/>
      <c r="AF15" s="46"/>
    </row>
    <row r="16" spans="1:32">
      <c r="A16" s="293" t="s">
        <v>1088</v>
      </c>
      <c r="B16" s="293" t="s">
        <v>1089</v>
      </c>
      <c r="C16" s="294">
        <v>31</v>
      </c>
      <c r="D16" s="294" t="s">
        <v>26</v>
      </c>
      <c r="E16" s="294">
        <v>920967332</v>
      </c>
      <c r="F16" s="169"/>
      <c r="G16" s="42" t="s">
        <v>19</v>
      </c>
      <c r="H16" s="42" t="s">
        <v>19</v>
      </c>
      <c r="I16" s="42" t="s">
        <v>27</v>
      </c>
      <c r="J16" s="42" t="s">
        <v>27</v>
      </c>
      <c r="K16" s="42" t="s">
        <v>27</v>
      </c>
      <c r="L16" s="42" t="s">
        <v>27</v>
      </c>
      <c r="M16" s="42" t="s">
        <v>27</v>
      </c>
      <c r="N16" s="42" t="s">
        <v>27</v>
      </c>
      <c r="O16" s="42" t="s">
        <v>27</v>
      </c>
      <c r="P16" s="42" t="s">
        <v>27</v>
      </c>
      <c r="Q16" s="169"/>
      <c r="R16" s="42" t="s">
        <v>27</v>
      </c>
      <c r="S16" s="42" t="s">
        <v>27</v>
      </c>
      <c r="T16" s="42" t="s">
        <v>27</v>
      </c>
      <c r="U16" s="42" t="s">
        <v>27</v>
      </c>
      <c r="V16" s="170"/>
      <c r="W16" s="42" t="s">
        <v>27</v>
      </c>
      <c r="X16" s="42" t="s">
        <v>27</v>
      </c>
      <c r="Y16" s="42" t="s">
        <v>27</v>
      </c>
      <c r="Z16" s="42"/>
      <c r="AA16" s="44"/>
      <c r="AB16" s="44"/>
      <c r="AC16" s="42"/>
      <c r="AD16" s="42"/>
      <c r="AE16" s="44"/>
      <c r="AF16" s="46"/>
    </row>
    <row r="17" spans="1:32">
      <c r="A17" s="293" t="s">
        <v>1090</v>
      </c>
      <c r="B17" s="293" t="s">
        <v>1091</v>
      </c>
      <c r="C17" s="294">
        <v>23</v>
      </c>
      <c r="D17" s="294" t="s">
        <v>26</v>
      </c>
      <c r="E17" s="294">
        <v>979941292</v>
      </c>
      <c r="F17" s="169"/>
      <c r="G17" s="42" t="s">
        <v>19</v>
      </c>
      <c r="H17" s="42" t="s">
        <v>19</v>
      </c>
      <c r="I17" s="42" t="s">
        <v>19</v>
      </c>
      <c r="J17" s="42" t="s">
        <v>19</v>
      </c>
      <c r="K17" s="42" t="s">
        <v>27</v>
      </c>
      <c r="L17" s="42" t="s">
        <v>27</v>
      </c>
      <c r="M17" s="42" t="s">
        <v>27</v>
      </c>
      <c r="N17" s="42" t="s">
        <v>27</v>
      </c>
      <c r="O17" s="42" t="s">
        <v>27</v>
      </c>
      <c r="P17" s="42" t="s">
        <v>19</v>
      </c>
      <c r="Q17" s="169"/>
      <c r="R17" s="42" t="s">
        <v>19</v>
      </c>
      <c r="S17" s="42" t="s">
        <v>27</v>
      </c>
      <c r="T17" s="42" t="s">
        <v>19</v>
      </c>
      <c r="U17" s="42" t="s">
        <v>27</v>
      </c>
      <c r="V17" s="170"/>
      <c r="W17" s="42" t="s">
        <v>27</v>
      </c>
      <c r="X17" s="42" t="s">
        <v>27</v>
      </c>
      <c r="Y17" s="42" t="s">
        <v>27</v>
      </c>
      <c r="Z17" s="42"/>
      <c r="AA17" s="44"/>
      <c r="AB17" s="44"/>
      <c r="AC17" s="42"/>
      <c r="AD17" s="42"/>
      <c r="AE17" s="44"/>
      <c r="AF17" s="46"/>
    </row>
    <row r="18" spans="1:32">
      <c r="A18" s="293" t="s">
        <v>1092</v>
      </c>
      <c r="B18" s="293" t="s">
        <v>1093</v>
      </c>
      <c r="C18" s="294">
        <v>20</v>
      </c>
      <c r="D18" s="294" t="s">
        <v>26</v>
      </c>
      <c r="E18" s="294">
        <v>900481387</v>
      </c>
      <c r="F18" s="169"/>
      <c r="G18" s="42" t="s">
        <v>27</v>
      </c>
      <c r="H18" s="42" t="s">
        <v>27</v>
      </c>
      <c r="I18" s="42" t="s">
        <v>27</v>
      </c>
      <c r="J18" s="42" t="s">
        <v>27</v>
      </c>
      <c r="K18" s="42" t="s">
        <v>27</v>
      </c>
      <c r="L18" s="42" t="s">
        <v>27</v>
      </c>
      <c r="M18" s="42" t="s">
        <v>27</v>
      </c>
      <c r="N18" s="42" t="s">
        <v>27</v>
      </c>
      <c r="O18" s="42" t="s">
        <v>27</v>
      </c>
      <c r="P18" s="42" t="s">
        <v>27</v>
      </c>
      <c r="Q18" s="169"/>
      <c r="R18" s="42" t="s">
        <v>19</v>
      </c>
      <c r="S18" s="42" t="s">
        <v>27</v>
      </c>
      <c r="T18" s="42" t="s">
        <v>19</v>
      </c>
      <c r="U18" s="42" t="s">
        <v>27</v>
      </c>
      <c r="V18" s="170"/>
      <c r="W18" s="42" t="s">
        <v>27</v>
      </c>
      <c r="X18" s="42" t="s">
        <v>27</v>
      </c>
      <c r="Y18" s="42" t="s">
        <v>27</v>
      </c>
      <c r="Z18" s="42"/>
      <c r="AA18" s="44"/>
      <c r="AB18" s="44"/>
      <c r="AC18" s="42"/>
      <c r="AD18" s="42"/>
      <c r="AE18" s="44"/>
      <c r="AF18" s="46"/>
    </row>
    <row r="19" spans="1:32">
      <c r="A19" s="293" t="s">
        <v>1094</v>
      </c>
      <c r="B19" s="293" t="s">
        <v>1095</v>
      </c>
      <c r="C19" s="303"/>
      <c r="D19" s="294" t="s">
        <v>35</v>
      </c>
      <c r="E19" s="304">
        <v>943049499</v>
      </c>
      <c r="F19" s="169"/>
      <c r="G19" s="42" t="s">
        <v>27</v>
      </c>
      <c r="H19" s="42" t="s">
        <v>19</v>
      </c>
      <c r="I19" s="42" t="s">
        <v>19</v>
      </c>
      <c r="J19" s="42" t="s">
        <v>27</v>
      </c>
      <c r="K19" s="42" t="s">
        <v>19</v>
      </c>
      <c r="L19" s="42" t="s">
        <v>27</v>
      </c>
      <c r="M19" s="42" t="s">
        <v>27</v>
      </c>
      <c r="N19" s="42" t="s">
        <v>27</v>
      </c>
      <c r="O19" s="42" t="s">
        <v>27</v>
      </c>
      <c r="P19" s="42" t="s">
        <v>27</v>
      </c>
      <c r="Q19" s="169"/>
      <c r="R19" s="42" t="s">
        <v>19</v>
      </c>
      <c r="S19" s="42" t="s">
        <v>27</v>
      </c>
      <c r="T19" s="42" t="s">
        <v>19</v>
      </c>
      <c r="U19" s="42" t="s">
        <v>27</v>
      </c>
      <c r="V19" s="170"/>
      <c r="W19" s="42" t="s">
        <v>27</v>
      </c>
      <c r="X19" s="42" t="s">
        <v>27</v>
      </c>
      <c r="Y19" s="42" t="s">
        <v>27</v>
      </c>
      <c r="Z19" s="42"/>
      <c r="AA19" s="44"/>
      <c r="AB19" s="44"/>
      <c r="AC19" s="42"/>
      <c r="AD19" s="42"/>
      <c r="AE19" s="44"/>
      <c r="AF19" s="46"/>
    </row>
    <row r="20" spans="1:32">
      <c r="A20" s="293" t="s">
        <v>1096</v>
      </c>
      <c r="B20" s="293" t="s">
        <v>1097</v>
      </c>
      <c r="C20" s="294">
        <v>26</v>
      </c>
      <c r="D20" s="294" t="s">
        <v>35</v>
      </c>
      <c r="E20" s="294">
        <v>953421063</v>
      </c>
      <c r="F20" s="169"/>
      <c r="G20" s="42" t="s">
        <v>19</v>
      </c>
      <c r="H20" s="42" t="s">
        <v>19</v>
      </c>
      <c r="I20" s="42" t="s">
        <v>27</v>
      </c>
      <c r="J20" s="42" t="s">
        <v>27</v>
      </c>
      <c r="K20" s="42" t="s">
        <v>27</v>
      </c>
      <c r="L20" s="42" t="s">
        <v>27</v>
      </c>
      <c r="M20" s="42" t="s">
        <v>27</v>
      </c>
      <c r="N20" s="42" t="s">
        <v>27</v>
      </c>
      <c r="O20" s="42" t="s">
        <v>27</v>
      </c>
      <c r="P20" s="42" t="s">
        <v>27</v>
      </c>
      <c r="Q20" s="169"/>
      <c r="R20" s="42" t="s">
        <v>27</v>
      </c>
      <c r="S20" s="42" t="s">
        <v>27</v>
      </c>
      <c r="T20" s="42" t="s">
        <v>27</v>
      </c>
      <c r="U20" s="42" t="s">
        <v>27</v>
      </c>
      <c r="V20" s="170"/>
      <c r="W20" s="42" t="s">
        <v>27</v>
      </c>
      <c r="X20" s="42" t="s">
        <v>27</v>
      </c>
      <c r="Y20" s="42" t="s">
        <v>27</v>
      </c>
      <c r="Z20" s="42"/>
      <c r="AA20" s="44"/>
      <c r="AB20" s="44"/>
      <c r="AC20" s="42"/>
      <c r="AD20" s="42"/>
      <c r="AE20" s="44"/>
      <c r="AF20" s="46"/>
    </row>
    <row r="21" spans="1:32">
      <c r="A21" s="306" t="s">
        <v>1098</v>
      </c>
      <c r="B21" s="306" t="s">
        <v>1099</v>
      </c>
      <c r="C21" s="307">
        <v>35</v>
      </c>
      <c r="D21" s="307" t="s">
        <v>26</v>
      </c>
      <c r="E21" s="307">
        <v>924308358</v>
      </c>
      <c r="F21" s="169"/>
      <c r="G21" s="42" t="s">
        <v>19</v>
      </c>
      <c r="H21" s="42" t="s">
        <v>19</v>
      </c>
      <c r="I21" s="42" t="s">
        <v>19</v>
      </c>
      <c r="J21" s="42" t="s">
        <v>19</v>
      </c>
      <c r="K21" s="42" t="s">
        <v>19</v>
      </c>
      <c r="L21" s="42" t="s">
        <v>19</v>
      </c>
      <c r="M21" s="42" t="s">
        <v>19</v>
      </c>
      <c r="N21" s="42" t="s">
        <v>19</v>
      </c>
      <c r="O21" s="42" t="s">
        <v>19</v>
      </c>
      <c r="P21" s="42" t="s">
        <v>19</v>
      </c>
      <c r="Q21" s="169"/>
      <c r="R21" s="42" t="s">
        <v>19</v>
      </c>
      <c r="S21" s="42" t="s">
        <v>19</v>
      </c>
      <c r="T21" s="42" t="s">
        <v>19</v>
      </c>
      <c r="U21" s="42" t="s">
        <v>19</v>
      </c>
      <c r="V21" s="170"/>
      <c r="W21" s="42" t="s">
        <v>19</v>
      </c>
      <c r="X21" s="42" t="s">
        <v>19</v>
      </c>
      <c r="Y21" s="42" t="s">
        <v>19</v>
      </c>
      <c r="Z21" s="42"/>
      <c r="AA21" s="44"/>
      <c r="AB21" s="44"/>
      <c r="AC21" s="42"/>
      <c r="AD21" s="42"/>
      <c r="AE21" s="44"/>
      <c r="AF21" s="46"/>
    </row>
    <row r="22" spans="1:32">
      <c r="A22" s="306" t="s">
        <v>1100</v>
      </c>
      <c r="B22" s="306" t="s">
        <v>1101</v>
      </c>
      <c r="C22" s="307">
        <v>36</v>
      </c>
      <c r="D22" s="307" t="s">
        <v>26</v>
      </c>
      <c r="E22" s="307">
        <v>913506881</v>
      </c>
      <c r="F22" s="169"/>
      <c r="G22" s="42" t="s">
        <v>19</v>
      </c>
      <c r="H22" s="42" t="s">
        <v>19</v>
      </c>
      <c r="I22" s="42" t="s">
        <v>19</v>
      </c>
      <c r="J22" s="42" t="s">
        <v>19</v>
      </c>
      <c r="K22" s="42" t="s">
        <v>19</v>
      </c>
      <c r="L22" s="42" t="s">
        <v>19</v>
      </c>
      <c r="M22" s="42" t="s">
        <v>19</v>
      </c>
      <c r="N22" s="42" t="s">
        <v>19</v>
      </c>
      <c r="O22" s="42" t="s">
        <v>19</v>
      </c>
      <c r="P22" s="42" t="s">
        <v>19</v>
      </c>
      <c r="Q22" s="169"/>
      <c r="R22" s="42" t="s">
        <v>19</v>
      </c>
      <c r="S22" s="42" t="s">
        <v>19</v>
      </c>
      <c r="T22" s="42" t="s">
        <v>19</v>
      </c>
      <c r="U22" s="42" t="s">
        <v>19</v>
      </c>
      <c r="V22" s="170"/>
      <c r="W22" s="42" t="s">
        <v>19</v>
      </c>
      <c r="X22" s="42" t="s">
        <v>19</v>
      </c>
      <c r="Y22" s="42" t="s">
        <v>19</v>
      </c>
      <c r="Z22" s="42"/>
      <c r="AA22" s="44"/>
      <c r="AB22" s="44"/>
      <c r="AC22" s="42"/>
      <c r="AD22" s="42"/>
      <c r="AE22" s="44"/>
      <c r="AF22" s="46"/>
    </row>
    <row r="23" spans="1:32">
      <c r="A23" s="306" t="s">
        <v>1102</v>
      </c>
      <c r="B23" s="306" t="s">
        <v>1103</v>
      </c>
      <c r="C23" s="307">
        <v>22</v>
      </c>
      <c r="D23" s="307" t="s">
        <v>35</v>
      </c>
      <c r="E23" s="307">
        <v>938592577</v>
      </c>
      <c r="F23" s="169"/>
      <c r="G23" s="42" t="s">
        <v>19</v>
      </c>
      <c r="H23" s="42" t="s">
        <v>19</v>
      </c>
      <c r="I23" s="42" t="s">
        <v>19</v>
      </c>
      <c r="J23" s="42" t="s">
        <v>19</v>
      </c>
      <c r="K23" s="42" t="s">
        <v>19</v>
      </c>
      <c r="L23" s="42" t="s">
        <v>19</v>
      </c>
      <c r="M23" s="42" t="s">
        <v>19</v>
      </c>
      <c r="N23" s="42" t="s">
        <v>19</v>
      </c>
      <c r="O23" s="42" t="s">
        <v>19</v>
      </c>
      <c r="P23" s="42" t="s">
        <v>19</v>
      </c>
      <c r="Q23" s="169"/>
      <c r="R23" s="42" t="s">
        <v>19</v>
      </c>
      <c r="S23" s="42" t="s">
        <v>19</v>
      </c>
      <c r="T23" s="42" t="s">
        <v>19</v>
      </c>
      <c r="U23" s="42" t="s">
        <v>19</v>
      </c>
      <c r="V23" s="170"/>
      <c r="W23" s="42" t="s">
        <v>19</v>
      </c>
      <c r="X23" s="42" t="s">
        <v>19</v>
      </c>
      <c r="Y23" s="42" t="s">
        <v>19</v>
      </c>
      <c r="Z23" s="42"/>
      <c r="AA23" s="44"/>
      <c r="AB23" s="44"/>
      <c r="AC23" s="42"/>
      <c r="AD23" s="42"/>
      <c r="AE23" s="44"/>
      <c r="AF23" s="46"/>
    </row>
    <row r="24" spans="1:32">
      <c r="A24" s="306" t="s">
        <v>1104</v>
      </c>
      <c r="B24" s="306" t="s">
        <v>1105</v>
      </c>
      <c r="C24" s="307">
        <v>24</v>
      </c>
      <c r="D24" s="307" t="s">
        <v>26</v>
      </c>
      <c r="E24" s="307">
        <v>902430548</v>
      </c>
      <c r="F24" s="169"/>
      <c r="G24" s="42" t="s">
        <v>27</v>
      </c>
      <c r="H24" s="42" t="s">
        <v>27</v>
      </c>
      <c r="I24" s="42" t="s">
        <v>27</v>
      </c>
      <c r="J24" s="42" t="s">
        <v>27</v>
      </c>
      <c r="K24" s="42" t="s">
        <v>19</v>
      </c>
      <c r="L24" s="42" t="s">
        <v>27</v>
      </c>
      <c r="M24" s="42" t="s">
        <v>27</v>
      </c>
      <c r="N24" s="42" t="s">
        <v>27</v>
      </c>
      <c r="O24" s="42" t="s">
        <v>27</v>
      </c>
      <c r="P24" s="42" t="s">
        <v>27</v>
      </c>
      <c r="Q24" s="169"/>
      <c r="R24" s="42" t="s">
        <v>19</v>
      </c>
      <c r="S24" s="42" t="s">
        <v>19</v>
      </c>
      <c r="T24" s="42" t="s">
        <v>19</v>
      </c>
      <c r="U24" s="42" t="s">
        <v>27</v>
      </c>
      <c r="V24" s="170"/>
      <c r="W24" s="42" t="s">
        <v>27</v>
      </c>
      <c r="X24" s="42" t="s">
        <v>27</v>
      </c>
      <c r="Y24" s="42" t="s">
        <v>27</v>
      </c>
      <c r="Z24" s="42"/>
      <c r="AA24" s="44"/>
      <c r="AB24" s="44"/>
      <c r="AC24" s="42"/>
      <c r="AD24" s="42"/>
      <c r="AE24" s="44"/>
      <c r="AF24" s="46"/>
    </row>
    <row r="25" spans="1:32">
      <c r="F25" s="198"/>
      <c r="Q25" s="198"/>
      <c r="V25" s="198"/>
    </row>
    <row r="26" spans="1:32">
      <c r="F26" s="198"/>
      <c r="Q26" s="198"/>
      <c r="V26" s="198"/>
    </row>
    <row r="27" spans="1:32">
      <c r="F27" s="198"/>
      <c r="Q27" s="198"/>
      <c r="V27" s="198"/>
    </row>
    <row r="28" spans="1:32">
      <c r="F28" s="198"/>
      <c r="Q28" s="198"/>
      <c r="V28" s="198"/>
    </row>
    <row r="29" spans="1:32">
      <c r="F29" s="198"/>
      <c r="Q29" s="198"/>
      <c r="V29" s="198"/>
    </row>
    <row r="30" spans="1:32" ht="13.2">
      <c r="F30" s="198"/>
      <c r="Q30" s="198"/>
      <c r="V30" s="198"/>
    </row>
    <row r="31" spans="1:32" ht="13.2">
      <c r="F31" s="198"/>
      <c r="Q31" s="198"/>
      <c r="V31" s="198"/>
    </row>
    <row r="32" spans="1:32" ht="13.2">
      <c r="F32" s="198"/>
      <c r="Q32" s="198"/>
      <c r="V32" s="198"/>
    </row>
    <row r="33" spans="6:22" ht="13.2">
      <c r="F33" s="198"/>
      <c r="Q33" s="198"/>
      <c r="V33" s="198"/>
    </row>
    <row r="34" spans="6:22" ht="13.2">
      <c r="F34" s="198"/>
      <c r="Q34" s="198"/>
      <c r="V34" s="198"/>
    </row>
    <row r="35" spans="6:22" ht="13.2">
      <c r="F35" s="198"/>
      <c r="Q35" s="198"/>
      <c r="V35" s="198"/>
    </row>
    <row r="36" spans="6:22" ht="13.2">
      <c r="F36" s="198"/>
      <c r="Q36" s="198"/>
      <c r="V36" s="198"/>
    </row>
    <row r="37" spans="6:22" ht="13.2">
      <c r="F37" s="198"/>
      <c r="Q37" s="198"/>
      <c r="V37" s="198"/>
    </row>
    <row r="38" spans="6:22" ht="13.2">
      <c r="F38" s="198"/>
      <c r="Q38" s="198"/>
      <c r="V38" s="198"/>
    </row>
    <row r="39" spans="6:22" ht="13.2">
      <c r="F39" s="198"/>
      <c r="Q39" s="198"/>
      <c r="V39" s="198"/>
    </row>
    <row r="40" spans="6:22" ht="13.2">
      <c r="F40" s="198"/>
      <c r="Q40" s="198"/>
      <c r="V40" s="198"/>
    </row>
    <row r="41" spans="6:22" ht="13.2">
      <c r="F41" s="198"/>
      <c r="Q41" s="198"/>
      <c r="V41" s="198"/>
    </row>
    <row r="42" spans="6:22" ht="13.2">
      <c r="F42" s="198"/>
      <c r="Q42" s="198"/>
      <c r="V42" s="198"/>
    </row>
    <row r="43" spans="6:22" ht="13.2">
      <c r="F43" s="198"/>
      <c r="Q43" s="198"/>
      <c r="V43" s="198"/>
    </row>
    <row r="44" spans="6:22" ht="13.2">
      <c r="F44" s="198"/>
      <c r="Q44" s="198"/>
      <c r="V44" s="198"/>
    </row>
    <row r="45" spans="6:22" ht="13.2">
      <c r="F45" s="198"/>
      <c r="Q45" s="198"/>
      <c r="V45" s="198"/>
    </row>
    <row r="46" spans="6:22" ht="13.2">
      <c r="F46" s="198"/>
      <c r="Q46" s="198"/>
      <c r="V46" s="198"/>
    </row>
    <row r="47" spans="6:22" ht="13.2">
      <c r="F47" s="198"/>
      <c r="Q47" s="198"/>
      <c r="V47" s="198"/>
    </row>
    <row r="48" spans="6:22" ht="13.2">
      <c r="F48" s="198"/>
      <c r="Q48" s="198"/>
      <c r="V48" s="198"/>
    </row>
    <row r="49" spans="6:22" ht="13.2">
      <c r="F49" s="198"/>
      <c r="Q49" s="198"/>
      <c r="V49" s="198"/>
    </row>
    <row r="50" spans="6:22" ht="13.2">
      <c r="F50" s="198"/>
      <c r="Q50" s="198"/>
      <c r="V50" s="198"/>
    </row>
    <row r="51" spans="6:22" ht="13.2">
      <c r="F51" s="198"/>
      <c r="Q51" s="198"/>
      <c r="V51" s="198"/>
    </row>
    <row r="52" spans="6:22" ht="13.2">
      <c r="F52" s="198"/>
      <c r="Q52" s="198"/>
      <c r="V52" s="198"/>
    </row>
    <row r="53" spans="6:22" ht="13.2">
      <c r="F53" s="198"/>
      <c r="Q53" s="198"/>
      <c r="V53" s="198"/>
    </row>
    <row r="54" spans="6:22" ht="13.2">
      <c r="F54" s="198"/>
      <c r="Q54" s="198"/>
      <c r="V54" s="198"/>
    </row>
    <row r="55" spans="6:22" ht="13.2">
      <c r="F55" s="198"/>
      <c r="Q55" s="198"/>
      <c r="V55" s="198"/>
    </row>
    <row r="56" spans="6:22" ht="13.2">
      <c r="F56" s="198"/>
      <c r="Q56" s="198"/>
      <c r="V56" s="198"/>
    </row>
    <row r="57" spans="6:22" ht="13.2">
      <c r="F57" s="198"/>
      <c r="Q57" s="198"/>
      <c r="V57" s="198"/>
    </row>
    <row r="58" spans="6:22" ht="13.2">
      <c r="F58" s="198"/>
      <c r="Q58" s="198"/>
      <c r="V58" s="198"/>
    </row>
    <row r="59" spans="6:22" ht="13.2">
      <c r="F59" s="198"/>
      <c r="Q59" s="198"/>
      <c r="V59" s="198"/>
    </row>
    <row r="60" spans="6:22" ht="13.2">
      <c r="F60" s="198"/>
      <c r="Q60" s="198"/>
      <c r="V60" s="198"/>
    </row>
    <row r="61" spans="6:22" ht="13.2">
      <c r="F61" s="198"/>
      <c r="Q61" s="198"/>
      <c r="V61" s="198"/>
    </row>
    <row r="62" spans="6:22" ht="13.2">
      <c r="F62" s="198"/>
      <c r="Q62" s="198"/>
      <c r="V62" s="198"/>
    </row>
    <row r="63" spans="6:22" ht="13.2">
      <c r="F63" s="198"/>
      <c r="Q63" s="198"/>
      <c r="V63" s="198"/>
    </row>
    <row r="64" spans="6:22" ht="13.2">
      <c r="F64" s="198"/>
      <c r="Q64" s="198"/>
      <c r="V64" s="198"/>
    </row>
    <row r="65" spans="6:22" ht="13.2">
      <c r="F65" s="198"/>
      <c r="Q65" s="198"/>
      <c r="V65" s="198"/>
    </row>
    <row r="66" spans="6:22" ht="13.2">
      <c r="F66" s="198"/>
      <c r="Q66" s="198"/>
      <c r="V66" s="198"/>
    </row>
    <row r="67" spans="6:22" ht="13.2">
      <c r="F67" s="198"/>
      <c r="Q67" s="198"/>
      <c r="V67" s="198"/>
    </row>
    <row r="68" spans="6:22" ht="13.2">
      <c r="F68" s="198"/>
      <c r="Q68" s="198"/>
      <c r="V68" s="198"/>
    </row>
    <row r="69" spans="6:22" ht="13.2">
      <c r="F69" s="198"/>
      <c r="Q69" s="198"/>
      <c r="V69" s="198"/>
    </row>
    <row r="70" spans="6:22" ht="13.2">
      <c r="F70" s="198"/>
      <c r="Q70" s="198"/>
      <c r="V70" s="198"/>
    </row>
    <row r="71" spans="6:22" ht="13.2">
      <c r="F71" s="198"/>
      <c r="Q71" s="198"/>
      <c r="V71" s="198"/>
    </row>
    <row r="72" spans="6:22" ht="13.2">
      <c r="F72" s="198"/>
      <c r="Q72" s="198"/>
      <c r="V72" s="198"/>
    </row>
    <row r="73" spans="6:22" ht="13.2">
      <c r="F73" s="198"/>
      <c r="Q73" s="198"/>
      <c r="V73" s="198"/>
    </row>
    <row r="74" spans="6:22" ht="13.2">
      <c r="F74" s="198"/>
      <c r="Q74" s="198"/>
      <c r="V74" s="198"/>
    </row>
    <row r="75" spans="6:22" ht="13.2">
      <c r="F75" s="198"/>
      <c r="Q75" s="198"/>
      <c r="V75" s="198"/>
    </row>
    <row r="76" spans="6:22" ht="13.2">
      <c r="F76" s="198"/>
      <c r="Q76" s="198"/>
      <c r="V76" s="198"/>
    </row>
    <row r="77" spans="6:22" ht="13.2">
      <c r="F77" s="198"/>
      <c r="Q77" s="198"/>
      <c r="V77" s="198"/>
    </row>
    <row r="78" spans="6:22" ht="13.2">
      <c r="F78" s="198"/>
      <c r="Q78" s="198"/>
      <c r="V78" s="198"/>
    </row>
    <row r="79" spans="6:22" ht="13.2">
      <c r="F79" s="198"/>
      <c r="Q79" s="198"/>
      <c r="V79" s="198"/>
    </row>
    <row r="80" spans="6:22" ht="13.2">
      <c r="F80" s="198"/>
      <c r="Q80" s="198"/>
      <c r="V80" s="198"/>
    </row>
    <row r="81" spans="6:22" ht="13.2">
      <c r="F81" s="198"/>
      <c r="Q81" s="198"/>
      <c r="V81" s="198"/>
    </row>
    <row r="82" spans="6:22" ht="13.2">
      <c r="F82" s="198"/>
      <c r="Q82" s="198"/>
      <c r="V82" s="198"/>
    </row>
    <row r="83" spans="6:22" ht="13.2">
      <c r="F83" s="198"/>
      <c r="Q83" s="198"/>
      <c r="V83" s="198"/>
    </row>
    <row r="84" spans="6:22" ht="13.2">
      <c r="F84" s="198"/>
      <c r="Q84" s="198"/>
      <c r="V84" s="198"/>
    </row>
    <row r="85" spans="6:22" ht="13.2">
      <c r="F85" s="198"/>
      <c r="Q85" s="198"/>
      <c r="V85" s="198"/>
    </row>
    <row r="86" spans="6:22" ht="13.2">
      <c r="F86" s="198"/>
      <c r="Q86" s="198"/>
      <c r="V86" s="198"/>
    </row>
    <row r="87" spans="6:22" ht="13.2">
      <c r="F87" s="198"/>
      <c r="Q87" s="198"/>
      <c r="V87" s="198"/>
    </row>
    <row r="88" spans="6:22" ht="13.2">
      <c r="F88" s="198"/>
      <c r="Q88" s="198"/>
      <c r="V88" s="198"/>
    </row>
    <row r="89" spans="6:22" ht="13.2">
      <c r="F89" s="198"/>
      <c r="Q89" s="198"/>
      <c r="V89" s="198"/>
    </row>
    <row r="90" spans="6:22" ht="13.2">
      <c r="F90" s="198"/>
      <c r="Q90" s="198"/>
      <c r="V90" s="198"/>
    </row>
    <row r="91" spans="6:22" ht="13.2">
      <c r="F91" s="198"/>
      <c r="Q91" s="198"/>
      <c r="V91" s="198"/>
    </row>
    <row r="92" spans="6:22" ht="13.2">
      <c r="F92" s="198"/>
      <c r="Q92" s="198"/>
      <c r="V92" s="198"/>
    </row>
    <row r="93" spans="6:22" ht="13.2">
      <c r="F93" s="198"/>
      <c r="Q93" s="198"/>
      <c r="V93" s="198"/>
    </row>
    <row r="94" spans="6:22" ht="13.2">
      <c r="F94" s="198"/>
      <c r="Q94" s="198"/>
      <c r="V94" s="198"/>
    </row>
    <row r="95" spans="6:22" ht="13.2">
      <c r="F95" s="198"/>
      <c r="Q95" s="198"/>
      <c r="V95" s="198"/>
    </row>
    <row r="96" spans="6:22" ht="13.2">
      <c r="F96" s="198"/>
      <c r="Q96" s="198"/>
      <c r="V96" s="198"/>
    </row>
    <row r="97" spans="6:22" ht="13.2">
      <c r="F97" s="198"/>
      <c r="Q97" s="198"/>
      <c r="V97" s="198"/>
    </row>
    <row r="98" spans="6:22" ht="13.2">
      <c r="F98" s="198"/>
      <c r="Q98" s="198"/>
      <c r="V98" s="198"/>
    </row>
    <row r="99" spans="6:22" ht="13.2">
      <c r="F99" s="198"/>
      <c r="Q99" s="198"/>
      <c r="V99" s="198"/>
    </row>
    <row r="100" spans="6:22" ht="13.2">
      <c r="F100" s="198"/>
      <c r="Q100" s="198"/>
      <c r="V100" s="198"/>
    </row>
    <row r="101" spans="6:22" ht="13.2">
      <c r="F101" s="198"/>
      <c r="Q101" s="198"/>
      <c r="V101" s="198"/>
    </row>
    <row r="102" spans="6:22" ht="13.2">
      <c r="F102" s="198"/>
      <c r="Q102" s="198"/>
      <c r="V102" s="198"/>
    </row>
    <row r="103" spans="6:22" ht="13.2">
      <c r="F103" s="198"/>
      <c r="Q103" s="198"/>
      <c r="V103" s="198"/>
    </row>
    <row r="104" spans="6:22" ht="13.2">
      <c r="F104" s="198"/>
      <c r="Q104" s="198"/>
      <c r="V104" s="198"/>
    </row>
    <row r="105" spans="6:22" ht="13.2">
      <c r="F105" s="198"/>
      <c r="Q105" s="198"/>
      <c r="V105" s="198"/>
    </row>
    <row r="106" spans="6:22" ht="13.2">
      <c r="F106" s="198"/>
      <c r="Q106" s="198"/>
      <c r="V106" s="198"/>
    </row>
    <row r="107" spans="6:22" ht="13.2">
      <c r="F107" s="198"/>
      <c r="Q107" s="198"/>
      <c r="V107" s="198"/>
    </row>
    <row r="108" spans="6:22" ht="13.2">
      <c r="F108" s="198"/>
      <c r="Q108" s="198"/>
      <c r="V108" s="198"/>
    </row>
    <row r="109" spans="6:22" ht="13.2">
      <c r="F109" s="198"/>
      <c r="Q109" s="198"/>
      <c r="V109" s="198"/>
    </row>
    <row r="110" spans="6:22" ht="13.2">
      <c r="F110" s="198"/>
      <c r="Q110" s="198"/>
      <c r="V110" s="198"/>
    </row>
    <row r="111" spans="6:22" ht="13.2">
      <c r="F111" s="198"/>
      <c r="Q111" s="198"/>
      <c r="V111" s="198"/>
    </row>
    <row r="112" spans="6:22" ht="13.2">
      <c r="F112" s="198"/>
      <c r="Q112" s="198"/>
      <c r="V112" s="198"/>
    </row>
    <row r="113" spans="6:22" ht="13.2">
      <c r="F113" s="198"/>
      <c r="Q113" s="198"/>
      <c r="V113" s="198"/>
    </row>
    <row r="114" spans="6:22" ht="13.2">
      <c r="F114" s="198"/>
      <c r="Q114" s="198"/>
      <c r="V114" s="198"/>
    </row>
    <row r="115" spans="6:22" ht="13.2">
      <c r="F115" s="198"/>
      <c r="Q115" s="198"/>
      <c r="V115" s="198"/>
    </row>
    <row r="116" spans="6:22" ht="13.2">
      <c r="F116" s="198"/>
      <c r="Q116" s="198"/>
      <c r="V116" s="198"/>
    </row>
    <row r="117" spans="6:22" ht="13.2">
      <c r="F117" s="198"/>
      <c r="Q117" s="198"/>
      <c r="V117" s="198"/>
    </row>
    <row r="118" spans="6:22" ht="13.2">
      <c r="F118" s="198"/>
      <c r="Q118" s="198"/>
      <c r="V118" s="198"/>
    </row>
    <row r="119" spans="6:22" ht="13.2">
      <c r="F119" s="198"/>
      <c r="Q119" s="198"/>
      <c r="V119" s="198"/>
    </row>
    <row r="120" spans="6:22" ht="13.2">
      <c r="F120" s="198"/>
      <c r="Q120" s="198"/>
      <c r="V120" s="198"/>
    </row>
    <row r="121" spans="6:22" ht="13.2">
      <c r="F121" s="198"/>
      <c r="Q121" s="198"/>
      <c r="V121" s="198"/>
    </row>
    <row r="122" spans="6:22" ht="13.2">
      <c r="F122" s="198"/>
      <c r="Q122" s="198"/>
      <c r="V122" s="198"/>
    </row>
    <row r="123" spans="6:22" ht="13.2">
      <c r="F123" s="198"/>
      <c r="Q123" s="198"/>
      <c r="V123" s="198"/>
    </row>
    <row r="124" spans="6:22" ht="13.2">
      <c r="F124" s="198"/>
      <c r="Q124" s="198"/>
      <c r="V124" s="198"/>
    </row>
    <row r="125" spans="6:22" ht="13.2">
      <c r="F125" s="198"/>
      <c r="Q125" s="198"/>
      <c r="V125" s="198"/>
    </row>
    <row r="126" spans="6:22" ht="13.2">
      <c r="F126" s="198"/>
      <c r="Q126" s="198"/>
      <c r="V126" s="198"/>
    </row>
    <row r="127" spans="6:22" ht="13.2">
      <c r="F127" s="198"/>
      <c r="Q127" s="198"/>
      <c r="V127" s="198"/>
    </row>
    <row r="128" spans="6:22" ht="13.2">
      <c r="F128" s="198"/>
      <c r="Q128" s="198"/>
      <c r="V128" s="198"/>
    </row>
    <row r="129" spans="6:22" ht="13.2">
      <c r="F129" s="198"/>
      <c r="Q129" s="198"/>
      <c r="V129" s="198"/>
    </row>
    <row r="130" spans="6:22" ht="13.2">
      <c r="F130" s="198"/>
      <c r="Q130" s="198"/>
      <c r="V130" s="198"/>
    </row>
    <row r="131" spans="6:22" ht="13.2">
      <c r="F131" s="198"/>
      <c r="Q131" s="198"/>
      <c r="V131" s="198"/>
    </row>
    <row r="132" spans="6:22" ht="13.2">
      <c r="F132" s="198"/>
      <c r="Q132" s="198"/>
      <c r="V132" s="198"/>
    </row>
    <row r="133" spans="6:22" ht="13.2">
      <c r="F133" s="198"/>
      <c r="Q133" s="198"/>
      <c r="V133" s="198"/>
    </row>
    <row r="134" spans="6:22" ht="13.2">
      <c r="F134" s="198"/>
      <c r="Q134" s="198"/>
      <c r="V134" s="198"/>
    </row>
    <row r="135" spans="6:22" ht="13.2">
      <c r="F135" s="198"/>
      <c r="Q135" s="198"/>
      <c r="V135" s="198"/>
    </row>
    <row r="136" spans="6:22" ht="13.2">
      <c r="F136" s="198"/>
      <c r="Q136" s="198"/>
      <c r="V136" s="198"/>
    </row>
    <row r="137" spans="6:22" ht="13.2">
      <c r="F137" s="198"/>
      <c r="Q137" s="198"/>
      <c r="V137" s="198"/>
    </row>
    <row r="138" spans="6:22" ht="13.2">
      <c r="F138" s="198"/>
      <c r="Q138" s="198"/>
      <c r="V138" s="198"/>
    </row>
    <row r="139" spans="6:22" ht="13.2">
      <c r="F139" s="198"/>
      <c r="Q139" s="198"/>
      <c r="V139" s="198"/>
    </row>
    <row r="140" spans="6:22" ht="13.2">
      <c r="F140" s="198"/>
      <c r="Q140" s="198"/>
      <c r="V140" s="198"/>
    </row>
    <row r="141" spans="6:22" ht="13.2">
      <c r="F141" s="198"/>
      <c r="Q141" s="198"/>
      <c r="V141" s="198"/>
    </row>
    <row r="142" spans="6:22" ht="13.2">
      <c r="F142" s="198"/>
      <c r="Q142" s="198"/>
      <c r="V142" s="198"/>
    </row>
    <row r="143" spans="6:22" ht="13.2">
      <c r="F143" s="198"/>
      <c r="Q143" s="198"/>
      <c r="V143" s="198"/>
    </row>
    <row r="144" spans="6:22" ht="13.2">
      <c r="F144" s="198"/>
      <c r="Q144" s="198"/>
      <c r="V144" s="198"/>
    </row>
    <row r="145" spans="6:22" ht="13.2">
      <c r="F145" s="198"/>
      <c r="Q145" s="198"/>
      <c r="V145" s="198"/>
    </row>
    <row r="146" spans="6:22" ht="13.2">
      <c r="F146" s="198"/>
      <c r="Q146" s="198"/>
      <c r="V146" s="198"/>
    </row>
    <row r="147" spans="6:22" ht="13.2">
      <c r="F147" s="198"/>
      <c r="Q147" s="198"/>
      <c r="V147" s="198"/>
    </row>
    <row r="148" spans="6:22" ht="13.2">
      <c r="F148" s="198"/>
      <c r="Q148" s="198"/>
      <c r="V148" s="198"/>
    </row>
    <row r="149" spans="6:22" ht="13.2">
      <c r="F149" s="198"/>
      <c r="Q149" s="198"/>
      <c r="V149" s="198"/>
    </row>
    <row r="150" spans="6:22" ht="13.2">
      <c r="F150" s="198"/>
      <c r="Q150" s="198"/>
      <c r="V150" s="198"/>
    </row>
    <row r="151" spans="6:22" ht="13.2">
      <c r="F151" s="198"/>
      <c r="Q151" s="198"/>
      <c r="V151" s="198"/>
    </row>
    <row r="152" spans="6:22" ht="13.2">
      <c r="F152" s="198"/>
      <c r="Q152" s="198"/>
      <c r="V152" s="198"/>
    </row>
    <row r="153" spans="6:22" ht="13.2">
      <c r="F153" s="198"/>
      <c r="Q153" s="198"/>
      <c r="V153" s="198"/>
    </row>
    <row r="154" spans="6:22" ht="13.2">
      <c r="F154" s="198"/>
      <c r="Q154" s="198"/>
      <c r="V154" s="198"/>
    </row>
    <row r="155" spans="6:22" ht="13.2">
      <c r="F155" s="198"/>
      <c r="Q155" s="198"/>
      <c r="V155" s="198"/>
    </row>
    <row r="156" spans="6:22" ht="13.2">
      <c r="F156" s="198"/>
      <c r="Q156" s="198"/>
      <c r="V156" s="198"/>
    </row>
    <row r="157" spans="6:22" ht="13.2">
      <c r="F157" s="198"/>
      <c r="Q157" s="198"/>
      <c r="V157" s="198"/>
    </row>
    <row r="158" spans="6:22" ht="13.2">
      <c r="F158" s="198"/>
      <c r="Q158" s="198"/>
      <c r="V158" s="198"/>
    </row>
    <row r="159" spans="6:22" ht="13.2">
      <c r="F159" s="198"/>
      <c r="Q159" s="198"/>
      <c r="V159" s="198"/>
    </row>
    <row r="160" spans="6:22" ht="13.2">
      <c r="F160" s="198"/>
      <c r="Q160" s="198"/>
      <c r="V160" s="198"/>
    </row>
    <row r="161" spans="6:22" ht="13.2">
      <c r="F161" s="198"/>
      <c r="Q161" s="198"/>
      <c r="V161" s="198"/>
    </row>
    <row r="162" spans="6:22" ht="13.2">
      <c r="F162" s="198"/>
      <c r="Q162" s="198"/>
      <c r="V162" s="198"/>
    </row>
    <row r="163" spans="6:22" ht="13.2">
      <c r="F163" s="198"/>
      <c r="Q163" s="198"/>
      <c r="V163" s="198"/>
    </row>
    <row r="164" spans="6:22" ht="13.2">
      <c r="F164" s="198"/>
      <c r="Q164" s="198"/>
      <c r="V164" s="198"/>
    </row>
    <row r="165" spans="6:22" ht="13.2">
      <c r="F165" s="198"/>
      <c r="Q165" s="198"/>
      <c r="V165" s="198"/>
    </row>
    <row r="166" spans="6:22" ht="13.2">
      <c r="F166" s="198"/>
      <c r="Q166" s="198"/>
      <c r="V166" s="198"/>
    </row>
    <row r="167" spans="6:22" ht="13.2">
      <c r="F167" s="198"/>
      <c r="Q167" s="198"/>
      <c r="V167" s="198"/>
    </row>
    <row r="168" spans="6:22" ht="13.2">
      <c r="F168" s="198"/>
      <c r="Q168" s="198"/>
      <c r="V168" s="198"/>
    </row>
    <row r="169" spans="6:22" ht="13.2">
      <c r="F169" s="198"/>
      <c r="Q169" s="198"/>
      <c r="V169" s="198"/>
    </row>
    <row r="170" spans="6:22" ht="13.2">
      <c r="F170" s="198"/>
      <c r="Q170" s="198"/>
      <c r="V170" s="198"/>
    </row>
    <row r="171" spans="6:22" ht="13.2">
      <c r="F171" s="198"/>
      <c r="Q171" s="198"/>
      <c r="V171" s="198"/>
    </row>
    <row r="172" spans="6:22" ht="13.2">
      <c r="F172" s="198"/>
      <c r="Q172" s="198"/>
      <c r="V172" s="198"/>
    </row>
    <row r="173" spans="6:22" ht="13.2">
      <c r="F173" s="198"/>
      <c r="Q173" s="198"/>
      <c r="V173" s="198"/>
    </row>
    <row r="174" spans="6:22" ht="13.2">
      <c r="F174" s="198"/>
      <c r="Q174" s="198"/>
      <c r="V174" s="198"/>
    </row>
    <row r="175" spans="6:22" ht="13.2">
      <c r="F175" s="198"/>
      <c r="Q175" s="198"/>
      <c r="V175" s="198"/>
    </row>
    <row r="176" spans="6:22" ht="13.2">
      <c r="F176" s="198"/>
      <c r="Q176" s="198"/>
      <c r="V176" s="198"/>
    </row>
    <row r="177" spans="6:22" ht="13.2">
      <c r="F177" s="198"/>
      <c r="Q177" s="198"/>
      <c r="V177" s="198"/>
    </row>
    <row r="178" spans="6:22" ht="13.2">
      <c r="F178" s="198"/>
      <c r="Q178" s="198"/>
      <c r="V178" s="198"/>
    </row>
    <row r="179" spans="6:22" ht="13.2">
      <c r="F179" s="198"/>
      <c r="Q179" s="198"/>
      <c r="V179" s="198"/>
    </row>
    <row r="180" spans="6:22" ht="13.2">
      <c r="F180" s="198"/>
      <c r="Q180" s="198"/>
      <c r="V180" s="198"/>
    </row>
    <row r="181" spans="6:22" ht="13.2">
      <c r="F181" s="198"/>
      <c r="Q181" s="198"/>
      <c r="V181" s="198"/>
    </row>
    <row r="182" spans="6:22" ht="13.2">
      <c r="F182" s="198"/>
      <c r="Q182" s="198"/>
      <c r="V182" s="198"/>
    </row>
    <row r="183" spans="6:22" ht="13.2">
      <c r="F183" s="198"/>
      <c r="Q183" s="198"/>
      <c r="V183" s="198"/>
    </row>
    <row r="184" spans="6:22" ht="13.2">
      <c r="F184" s="198"/>
      <c r="Q184" s="198"/>
      <c r="V184" s="198"/>
    </row>
    <row r="185" spans="6:22" ht="13.2">
      <c r="F185" s="198"/>
      <c r="Q185" s="198"/>
      <c r="V185" s="198"/>
    </row>
    <row r="186" spans="6:22" ht="13.2">
      <c r="F186" s="198"/>
      <c r="Q186" s="198"/>
      <c r="V186" s="198"/>
    </row>
    <row r="187" spans="6:22" ht="13.2">
      <c r="F187" s="198"/>
      <c r="Q187" s="198"/>
      <c r="V187" s="198"/>
    </row>
    <row r="188" spans="6:22" ht="13.2">
      <c r="F188" s="198"/>
      <c r="Q188" s="198"/>
      <c r="V188" s="198"/>
    </row>
    <row r="189" spans="6:22" ht="13.2">
      <c r="F189" s="198"/>
      <c r="Q189" s="198"/>
      <c r="V189" s="198"/>
    </row>
    <row r="190" spans="6:22" ht="13.2">
      <c r="F190" s="198"/>
      <c r="Q190" s="198"/>
      <c r="V190" s="198"/>
    </row>
    <row r="191" spans="6:22" ht="13.2">
      <c r="F191" s="198"/>
      <c r="Q191" s="198"/>
      <c r="V191" s="198"/>
    </row>
    <row r="192" spans="6:22" ht="13.2">
      <c r="F192" s="198"/>
      <c r="Q192" s="198"/>
      <c r="V192" s="198"/>
    </row>
    <row r="193" spans="6:22" ht="13.2">
      <c r="F193" s="198"/>
      <c r="Q193" s="198"/>
      <c r="V193" s="198"/>
    </row>
    <row r="194" spans="6:22" ht="13.2">
      <c r="F194" s="198"/>
      <c r="Q194" s="198"/>
      <c r="V194" s="198"/>
    </row>
    <row r="195" spans="6:22" ht="13.2">
      <c r="F195" s="198"/>
      <c r="Q195" s="198"/>
      <c r="V195" s="198"/>
    </row>
    <row r="196" spans="6:22" ht="13.2">
      <c r="F196" s="198"/>
      <c r="Q196" s="198"/>
      <c r="V196" s="198"/>
    </row>
    <row r="197" spans="6:22" ht="13.2">
      <c r="F197" s="198"/>
      <c r="Q197" s="198"/>
      <c r="V197" s="198"/>
    </row>
    <row r="198" spans="6:22" ht="13.2">
      <c r="F198" s="198"/>
      <c r="Q198" s="198"/>
      <c r="V198" s="198"/>
    </row>
    <row r="199" spans="6:22" ht="13.2">
      <c r="F199" s="198"/>
      <c r="Q199" s="198"/>
      <c r="V199" s="198"/>
    </row>
    <row r="200" spans="6:22" ht="13.2">
      <c r="F200" s="198"/>
      <c r="Q200" s="198"/>
      <c r="V200" s="198"/>
    </row>
    <row r="201" spans="6:22" ht="13.2">
      <c r="F201" s="198"/>
      <c r="Q201" s="198"/>
      <c r="V201" s="198"/>
    </row>
    <row r="202" spans="6:22" ht="13.2">
      <c r="F202" s="198"/>
      <c r="Q202" s="198"/>
      <c r="V202" s="198"/>
    </row>
    <row r="203" spans="6:22" ht="13.2">
      <c r="F203" s="198"/>
      <c r="Q203" s="198"/>
      <c r="V203" s="198"/>
    </row>
    <row r="204" spans="6:22" ht="13.2">
      <c r="F204" s="198"/>
      <c r="Q204" s="198"/>
      <c r="V204" s="198"/>
    </row>
    <row r="205" spans="6:22" ht="13.2">
      <c r="F205" s="198"/>
      <c r="Q205" s="198"/>
      <c r="V205" s="198"/>
    </row>
    <row r="206" spans="6:22" ht="13.2">
      <c r="F206" s="198"/>
      <c r="Q206" s="198"/>
      <c r="V206" s="198"/>
    </row>
    <row r="207" spans="6:22" ht="13.2">
      <c r="F207" s="198"/>
      <c r="Q207" s="198"/>
      <c r="V207" s="198"/>
    </row>
    <row r="208" spans="6:22" ht="13.2">
      <c r="F208" s="198"/>
      <c r="Q208" s="198"/>
      <c r="V208" s="198"/>
    </row>
    <row r="209" spans="6:22" ht="13.2">
      <c r="F209" s="198"/>
      <c r="Q209" s="198"/>
      <c r="V209" s="198"/>
    </row>
    <row r="210" spans="6:22" ht="13.2">
      <c r="F210" s="198"/>
      <c r="Q210" s="198"/>
      <c r="V210" s="198"/>
    </row>
    <row r="211" spans="6:22" ht="13.2">
      <c r="F211" s="198"/>
      <c r="Q211" s="198"/>
      <c r="V211" s="198"/>
    </row>
    <row r="212" spans="6:22" ht="13.2">
      <c r="F212" s="198"/>
      <c r="Q212" s="198"/>
      <c r="V212" s="198"/>
    </row>
    <row r="213" spans="6:22" ht="13.2">
      <c r="F213" s="198"/>
      <c r="Q213" s="198"/>
      <c r="V213" s="198"/>
    </row>
    <row r="214" spans="6:22" ht="13.2">
      <c r="F214" s="198"/>
      <c r="Q214" s="198"/>
      <c r="V214" s="198"/>
    </row>
    <row r="215" spans="6:22" ht="13.2">
      <c r="F215" s="198"/>
      <c r="Q215" s="198"/>
      <c r="V215" s="198"/>
    </row>
    <row r="216" spans="6:22" ht="13.2">
      <c r="F216" s="198"/>
      <c r="Q216" s="198"/>
      <c r="V216" s="198"/>
    </row>
    <row r="217" spans="6:22" ht="13.2">
      <c r="F217" s="198"/>
      <c r="Q217" s="198"/>
      <c r="V217" s="198"/>
    </row>
    <row r="218" spans="6:22" ht="13.2">
      <c r="F218" s="198"/>
      <c r="Q218" s="198"/>
      <c r="V218" s="198"/>
    </row>
    <row r="219" spans="6:22" ht="13.2">
      <c r="F219" s="198"/>
      <c r="Q219" s="198"/>
      <c r="V219" s="198"/>
    </row>
    <row r="220" spans="6:22" ht="13.2">
      <c r="F220" s="198"/>
      <c r="Q220" s="198"/>
      <c r="V220" s="198"/>
    </row>
    <row r="221" spans="6:22" ht="13.2">
      <c r="F221" s="198"/>
      <c r="Q221" s="198"/>
      <c r="V221" s="198"/>
    </row>
    <row r="222" spans="6:22" ht="13.2">
      <c r="F222" s="198"/>
      <c r="Q222" s="198"/>
      <c r="V222" s="198"/>
    </row>
    <row r="223" spans="6:22" ht="13.2">
      <c r="F223" s="198"/>
      <c r="Q223" s="198"/>
      <c r="V223" s="198"/>
    </row>
    <row r="224" spans="6:22" ht="13.2">
      <c r="F224" s="198"/>
      <c r="Q224" s="198"/>
      <c r="V224" s="198"/>
    </row>
    <row r="225" spans="6:22" ht="13.2">
      <c r="F225" s="198"/>
      <c r="Q225" s="198"/>
      <c r="V225" s="198"/>
    </row>
    <row r="226" spans="6:22" ht="13.2">
      <c r="F226" s="198"/>
      <c r="Q226" s="198"/>
      <c r="V226" s="198"/>
    </row>
    <row r="227" spans="6:22" ht="13.2">
      <c r="F227" s="198"/>
      <c r="Q227" s="198"/>
      <c r="V227" s="198"/>
    </row>
    <row r="228" spans="6:22" ht="13.2">
      <c r="F228" s="198"/>
      <c r="Q228" s="198"/>
      <c r="V228" s="198"/>
    </row>
    <row r="229" spans="6:22" ht="13.2">
      <c r="F229" s="198"/>
      <c r="Q229" s="198"/>
      <c r="V229" s="198"/>
    </row>
    <row r="230" spans="6:22" ht="13.2">
      <c r="F230" s="198"/>
      <c r="Q230" s="198"/>
      <c r="V230" s="198"/>
    </row>
    <row r="231" spans="6:22" ht="13.2">
      <c r="F231" s="198"/>
      <c r="Q231" s="198"/>
      <c r="V231" s="198"/>
    </row>
    <row r="232" spans="6:22" ht="13.2">
      <c r="F232" s="198"/>
      <c r="Q232" s="198"/>
      <c r="V232" s="198"/>
    </row>
    <row r="233" spans="6:22" ht="13.2">
      <c r="F233" s="198"/>
      <c r="Q233" s="198"/>
      <c r="V233" s="198"/>
    </row>
    <row r="234" spans="6:22" ht="13.2">
      <c r="F234" s="198"/>
      <c r="Q234" s="198"/>
      <c r="V234" s="198"/>
    </row>
    <row r="235" spans="6:22" ht="13.2">
      <c r="F235" s="198"/>
      <c r="Q235" s="198"/>
      <c r="V235" s="198"/>
    </row>
    <row r="236" spans="6:22" ht="13.2">
      <c r="F236" s="198"/>
      <c r="Q236" s="198"/>
      <c r="V236" s="198"/>
    </row>
    <row r="237" spans="6:22" ht="13.2">
      <c r="F237" s="198"/>
      <c r="Q237" s="198"/>
      <c r="V237" s="198"/>
    </row>
    <row r="238" spans="6:22" ht="13.2">
      <c r="F238" s="198"/>
      <c r="Q238" s="198"/>
      <c r="V238" s="198"/>
    </row>
    <row r="239" spans="6:22" ht="13.2">
      <c r="F239" s="198"/>
      <c r="Q239" s="198"/>
      <c r="V239" s="198"/>
    </row>
    <row r="240" spans="6:22" ht="13.2">
      <c r="F240" s="198"/>
      <c r="Q240" s="198"/>
      <c r="V240" s="198"/>
    </row>
    <row r="241" spans="6:22" ht="13.2">
      <c r="F241" s="198"/>
      <c r="Q241" s="198"/>
      <c r="V241" s="198"/>
    </row>
    <row r="242" spans="6:22" ht="13.2">
      <c r="F242" s="198"/>
      <c r="Q242" s="198"/>
      <c r="V242" s="198"/>
    </row>
    <row r="243" spans="6:22" ht="13.2">
      <c r="F243" s="198"/>
      <c r="Q243" s="198"/>
      <c r="V243" s="198"/>
    </row>
    <row r="244" spans="6:22" ht="13.2">
      <c r="F244" s="198"/>
      <c r="Q244" s="198"/>
      <c r="V244" s="198"/>
    </row>
    <row r="245" spans="6:22" ht="13.2">
      <c r="F245" s="198"/>
      <c r="Q245" s="198"/>
      <c r="V245" s="198"/>
    </row>
    <row r="246" spans="6:22" ht="13.2">
      <c r="F246" s="198"/>
      <c r="Q246" s="198"/>
      <c r="V246" s="198"/>
    </row>
    <row r="247" spans="6:22" ht="13.2">
      <c r="F247" s="198"/>
      <c r="Q247" s="198"/>
      <c r="V247" s="198"/>
    </row>
    <row r="248" spans="6:22" ht="13.2">
      <c r="F248" s="198"/>
      <c r="Q248" s="198"/>
      <c r="V248" s="198"/>
    </row>
    <row r="249" spans="6:22" ht="13.2">
      <c r="F249" s="198"/>
      <c r="Q249" s="198"/>
      <c r="V249" s="198"/>
    </row>
    <row r="250" spans="6:22" ht="13.2">
      <c r="F250" s="198"/>
      <c r="Q250" s="198"/>
      <c r="V250" s="198"/>
    </row>
    <row r="251" spans="6:22" ht="13.2">
      <c r="F251" s="198"/>
      <c r="Q251" s="198"/>
      <c r="V251" s="198"/>
    </row>
    <row r="252" spans="6:22" ht="13.2">
      <c r="F252" s="198"/>
      <c r="Q252" s="198"/>
      <c r="V252" s="198"/>
    </row>
    <row r="253" spans="6:22" ht="13.2">
      <c r="F253" s="198"/>
      <c r="Q253" s="198"/>
      <c r="V253" s="198"/>
    </row>
    <row r="254" spans="6:22" ht="13.2">
      <c r="F254" s="198"/>
      <c r="Q254" s="198"/>
      <c r="V254" s="198"/>
    </row>
    <row r="255" spans="6:22" ht="13.2">
      <c r="F255" s="198"/>
      <c r="Q255" s="198"/>
      <c r="V255" s="198"/>
    </row>
    <row r="256" spans="6:22" ht="13.2">
      <c r="F256" s="198"/>
      <c r="Q256" s="198"/>
      <c r="V256" s="198"/>
    </row>
    <row r="257" spans="6:22" ht="13.2">
      <c r="F257" s="198"/>
      <c r="Q257" s="198"/>
      <c r="V257" s="198"/>
    </row>
    <row r="258" spans="6:22" ht="13.2">
      <c r="F258" s="198"/>
      <c r="Q258" s="198"/>
      <c r="V258" s="198"/>
    </row>
    <row r="259" spans="6:22" ht="13.2">
      <c r="F259" s="198"/>
      <c r="Q259" s="198"/>
      <c r="V259" s="198"/>
    </row>
    <row r="260" spans="6:22" ht="13.2">
      <c r="F260" s="198"/>
      <c r="Q260" s="198"/>
      <c r="V260" s="198"/>
    </row>
    <row r="261" spans="6:22" ht="13.2">
      <c r="F261" s="198"/>
      <c r="Q261" s="198"/>
      <c r="V261" s="198"/>
    </row>
    <row r="262" spans="6:22" ht="13.2">
      <c r="F262" s="198"/>
      <c r="Q262" s="198"/>
      <c r="V262" s="198"/>
    </row>
    <row r="263" spans="6:22" ht="13.2">
      <c r="F263" s="198"/>
      <c r="Q263" s="198"/>
      <c r="V263" s="198"/>
    </row>
    <row r="264" spans="6:22" ht="13.2">
      <c r="F264" s="198"/>
      <c r="Q264" s="198"/>
      <c r="V264" s="198"/>
    </row>
    <row r="265" spans="6:22" ht="13.2">
      <c r="F265" s="198"/>
      <c r="Q265" s="198"/>
      <c r="V265" s="198"/>
    </row>
    <row r="266" spans="6:22" ht="13.2">
      <c r="F266" s="198"/>
      <c r="Q266" s="198"/>
      <c r="V266" s="198"/>
    </row>
    <row r="267" spans="6:22" ht="13.2">
      <c r="F267" s="198"/>
      <c r="Q267" s="198"/>
      <c r="V267" s="198"/>
    </row>
    <row r="268" spans="6:22" ht="13.2">
      <c r="F268" s="198"/>
      <c r="Q268" s="198"/>
      <c r="V268" s="198"/>
    </row>
    <row r="269" spans="6:22" ht="13.2">
      <c r="F269" s="198"/>
      <c r="Q269" s="198"/>
      <c r="V269" s="198"/>
    </row>
    <row r="270" spans="6:22" ht="13.2">
      <c r="F270" s="198"/>
      <c r="Q270" s="198"/>
      <c r="V270" s="198"/>
    </row>
    <row r="271" spans="6:22" ht="13.2">
      <c r="F271" s="198"/>
      <c r="Q271" s="198"/>
      <c r="V271" s="198"/>
    </row>
    <row r="272" spans="6:22" ht="13.2">
      <c r="F272" s="198"/>
      <c r="Q272" s="198"/>
      <c r="V272" s="198"/>
    </row>
    <row r="273" spans="6:22" ht="13.2">
      <c r="F273" s="198"/>
      <c r="Q273" s="198"/>
      <c r="V273" s="198"/>
    </row>
    <row r="274" spans="6:22" ht="13.2">
      <c r="F274" s="198"/>
      <c r="Q274" s="198"/>
      <c r="V274" s="198"/>
    </row>
    <row r="275" spans="6:22" ht="13.2">
      <c r="F275" s="198"/>
      <c r="Q275" s="198"/>
      <c r="V275" s="198"/>
    </row>
    <row r="276" spans="6:22" ht="13.2">
      <c r="F276" s="198"/>
      <c r="Q276" s="198"/>
      <c r="V276" s="198"/>
    </row>
    <row r="277" spans="6:22" ht="13.2">
      <c r="F277" s="198"/>
      <c r="Q277" s="198"/>
      <c r="V277" s="198"/>
    </row>
    <row r="278" spans="6:22" ht="13.2">
      <c r="F278" s="198"/>
      <c r="Q278" s="198"/>
      <c r="V278" s="198"/>
    </row>
    <row r="279" spans="6:22" ht="13.2">
      <c r="F279" s="198"/>
      <c r="Q279" s="198"/>
      <c r="V279" s="198"/>
    </row>
    <row r="280" spans="6:22" ht="13.2">
      <c r="F280" s="198"/>
      <c r="Q280" s="198"/>
      <c r="V280" s="198"/>
    </row>
    <row r="281" spans="6:22" ht="13.2">
      <c r="F281" s="198"/>
      <c r="Q281" s="198"/>
      <c r="V281" s="198"/>
    </row>
    <row r="282" spans="6:22" ht="13.2">
      <c r="F282" s="198"/>
      <c r="Q282" s="198"/>
      <c r="V282" s="198"/>
    </row>
    <row r="283" spans="6:22" ht="13.2">
      <c r="F283" s="198"/>
      <c r="Q283" s="198"/>
      <c r="V283" s="198"/>
    </row>
    <row r="284" spans="6:22" ht="13.2">
      <c r="F284" s="198"/>
      <c r="Q284" s="198"/>
      <c r="V284" s="198"/>
    </row>
    <row r="285" spans="6:22" ht="13.2">
      <c r="F285" s="198"/>
      <c r="Q285" s="198"/>
      <c r="V285" s="198"/>
    </row>
    <row r="286" spans="6:22" ht="13.2">
      <c r="F286" s="198"/>
      <c r="Q286" s="198"/>
      <c r="V286" s="198"/>
    </row>
    <row r="287" spans="6:22" ht="13.2">
      <c r="F287" s="198"/>
      <c r="Q287" s="198"/>
      <c r="V287" s="198"/>
    </row>
    <row r="288" spans="6:22" ht="13.2">
      <c r="F288" s="198"/>
      <c r="Q288" s="198"/>
      <c r="V288" s="198"/>
    </row>
    <row r="289" spans="6:22" ht="13.2">
      <c r="F289" s="198"/>
      <c r="Q289" s="198"/>
      <c r="V289" s="198"/>
    </row>
    <row r="290" spans="6:22" ht="13.2">
      <c r="F290" s="198"/>
      <c r="Q290" s="198"/>
      <c r="V290" s="198"/>
    </row>
    <row r="291" spans="6:22" ht="13.2">
      <c r="F291" s="198"/>
      <c r="Q291" s="198"/>
      <c r="V291" s="198"/>
    </row>
    <row r="292" spans="6:22" ht="13.2">
      <c r="F292" s="198"/>
      <c r="Q292" s="198"/>
      <c r="V292" s="198"/>
    </row>
    <row r="293" spans="6:22" ht="13.2">
      <c r="F293" s="198"/>
      <c r="Q293" s="198"/>
      <c r="V293" s="198"/>
    </row>
    <row r="294" spans="6:22" ht="13.2">
      <c r="F294" s="198"/>
      <c r="Q294" s="198"/>
      <c r="V294" s="198"/>
    </row>
    <row r="295" spans="6:22" ht="13.2">
      <c r="F295" s="198"/>
      <c r="Q295" s="198"/>
      <c r="V295" s="198"/>
    </row>
    <row r="296" spans="6:22" ht="13.2">
      <c r="F296" s="198"/>
      <c r="Q296" s="198"/>
      <c r="V296" s="198"/>
    </row>
    <row r="297" spans="6:22" ht="13.2">
      <c r="F297" s="198"/>
      <c r="Q297" s="198"/>
      <c r="V297" s="198"/>
    </row>
    <row r="298" spans="6:22" ht="13.2">
      <c r="F298" s="198"/>
      <c r="Q298" s="198"/>
      <c r="V298" s="198"/>
    </row>
    <row r="299" spans="6:22" ht="13.2">
      <c r="F299" s="198"/>
      <c r="Q299" s="198"/>
      <c r="V299" s="198"/>
    </row>
    <row r="300" spans="6:22" ht="13.2">
      <c r="F300" s="198"/>
      <c r="Q300" s="198"/>
      <c r="V300" s="198"/>
    </row>
    <row r="301" spans="6:22" ht="13.2">
      <c r="F301" s="198"/>
      <c r="Q301" s="198"/>
      <c r="V301" s="198"/>
    </row>
    <row r="302" spans="6:22" ht="13.2">
      <c r="F302" s="198"/>
      <c r="Q302" s="198"/>
      <c r="V302" s="198"/>
    </row>
    <row r="303" spans="6:22" ht="13.2">
      <c r="F303" s="198"/>
      <c r="Q303" s="198"/>
      <c r="V303" s="198"/>
    </row>
    <row r="304" spans="6:22" ht="13.2">
      <c r="F304" s="198"/>
      <c r="Q304" s="198"/>
      <c r="V304" s="198"/>
    </row>
    <row r="305" spans="6:22" ht="13.2">
      <c r="F305" s="198"/>
      <c r="Q305" s="198"/>
      <c r="V305" s="198"/>
    </row>
    <row r="306" spans="6:22" ht="13.2">
      <c r="F306" s="198"/>
      <c r="Q306" s="198"/>
      <c r="V306" s="198"/>
    </row>
    <row r="307" spans="6:22" ht="13.2">
      <c r="F307" s="198"/>
      <c r="Q307" s="198"/>
      <c r="V307" s="198"/>
    </row>
    <row r="308" spans="6:22" ht="13.2">
      <c r="F308" s="198"/>
      <c r="Q308" s="198"/>
      <c r="V308" s="198"/>
    </row>
    <row r="309" spans="6:22" ht="13.2">
      <c r="F309" s="198"/>
      <c r="Q309" s="198"/>
      <c r="V309" s="198"/>
    </row>
    <row r="310" spans="6:22" ht="13.2">
      <c r="F310" s="198"/>
      <c r="Q310" s="198"/>
      <c r="V310" s="198"/>
    </row>
    <row r="311" spans="6:22" ht="13.2">
      <c r="F311" s="198"/>
      <c r="Q311" s="198"/>
      <c r="V311" s="198"/>
    </row>
    <row r="312" spans="6:22" ht="13.2">
      <c r="F312" s="198"/>
      <c r="Q312" s="198"/>
      <c r="V312" s="198"/>
    </row>
    <row r="313" spans="6:22" ht="13.2">
      <c r="F313" s="198"/>
      <c r="Q313" s="198"/>
      <c r="V313" s="198"/>
    </row>
    <row r="314" spans="6:22" ht="13.2">
      <c r="F314" s="198"/>
      <c r="Q314" s="198"/>
      <c r="V314" s="198"/>
    </row>
    <row r="315" spans="6:22" ht="13.2">
      <c r="F315" s="198"/>
      <c r="Q315" s="198"/>
      <c r="V315" s="198"/>
    </row>
    <row r="316" spans="6:22" ht="13.2">
      <c r="F316" s="198"/>
      <c r="Q316" s="198"/>
      <c r="V316" s="198"/>
    </row>
    <row r="317" spans="6:22" ht="13.2">
      <c r="F317" s="198"/>
      <c r="Q317" s="198"/>
      <c r="V317" s="198"/>
    </row>
    <row r="318" spans="6:22" ht="13.2">
      <c r="F318" s="198"/>
      <c r="Q318" s="198"/>
      <c r="V318" s="198"/>
    </row>
    <row r="319" spans="6:22" ht="13.2">
      <c r="F319" s="198"/>
      <c r="Q319" s="198"/>
      <c r="V319" s="198"/>
    </row>
    <row r="320" spans="6:22" ht="13.2">
      <c r="F320" s="198"/>
      <c r="Q320" s="198"/>
      <c r="V320" s="198"/>
    </row>
    <row r="321" spans="6:22" ht="13.2">
      <c r="F321" s="198"/>
      <c r="Q321" s="198"/>
      <c r="V321" s="198"/>
    </row>
    <row r="322" spans="6:22" ht="13.2">
      <c r="F322" s="198"/>
      <c r="Q322" s="198"/>
      <c r="V322" s="198"/>
    </row>
    <row r="323" spans="6:22" ht="13.2">
      <c r="F323" s="198"/>
      <c r="Q323" s="198"/>
      <c r="V323" s="198"/>
    </row>
    <row r="324" spans="6:22" ht="13.2">
      <c r="F324" s="198"/>
      <c r="Q324" s="198"/>
      <c r="V324" s="198"/>
    </row>
    <row r="325" spans="6:22" ht="13.2">
      <c r="F325" s="198"/>
      <c r="Q325" s="198"/>
      <c r="V325" s="198"/>
    </row>
    <row r="326" spans="6:22" ht="13.2">
      <c r="F326" s="198"/>
      <c r="Q326" s="198"/>
      <c r="V326" s="198"/>
    </row>
    <row r="327" spans="6:22" ht="13.2">
      <c r="F327" s="198"/>
      <c r="Q327" s="198"/>
      <c r="V327" s="198"/>
    </row>
    <row r="328" spans="6:22" ht="13.2">
      <c r="F328" s="198"/>
      <c r="Q328" s="198"/>
      <c r="V328" s="198"/>
    </row>
    <row r="329" spans="6:22" ht="13.2">
      <c r="F329" s="198"/>
      <c r="Q329" s="198"/>
      <c r="V329" s="198"/>
    </row>
    <row r="330" spans="6:22" ht="13.2">
      <c r="F330" s="198"/>
      <c r="Q330" s="198"/>
      <c r="V330" s="198"/>
    </row>
    <row r="331" spans="6:22" ht="13.2">
      <c r="F331" s="198"/>
      <c r="Q331" s="198"/>
      <c r="V331" s="198"/>
    </row>
    <row r="332" spans="6:22" ht="13.2">
      <c r="F332" s="198"/>
      <c r="Q332" s="198"/>
      <c r="V332" s="198"/>
    </row>
    <row r="333" spans="6:22" ht="13.2">
      <c r="F333" s="198"/>
      <c r="Q333" s="198"/>
      <c r="V333" s="198"/>
    </row>
    <row r="334" spans="6:22" ht="13.2">
      <c r="F334" s="198"/>
      <c r="Q334" s="198"/>
      <c r="V334" s="198"/>
    </row>
    <row r="335" spans="6:22" ht="13.2">
      <c r="F335" s="198"/>
      <c r="Q335" s="198"/>
      <c r="V335" s="198"/>
    </row>
    <row r="336" spans="6:22" ht="13.2">
      <c r="F336" s="198"/>
      <c r="Q336" s="198"/>
      <c r="V336" s="198"/>
    </row>
    <row r="337" spans="6:22" ht="13.2">
      <c r="F337" s="198"/>
      <c r="Q337" s="198"/>
      <c r="V337" s="198"/>
    </row>
    <row r="338" spans="6:22" ht="13.2">
      <c r="F338" s="198"/>
      <c r="Q338" s="198"/>
      <c r="V338" s="198"/>
    </row>
    <row r="339" spans="6:22" ht="13.2">
      <c r="F339" s="198"/>
      <c r="Q339" s="198"/>
      <c r="V339" s="198"/>
    </row>
    <row r="340" spans="6:22" ht="13.2">
      <c r="F340" s="198"/>
      <c r="Q340" s="198"/>
      <c r="V340" s="198"/>
    </row>
    <row r="341" spans="6:22" ht="13.2">
      <c r="F341" s="198"/>
      <c r="Q341" s="198"/>
      <c r="V341" s="198"/>
    </row>
    <row r="342" spans="6:22" ht="13.2">
      <c r="F342" s="198"/>
      <c r="Q342" s="198"/>
      <c r="V342" s="198"/>
    </row>
    <row r="343" spans="6:22" ht="13.2">
      <c r="F343" s="198"/>
      <c r="Q343" s="198"/>
      <c r="V343" s="198"/>
    </row>
    <row r="344" spans="6:22" ht="13.2">
      <c r="F344" s="198"/>
      <c r="Q344" s="198"/>
      <c r="V344" s="198"/>
    </row>
    <row r="345" spans="6:22" ht="13.2">
      <c r="F345" s="198"/>
      <c r="Q345" s="198"/>
      <c r="V345" s="198"/>
    </row>
    <row r="346" spans="6:22" ht="13.2">
      <c r="F346" s="198"/>
      <c r="Q346" s="198"/>
      <c r="V346" s="198"/>
    </row>
    <row r="347" spans="6:22" ht="13.2">
      <c r="F347" s="198"/>
      <c r="Q347" s="198"/>
      <c r="V347" s="198"/>
    </row>
    <row r="348" spans="6:22" ht="13.2">
      <c r="F348" s="198"/>
      <c r="Q348" s="198"/>
      <c r="V348" s="198"/>
    </row>
    <row r="349" spans="6:22" ht="13.2">
      <c r="F349" s="198"/>
      <c r="Q349" s="198"/>
      <c r="V349" s="198"/>
    </row>
    <row r="350" spans="6:22" ht="13.2">
      <c r="F350" s="198"/>
      <c r="Q350" s="198"/>
      <c r="V350" s="198"/>
    </row>
    <row r="351" spans="6:22" ht="13.2">
      <c r="F351" s="198"/>
      <c r="Q351" s="198"/>
      <c r="V351" s="198"/>
    </row>
    <row r="352" spans="6:22" ht="13.2">
      <c r="F352" s="198"/>
      <c r="Q352" s="198"/>
      <c r="V352" s="198"/>
    </row>
    <row r="353" spans="6:22" ht="13.2">
      <c r="F353" s="198"/>
      <c r="Q353" s="198"/>
      <c r="V353" s="198"/>
    </row>
    <row r="354" spans="6:22" ht="13.2">
      <c r="F354" s="198"/>
      <c r="Q354" s="198"/>
      <c r="V354" s="198"/>
    </row>
    <row r="355" spans="6:22" ht="13.2">
      <c r="F355" s="198"/>
      <c r="Q355" s="198"/>
      <c r="V355" s="198"/>
    </row>
    <row r="356" spans="6:22" ht="13.2">
      <c r="F356" s="198"/>
      <c r="Q356" s="198"/>
      <c r="V356" s="198"/>
    </row>
    <row r="357" spans="6:22" ht="13.2">
      <c r="F357" s="198"/>
      <c r="Q357" s="198"/>
      <c r="V357" s="198"/>
    </row>
    <row r="358" spans="6:22" ht="13.2">
      <c r="F358" s="198"/>
      <c r="Q358" s="198"/>
      <c r="V358" s="198"/>
    </row>
    <row r="359" spans="6:22" ht="13.2">
      <c r="F359" s="198"/>
      <c r="Q359" s="198"/>
      <c r="V359" s="198"/>
    </row>
    <row r="360" spans="6:22" ht="13.2">
      <c r="F360" s="198"/>
      <c r="Q360" s="198"/>
      <c r="V360" s="198"/>
    </row>
    <row r="361" spans="6:22" ht="13.2">
      <c r="F361" s="198"/>
      <c r="Q361" s="198"/>
      <c r="V361" s="198"/>
    </row>
    <row r="362" spans="6:22" ht="13.2">
      <c r="F362" s="198"/>
      <c r="Q362" s="198"/>
      <c r="V362" s="198"/>
    </row>
    <row r="363" spans="6:22" ht="13.2">
      <c r="F363" s="198"/>
      <c r="Q363" s="198"/>
      <c r="V363" s="198"/>
    </row>
    <row r="364" spans="6:22" ht="13.2">
      <c r="F364" s="198"/>
      <c r="Q364" s="198"/>
      <c r="V364" s="198"/>
    </row>
    <row r="365" spans="6:22" ht="13.2">
      <c r="F365" s="198"/>
      <c r="Q365" s="198"/>
      <c r="V365" s="198"/>
    </row>
    <row r="366" spans="6:22" ht="13.2">
      <c r="F366" s="198"/>
      <c r="Q366" s="198"/>
      <c r="V366" s="198"/>
    </row>
    <row r="367" spans="6:22" ht="13.2">
      <c r="F367" s="198"/>
      <c r="Q367" s="198"/>
      <c r="V367" s="198"/>
    </row>
    <row r="368" spans="6:22" ht="13.2">
      <c r="F368" s="198"/>
      <c r="Q368" s="198"/>
      <c r="V368" s="198"/>
    </row>
    <row r="369" spans="6:22" ht="13.2">
      <c r="F369" s="198"/>
      <c r="Q369" s="198"/>
      <c r="V369" s="198"/>
    </row>
    <row r="370" spans="6:22" ht="13.2">
      <c r="F370" s="198"/>
      <c r="Q370" s="198"/>
      <c r="V370" s="198"/>
    </row>
    <row r="371" spans="6:22" ht="13.2">
      <c r="F371" s="198"/>
      <c r="Q371" s="198"/>
      <c r="V371" s="198"/>
    </row>
    <row r="372" spans="6:22" ht="13.2">
      <c r="F372" s="198"/>
      <c r="Q372" s="198"/>
      <c r="V372" s="198"/>
    </row>
    <row r="373" spans="6:22" ht="13.2">
      <c r="F373" s="198"/>
      <c r="Q373" s="198"/>
      <c r="V373" s="198"/>
    </row>
    <row r="374" spans="6:22" ht="13.2">
      <c r="F374" s="198"/>
      <c r="Q374" s="198"/>
      <c r="V374" s="198"/>
    </row>
    <row r="375" spans="6:22" ht="13.2">
      <c r="F375" s="198"/>
      <c r="Q375" s="198"/>
      <c r="V375" s="198"/>
    </row>
    <row r="376" spans="6:22" ht="13.2">
      <c r="F376" s="198"/>
      <c r="Q376" s="198"/>
      <c r="V376" s="198"/>
    </row>
    <row r="377" spans="6:22" ht="13.2">
      <c r="F377" s="198"/>
      <c r="Q377" s="198"/>
      <c r="V377" s="198"/>
    </row>
    <row r="378" spans="6:22" ht="13.2">
      <c r="F378" s="198"/>
      <c r="Q378" s="198"/>
      <c r="V378" s="198"/>
    </row>
    <row r="379" spans="6:22" ht="13.2">
      <c r="F379" s="198"/>
      <c r="Q379" s="198"/>
      <c r="V379" s="198"/>
    </row>
    <row r="380" spans="6:22" ht="13.2">
      <c r="F380" s="198"/>
      <c r="Q380" s="198"/>
      <c r="V380" s="198"/>
    </row>
    <row r="381" spans="6:22" ht="13.2">
      <c r="F381" s="198"/>
      <c r="Q381" s="198"/>
      <c r="V381" s="198"/>
    </row>
    <row r="382" spans="6:22" ht="13.2">
      <c r="F382" s="198"/>
      <c r="Q382" s="198"/>
      <c r="V382" s="198"/>
    </row>
    <row r="383" spans="6:22" ht="13.2">
      <c r="F383" s="198"/>
      <c r="Q383" s="198"/>
      <c r="V383" s="198"/>
    </row>
    <row r="384" spans="6:22" ht="13.2">
      <c r="F384" s="198"/>
      <c r="Q384" s="198"/>
      <c r="V384" s="198"/>
    </row>
    <row r="385" spans="6:22" ht="13.2">
      <c r="F385" s="198"/>
      <c r="Q385" s="198"/>
      <c r="V385" s="198"/>
    </row>
    <row r="386" spans="6:22" ht="13.2">
      <c r="F386" s="198"/>
      <c r="Q386" s="198"/>
      <c r="V386" s="198"/>
    </row>
    <row r="387" spans="6:22" ht="13.2">
      <c r="F387" s="198"/>
      <c r="Q387" s="198"/>
      <c r="V387" s="198"/>
    </row>
    <row r="388" spans="6:22" ht="13.2">
      <c r="F388" s="198"/>
      <c r="Q388" s="198"/>
      <c r="V388" s="198"/>
    </row>
    <row r="389" spans="6:22" ht="13.2">
      <c r="F389" s="198"/>
      <c r="Q389" s="198"/>
      <c r="V389" s="198"/>
    </row>
    <row r="390" spans="6:22" ht="13.2">
      <c r="F390" s="198"/>
      <c r="Q390" s="198"/>
      <c r="V390" s="198"/>
    </row>
    <row r="391" spans="6:22" ht="13.2">
      <c r="F391" s="198"/>
      <c r="Q391" s="198"/>
      <c r="V391" s="198"/>
    </row>
    <row r="392" spans="6:22" ht="13.2">
      <c r="F392" s="198"/>
      <c r="Q392" s="198"/>
      <c r="V392" s="198"/>
    </row>
    <row r="393" spans="6:22" ht="13.2">
      <c r="F393" s="198"/>
      <c r="Q393" s="198"/>
      <c r="V393" s="198"/>
    </row>
    <row r="394" spans="6:22" ht="13.2">
      <c r="F394" s="198"/>
      <c r="Q394" s="198"/>
      <c r="V394" s="198"/>
    </row>
    <row r="395" spans="6:22" ht="13.2">
      <c r="F395" s="198"/>
      <c r="Q395" s="198"/>
      <c r="V395" s="198"/>
    </row>
    <row r="396" spans="6:22" ht="13.2">
      <c r="F396" s="198"/>
      <c r="Q396" s="198"/>
      <c r="V396" s="198"/>
    </row>
    <row r="397" spans="6:22" ht="13.2">
      <c r="F397" s="198"/>
      <c r="Q397" s="198"/>
      <c r="V397" s="198"/>
    </row>
    <row r="398" spans="6:22" ht="13.2">
      <c r="F398" s="198"/>
      <c r="Q398" s="198"/>
      <c r="V398" s="198"/>
    </row>
    <row r="399" spans="6:22" ht="13.2">
      <c r="F399" s="198"/>
      <c r="Q399" s="198"/>
      <c r="V399" s="198"/>
    </row>
    <row r="400" spans="6:22" ht="13.2">
      <c r="F400" s="198"/>
      <c r="Q400" s="198"/>
      <c r="V400" s="198"/>
    </row>
    <row r="401" spans="6:22" ht="13.2">
      <c r="F401" s="198"/>
      <c r="Q401" s="198"/>
      <c r="V401" s="198"/>
    </row>
    <row r="402" spans="6:22" ht="13.2">
      <c r="F402" s="198"/>
      <c r="Q402" s="198"/>
      <c r="V402" s="198"/>
    </row>
    <row r="403" spans="6:22" ht="13.2">
      <c r="F403" s="198"/>
      <c r="Q403" s="198"/>
      <c r="V403" s="198"/>
    </row>
    <row r="404" spans="6:22" ht="13.2">
      <c r="F404" s="198"/>
      <c r="Q404" s="198"/>
      <c r="V404" s="198"/>
    </row>
    <row r="405" spans="6:22" ht="13.2">
      <c r="F405" s="198"/>
      <c r="Q405" s="198"/>
      <c r="V405" s="198"/>
    </row>
    <row r="406" spans="6:22" ht="13.2">
      <c r="F406" s="198"/>
      <c r="Q406" s="198"/>
      <c r="V406" s="198"/>
    </row>
    <row r="407" spans="6:22" ht="13.2">
      <c r="F407" s="198"/>
      <c r="Q407" s="198"/>
      <c r="V407" s="198"/>
    </row>
    <row r="408" spans="6:22" ht="13.2">
      <c r="F408" s="198"/>
      <c r="Q408" s="198"/>
      <c r="V408" s="198"/>
    </row>
    <row r="409" spans="6:22" ht="13.2">
      <c r="F409" s="198"/>
      <c r="Q409" s="198"/>
      <c r="V409" s="198"/>
    </row>
    <row r="410" spans="6:22" ht="13.2">
      <c r="F410" s="198"/>
      <c r="Q410" s="198"/>
      <c r="V410" s="198"/>
    </row>
    <row r="411" spans="6:22" ht="13.2">
      <c r="F411" s="198"/>
      <c r="Q411" s="198"/>
      <c r="V411" s="198"/>
    </row>
    <row r="412" spans="6:22" ht="13.2">
      <c r="F412" s="198"/>
      <c r="Q412" s="198"/>
      <c r="V412" s="198"/>
    </row>
    <row r="413" spans="6:22" ht="13.2">
      <c r="F413" s="198"/>
      <c r="Q413" s="198"/>
      <c r="V413" s="198"/>
    </row>
    <row r="414" spans="6:22" ht="13.2">
      <c r="F414" s="198"/>
      <c r="Q414" s="198"/>
      <c r="V414" s="198"/>
    </row>
    <row r="415" spans="6:22" ht="13.2">
      <c r="F415" s="198"/>
      <c r="Q415" s="198"/>
      <c r="V415" s="198"/>
    </row>
    <row r="416" spans="6:22" ht="13.2">
      <c r="F416" s="198"/>
      <c r="Q416" s="198"/>
      <c r="V416" s="198"/>
    </row>
    <row r="417" spans="6:22" ht="13.2">
      <c r="F417" s="198"/>
      <c r="Q417" s="198"/>
      <c r="V417" s="198"/>
    </row>
    <row r="418" spans="6:22" ht="13.2">
      <c r="F418" s="198"/>
      <c r="Q418" s="198"/>
      <c r="V418" s="198"/>
    </row>
    <row r="419" spans="6:22" ht="13.2">
      <c r="F419" s="198"/>
      <c r="Q419" s="198"/>
      <c r="V419" s="198"/>
    </row>
    <row r="420" spans="6:22" ht="13.2">
      <c r="F420" s="198"/>
      <c r="Q420" s="198"/>
      <c r="V420" s="198"/>
    </row>
    <row r="421" spans="6:22" ht="13.2">
      <c r="F421" s="198"/>
      <c r="Q421" s="198"/>
      <c r="V421" s="198"/>
    </row>
    <row r="422" spans="6:22" ht="13.2">
      <c r="F422" s="198"/>
      <c r="Q422" s="198"/>
      <c r="V422" s="198"/>
    </row>
    <row r="423" spans="6:22" ht="13.2">
      <c r="F423" s="198"/>
      <c r="Q423" s="198"/>
      <c r="V423" s="198"/>
    </row>
    <row r="424" spans="6:22" ht="13.2">
      <c r="F424" s="198"/>
      <c r="Q424" s="198"/>
      <c r="V424" s="198"/>
    </row>
    <row r="425" spans="6:22" ht="13.2">
      <c r="F425" s="198"/>
      <c r="Q425" s="198"/>
      <c r="V425" s="198"/>
    </row>
    <row r="426" spans="6:22" ht="13.2">
      <c r="F426" s="198"/>
      <c r="Q426" s="198"/>
      <c r="V426" s="198"/>
    </row>
    <row r="427" spans="6:22" ht="13.2">
      <c r="F427" s="198"/>
      <c r="Q427" s="198"/>
      <c r="V427" s="198"/>
    </row>
    <row r="428" spans="6:22" ht="13.2">
      <c r="F428" s="198"/>
      <c r="Q428" s="198"/>
      <c r="V428" s="198"/>
    </row>
    <row r="429" spans="6:22" ht="13.2">
      <c r="F429" s="198"/>
      <c r="Q429" s="198"/>
      <c r="V429" s="198"/>
    </row>
    <row r="430" spans="6:22" ht="13.2">
      <c r="F430" s="198"/>
      <c r="Q430" s="198"/>
      <c r="V430" s="198"/>
    </row>
    <row r="431" spans="6:22" ht="13.2">
      <c r="F431" s="198"/>
      <c r="Q431" s="198"/>
      <c r="V431" s="198"/>
    </row>
    <row r="432" spans="6:22" ht="13.2">
      <c r="F432" s="198"/>
      <c r="Q432" s="198"/>
      <c r="V432" s="198"/>
    </row>
    <row r="433" spans="6:22" ht="13.2">
      <c r="F433" s="198"/>
      <c r="Q433" s="198"/>
      <c r="V433" s="198"/>
    </row>
    <row r="434" spans="6:22" ht="13.2">
      <c r="F434" s="198"/>
      <c r="Q434" s="198"/>
      <c r="V434" s="198"/>
    </row>
    <row r="435" spans="6:22" ht="13.2">
      <c r="F435" s="198"/>
      <c r="Q435" s="198"/>
      <c r="V435" s="198"/>
    </row>
    <row r="436" spans="6:22" ht="13.2">
      <c r="F436" s="198"/>
      <c r="Q436" s="198"/>
      <c r="V436" s="198"/>
    </row>
    <row r="437" spans="6:22" ht="13.2">
      <c r="F437" s="198"/>
      <c r="Q437" s="198"/>
      <c r="V437" s="198"/>
    </row>
    <row r="438" spans="6:22" ht="13.2">
      <c r="F438" s="198"/>
      <c r="Q438" s="198"/>
      <c r="V438" s="198"/>
    </row>
    <row r="439" spans="6:22" ht="13.2">
      <c r="F439" s="198"/>
      <c r="Q439" s="198"/>
      <c r="V439" s="198"/>
    </row>
    <row r="440" spans="6:22" ht="13.2">
      <c r="F440" s="198"/>
      <c r="Q440" s="198"/>
      <c r="V440" s="198"/>
    </row>
    <row r="441" spans="6:22" ht="13.2">
      <c r="F441" s="198"/>
      <c r="Q441" s="198"/>
      <c r="V441" s="198"/>
    </row>
    <row r="442" spans="6:22" ht="13.2">
      <c r="F442" s="198"/>
      <c r="Q442" s="198"/>
      <c r="V442" s="198"/>
    </row>
    <row r="443" spans="6:22" ht="13.2">
      <c r="F443" s="198"/>
      <c r="Q443" s="198"/>
      <c r="V443" s="198"/>
    </row>
    <row r="444" spans="6:22" ht="13.2">
      <c r="F444" s="198"/>
      <c r="Q444" s="198"/>
      <c r="V444" s="198"/>
    </row>
    <row r="445" spans="6:22" ht="13.2">
      <c r="F445" s="198"/>
      <c r="Q445" s="198"/>
      <c r="V445" s="198"/>
    </row>
    <row r="446" spans="6:22" ht="13.2">
      <c r="F446" s="198"/>
      <c r="Q446" s="198"/>
      <c r="V446" s="198"/>
    </row>
    <row r="447" spans="6:22" ht="13.2">
      <c r="F447" s="198"/>
      <c r="Q447" s="198"/>
      <c r="V447" s="198"/>
    </row>
    <row r="448" spans="6:22" ht="13.2">
      <c r="F448" s="198"/>
      <c r="Q448" s="198"/>
      <c r="V448" s="198"/>
    </row>
    <row r="449" spans="6:22" ht="13.2">
      <c r="F449" s="198"/>
      <c r="Q449" s="198"/>
      <c r="V449" s="198"/>
    </row>
    <row r="450" spans="6:22" ht="13.2">
      <c r="F450" s="198"/>
      <c r="Q450" s="198"/>
      <c r="V450" s="198"/>
    </row>
    <row r="451" spans="6:22" ht="13.2">
      <c r="F451" s="198"/>
      <c r="Q451" s="198"/>
      <c r="V451" s="198"/>
    </row>
    <row r="452" spans="6:22" ht="13.2">
      <c r="F452" s="198"/>
      <c r="Q452" s="198"/>
      <c r="V452" s="198"/>
    </row>
    <row r="453" spans="6:22" ht="13.2">
      <c r="F453" s="198"/>
      <c r="Q453" s="198"/>
      <c r="V453" s="198"/>
    </row>
    <row r="454" spans="6:22" ht="13.2">
      <c r="F454" s="198"/>
      <c r="Q454" s="198"/>
      <c r="V454" s="198"/>
    </row>
    <row r="455" spans="6:22" ht="13.2">
      <c r="F455" s="198"/>
      <c r="Q455" s="198"/>
      <c r="V455" s="198"/>
    </row>
    <row r="456" spans="6:22" ht="13.2">
      <c r="F456" s="198"/>
      <c r="Q456" s="198"/>
      <c r="V456" s="198"/>
    </row>
    <row r="457" spans="6:22" ht="13.2">
      <c r="F457" s="198"/>
      <c r="Q457" s="198"/>
      <c r="V457" s="198"/>
    </row>
    <row r="458" spans="6:22" ht="13.2">
      <c r="F458" s="198"/>
      <c r="Q458" s="198"/>
      <c r="V458" s="198"/>
    </row>
    <row r="459" spans="6:22" ht="13.2">
      <c r="F459" s="198"/>
      <c r="Q459" s="198"/>
      <c r="V459" s="198"/>
    </row>
    <row r="460" spans="6:22" ht="13.2">
      <c r="F460" s="198"/>
      <c r="Q460" s="198"/>
      <c r="V460" s="198"/>
    </row>
    <row r="461" spans="6:22" ht="13.2">
      <c r="F461" s="198"/>
      <c r="Q461" s="198"/>
      <c r="V461" s="198"/>
    </row>
    <row r="462" spans="6:22" ht="13.2">
      <c r="F462" s="198"/>
      <c r="Q462" s="198"/>
      <c r="V462" s="198"/>
    </row>
    <row r="463" spans="6:22" ht="13.2">
      <c r="F463" s="198"/>
      <c r="Q463" s="198"/>
      <c r="V463" s="198"/>
    </row>
    <row r="464" spans="6:22" ht="13.2">
      <c r="F464" s="198"/>
      <c r="Q464" s="198"/>
      <c r="V464" s="198"/>
    </row>
    <row r="465" spans="6:22" ht="13.2">
      <c r="F465" s="198"/>
      <c r="Q465" s="198"/>
      <c r="V465" s="198"/>
    </row>
    <row r="466" spans="6:22" ht="13.2">
      <c r="F466" s="198"/>
      <c r="Q466" s="198"/>
      <c r="V466" s="198"/>
    </row>
    <row r="467" spans="6:22" ht="13.2">
      <c r="F467" s="198"/>
      <c r="Q467" s="198"/>
      <c r="V467" s="198"/>
    </row>
    <row r="468" spans="6:22" ht="13.2">
      <c r="F468" s="198"/>
      <c r="Q468" s="198"/>
      <c r="V468" s="198"/>
    </row>
    <row r="469" spans="6:22" ht="13.2">
      <c r="F469" s="198"/>
      <c r="Q469" s="198"/>
      <c r="V469" s="198"/>
    </row>
    <row r="470" spans="6:22" ht="13.2">
      <c r="F470" s="198"/>
      <c r="Q470" s="198"/>
      <c r="V470" s="198"/>
    </row>
    <row r="471" spans="6:22" ht="13.2">
      <c r="F471" s="198"/>
      <c r="Q471" s="198"/>
      <c r="V471" s="198"/>
    </row>
    <row r="472" spans="6:22" ht="13.2">
      <c r="F472" s="198"/>
      <c r="Q472" s="198"/>
      <c r="V472" s="198"/>
    </row>
    <row r="473" spans="6:22" ht="13.2">
      <c r="F473" s="198"/>
      <c r="Q473" s="198"/>
      <c r="V473" s="198"/>
    </row>
    <row r="474" spans="6:22" ht="13.2">
      <c r="F474" s="198"/>
      <c r="Q474" s="198"/>
      <c r="V474" s="198"/>
    </row>
    <row r="475" spans="6:22" ht="13.2">
      <c r="F475" s="198"/>
      <c r="Q475" s="198"/>
      <c r="V475" s="198"/>
    </row>
    <row r="476" spans="6:22" ht="13.2">
      <c r="F476" s="198"/>
      <c r="Q476" s="198"/>
      <c r="V476" s="198"/>
    </row>
    <row r="477" spans="6:22" ht="13.2">
      <c r="F477" s="198"/>
      <c r="Q477" s="198"/>
      <c r="V477" s="198"/>
    </row>
    <row r="478" spans="6:22" ht="13.2">
      <c r="F478" s="198"/>
      <c r="Q478" s="198"/>
      <c r="V478" s="198"/>
    </row>
    <row r="479" spans="6:22" ht="13.2">
      <c r="F479" s="198"/>
      <c r="Q479" s="198"/>
      <c r="V479" s="198"/>
    </row>
    <row r="480" spans="6:22" ht="13.2">
      <c r="F480" s="198"/>
      <c r="Q480" s="198"/>
      <c r="V480" s="198"/>
    </row>
    <row r="481" spans="6:22" ht="13.2">
      <c r="F481" s="198"/>
      <c r="Q481" s="198"/>
      <c r="V481" s="198"/>
    </row>
    <row r="482" spans="6:22" ht="13.2">
      <c r="F482" s="198"/>
      <c r="Q482" s="198"/>
      <c r="V482" s="198"/>
    </row>
    <row r="483" spans="6:22" ht="13.2">
      <c r="F483" s="198"/>
      <c r="Q483" s="198"/>
      <c r="V483" s="198"/>
    </row>
    <row r="484" spans="6:22" ht="13.2">
      <c r="F484" s="198"/>
      <c r="Q484" s="198"/>
      <c r="V484" s="198"/>
    </row>
    <row r="485" spans="6:22" ht="13.2">
      <c r="F485" s="198"/>
      <c r="Q485" s="198"/>
      <c r="V485" s="198"/>
    </row>
    <row r="486" spans="6:22" ht="13.2">
      <c r="F486" s="198"/>
      <c r="Q486" s="198"/>
      <c r="V486" s="198"/>
    </row>
    <row r="487" spans="6:22" ht="13.2">
      <c r="F487" s="198"/>
      <c r="Q487" s="198"/>
      <c r="V487" s="198"/>
    </row>
    <row r="488" spans="6:22" ht="13.2">
      <c r="F488" s="198"/>
      <c r="Q488" s="198"/>
      <c r="V488" s="198"/>
    </row>
    <row r="489" spans="6:22" ht="13.2">
      <c r="F489" s="198"/>
      <c r="Q489" s="198"/>
      <c r="V489" s="198"/>
    </row>
    <row r="490" spans="6:22" ht="13.2">
      <c r="F490" s="198"/>
      <c r="Q490" s="198"/>
      <c r="V490" s="198"/>
    </row>
    <row r="491" spans="6:22" ht="13.2">
      <c r="F491" s="198"/>
      <c r="Q491" s="198"/>
      <c r="V491" s="198"/>
    </row>
    <row r="492" spans="6:22" ht="13.2">
      <c r="F492" s="198"/>
      <c r="Q492" s="198"/>
      <c r="V492" s="198"/>
    </row>
    <row r="493" spans="6:22" ht="13.2">
      <c r="F493" s="198"/>
      <c r="Q493" s="198"/>
      <c r="V493" s="198"/>
    </row>
    <row r="494" spans="6:22" ht="13.2">
      <c r="F494" s="198"/>
      <c r="Q494" s="198"/>
      <c r="V494" s="198"/>
    </row>
    <row r="495" spans="6:22" ht="13.2">
      <c r="F495" s="198"/>
      <c r="Q495" s="198"/>
      <c r="V495" s="198"/>
    </row>
    <row r="496" spans="6:22" ht="13.2">
      <c r="F496" s="198"/>
      <c r="Q496" s="198"/>
      <c r="V496" s="198"/>
    </row>
    <row r="497" spans="6:22" ht="13.2">
      <c r="F497" s="198"/>
      <c r="Q497" s="198"/>
      <c r="V497" s="198"/>
    </row>
    <row r="498" spans="6:22" ht="13.2">
      <c r="F498" s="198"/>
      <c r="Q498" s="198"/>
      <c r="V498" s="198"/>
    </row>
    <row r="499" spans="6:22" ht="13.2">
      <c r="F499" s="198"/>
      <c r="Q499" s="198"/>
      <c r="V499" s="198"/>
    </row>
    <row r="500" spans="6:22" ht="13.2">
      <c r="F500" s="198"/>
      <c r="Q500" s="198"/>
      <c r="V500" s="198"/>
    </row>
    <row r="501" spans="6:22" ht="13.2">
      <c r="F501" s="198"/>
      <c r="Q501" s="198"/>
      <c r="V501" s="198"/>
    </row>
    <row r="502" spans="6:22" ht="13.2">
      <c r="F502" s="198"/>
      <c r="Q502" s="198"/>
      <c r="V502" s="198"/>
    </row>
    <row r="503" spans="6:22" ht="13.2">
      <c r="F503" s="198"/>
      <c r="Q503" s="198"/>
      <c r="V503" s="198"/>
    </row>
    <row r="504" spans="6:22" ht="13.2">
      <c r="F504" s="198"/>
      <c r="Q504" s="198"/>
      <c r="V504" s="198"/>
    </row>
    <row r="505" spans="6:22" ht="13.2">
      <c r="F505" s="198"/>
      <c r="Q505" s="198"/>
      <c r="V505" s="198"/>
    </row>
    <row r="506" spans="6:22" ht="13.2">
      <c r="F506" s="198"/>
      <c r="Q506" s="198"/>
      <c r="V506" s="198"/>
    </row>
    <row r="507" spans="6:22" ht="13.2">
      <c r="F507" s="198"/>
      <c r="Q507" s="198"/>
      <c r="V507" s="198"/>
    </row>
    <row r="508" spans="6:22" ht="13.2">
      <c r="F508" s="198"/>
      <c r="Q508" s="198"/>
      <c r="V508" s="198"/>
    </row>
    <row r="509" spans="6:22" ht="13.2">
      <c r="F509" s="198"/>
      <c r="Q509" s="198"/>
      <c r="V509" s="198"/>
    </row>
    <row r="510" spans="6:22" ht="13.2">
      <c r="F510" s="198"/>
      <c r="Q510" s="198"/>
      <c r="V510" s="198"/>
    </row>
    <row r="511" spans="6:22" ht="13.2">
      <c r="F511" s="198"/>
      <c r="Q511" s="198"/>
      <c r="V511" s="198"/>
    </row>
    <row r="512" spans="6:22" ht="13.2">
      <c r="F512" s="198"/>
      <c r="Q512" s="198"/>
      <c r="V512" s="198"/>
    </row>
    <row r="513" spans="6:22" ht="13.2">
      <c r="F513" s="198"/>
      <c r="Q513" s="198"/>
      <c r="V513" s="198"/>
    </row>
    <row r="514" spans="6:22" ht="13.2">
      <c r="F514" s="198"/>
      <c r="Q514" s="198"/>
      <c r="V514" s="198"/>
    </row>
    <row r="515" spans="6:22" ht="13.2">
      <c r="F515" s="198"/>
      <c r="Q515" s="198"/>
      <c r="V515" s="198"/>
    </row>
    <row r="516" spans="6:22" ht="13.2">
      <c r="F516" s="198"/>
      <c r="Q516" s="198"/>
      <c r="V516" s="198"/>
    </row>
    <row r="517" spans="6:22" ht="13.2">
      <c r="F517" s="198"/>
      <c r="Q517" s="198"/>
      <c r="V517" s="198"/>
    </row>
    <row r="518" spans="6:22" ht="13.2">
      <c r="F518" s="198"/>
      <c r="Q518" s="198"/>
      <c r="V518" s="198"/>
    </row>
    <row r="519" spans="6:22" ht="13.2">
      <c r="F519" s="198"/>
      <c r="Q519" s="198"/>
      <c r="V519" s="198"/>
    </row>
    <row r="520" spans="6:22" ht="13.2">
      <c r="F520" s="198"/>
      <c r="Q520" s="198"/>
      <c r="V520" s="198"/>
    </row>
    <row r="521" spans="6:22" ht="13.2">
      <c r="F521" s="198"/>
      <c r="Q521" s="198"/>
      <c r="V521" s="198"/>
    </row>
    <row r="522" spans="6:22" ht="13.2">
      <c r="F522" s="198"/>
      <c r="Q522" s="198"/>
      <c r="V522" s="198"/>
    </row>
    <row r="523" spans="6:22" ht="13.2">
      <c r="F523" s="198"/>
      <c r="Q523" s="198"/>
      <c r="V523" s="198"/>
    </row>
    <row r="524" spans="6:22" ht="13.2">
      <c r="F524" s="198"/>
      <c r="Q524" s="198"/>
      <c r="V524" s="198"/>
    </row>
    <row r="525" spans="6:22" ht="13.2">
      <c r="F525" s="198"/>
      <c r="Q525" s="198"/>
      <c r="V525" s="198"/>
    </row>
    <row r="526" spans="6:22" ht="13.2">
      <c r="F526" s="198"/>
      <c r="Q526" s="198"/>
      <c r="V526" s="198"/>
    </row>
    <row r="527" spans="6:22" ht="13.2">
      <c r="F527" s="198"/>
      <c r="Q527" s="198"/>
      <c r="V527" s="198"/>
    </row>
    <row r="528" spans="6:22" ht="13.2">
      <c r="F528" s="198"/>
      <c r="Q528" s="198"/>
      <c r="V528" s="198"/>
    </row>
    <row r="529" spans="6:22" ht="13.2">
      <c r="F529" s="198"/>
      <c r="Q529" s="198"/>
      <c r="V529" s="198"/>
    </row>
    <row r="530" spans="6:22" ht="13.2">
      <c r="F530" s="198"/>
      <c r="Q530" s="198"/>
      <c r="V530" s="198"/>
    </row>
    <row r="531" spans="6:22" ht="13.2">
      <c r="F531" s="198"/>
      <c r="Q531" s="198"/>
      <c r="V531" s="198"/>
    </row>
    <row r="532" spans="6:22" ht="13.2">
      <c r="F532" s="198"/>
      <c r="Q532" s="198"/>
      <c r="V532" s="198"/>
    </row>
    <row r="533" spans="6:22" ht="13.2">
      <c r="F533" s="198"/>
      <c r="Q533" s="198"/>
      <c r="V533" s="198"/>
    </row>
    <row r="534" spans="6:22" ht="13.2">
      <c r="F534" s="198"/>
      <c r="Q534" s="198"/>
      <c r="V534" s="198"/>
    </row>
    <row r="535" spans="6:22" ht="13.2">
      <c r="F535" s="198"/>
      <c r="Q535" s="198"/>
      <c r="V535" s="198"/>
    </row>
    <row r="536" spans="6:22" ht="13.2">
      <c r="F536" s="198"/>
      <c r="Q536" s="198"/>
      <c r="V536" s="198"/>
    </row>
    <row r="537" spans="6:22" ht="13.2">
      <c r="F537" s="198"/>
      <c r="Q537" s="198"/>
      <c r="V537" s="198"/>
    </row>
    <row r="538" spans="6:22" ht="13.2">
      <c r="F538" s="198"/>
      <c r="Q538" s="198"/>
      <c r="V538" s="198"/>
    </row>
    <row r="539" spans="6:22" ht="13.2">
      <c r="F539" s="198"/>
      <c r="Q539" s="198"/>
      <c r="V539" s="198"/>
    </row>
    <row r="540" spans="6:22" ht="13.2">
      <c r="F540" s="198"/>
      <c r="Q540" s="198"/>
      <c r="V540" s="198"/>
    </row>
    <row r="541" spans="6:22" ht="13.2">
      <c r="F541" s="198"/>
      <c r="Q541" s="198"/>
      <c r="V541" s="198"/>
    </row>
    <row r="542" spans="6:22" ht="13.2">
      <c r="F542" s="198"/>
      <c r="Q542" s="198"/>
      <c r="V542" s="198"/>
    </row>
    <row r="543" spans="6:22" ht="13.2">
      <c r="F543" s="198"/>
      <c r="Q543" s="198"/>
      <c r="V543" s="198"/>
    </row>
    <row r="544" spans="6:22" ht="13.2">
      <c r="F544" s="198"/>
      <c r="Q544" s="198"/>
      <c r="V544" s="198"/>
    </row>
    <row r="545" spans="6:22" ht="13.2">
      <c r="F545" s="198"/>
      <c r="Q545" s="198"/>
      <c r="V545" s="198"/>
    </row>
    <row r="546" spans="6:22" ht="13.2">
      <c r="F546" s="198"/>
      <c r="Q546" s="198"/>
      <c r="V546" s="198"/>
    </row>
    <row r="547" spans="6:22" ht="13.2">
      <c r="F547" s="198"/>
      <c r="Q547" s="198"/>
      <c r="V547" s="198"/>
    </row>
    <row r="548" spans="6:22" ht="13.2">
      <c r="F548" s="198"/>
      <c r="Q548" s="198"/>
      <c r="V548" s="198"/>
    </row>
    <row r="549" spans="6:22" ht="13.2">
      <c r="F549" s="198"/>
      <c r="Q549" s="198"/>
      <c r="V549" s="198"/>
    </row>
    <row r="550" spans="6:22" ht="13.2">
      <c r="F550" s="198"/>
      <c r="Q550" s="198"/>
      <c r="V550" s="198"/>
    </row>
    <row r="551" spans="6:22" ht="13.2">
      <c r="F551" s="198"/>
      <c r="Q551" s="198"/>
      <c r="V551" s="198"/>
    </row>
    <row r="552" spans="6:22" ht="13.2">
      <c r="F552" s="198"/>
      <c r="Q552" s="198"/>
      <c r="V552" s="198"/>
    </row>
    <row r="553" spans="6:22" ht="13.2">
      <c r="F553" s="198"/>
      <c r="Q553" s="198"/>
      <c r="V553" s="198"/>
    </row>
    <row r="554" spans="6:22" ht="13.2">
      <c r="F554" s="198"/>
      <c r="Q554" s="198"/>
      <c r="V554" s="198"/>
    </row>
    <row r="555" spans="6:22" ht="13.2">
      <c r="F555" s="198"/>
      <c r="Q555" s="198"/>
      <c r="V555" s="198"/>
    </row>
    <row r="556" spans="6:22" ht="13.2">
      <c r="F556" s="198"/>
      <c r="Q556" s="198"/>
      <c r="V556" s="198"/>
    </row>
    <row r="557" spans="6:22" ht="13.2">
      <c r="F557" s="198"/>
      <c r="Q557" s="198"/>
      <c r="V557" s="198"/>
    </row>
    <row r="558" spans="6:22" ht="13.2">
      <c r="F558" s="198"/>
      <c r="Q558" s="198"/>
      <c r="V558" s="198"/>
    </row>
    <row r="559" spans="6:22" ht="13.2">
      <c r="F559" s="198"/>
      <c r="Q559" s="198"/>
      <c r="V559" s="198"/>
    </row>
    <row r="560" spans="6:22" ht="13.2">
      <c r="F560" s="198"/>
      <c r="Q560" s="198"/>
      <c r="V560" s="198"/>
    </row>
    <row r="561" spans="6:22" ht="13.2">
      <c r="F561" s="198"/>
      <c r="Q561" s="198"/>
      <c r="V561" s="198"/>
    </row>
    <row r="562" spans="6:22" ht="13.2">
      <c r="F562" s="198"/>
      <c r="Q562" s="198"/>
      <c r="V562" s="198"/>
    </row>
    <row r="563" spans="6:22" ht="13.2">
      <c r="F563" s="198"/>
      <c r="Q563" s="198"/>
      <c r="V563" s="198"/>
    </row>
    <row r="564" spans="6:22" ht="13.2">
      <c r="F564" s="198"/>
      <c r="Q564" s="198"/>
      <c r="V564" s="198"/>
    </row>
    <row r="565" spans="6:22" ht="13.2">
      <c r="F565" s="198"/>
      <c r="Q565" s="198"/>
      <c r="V565" s="198"/>
    </row>
    <row r="566" spans="6:22" ht="13.2">
      <c r="F566" s="198"/>
      <c r="Q566" s="198"/>
      <c r="V566" s="198"/>
    </row>
    <row r="567" spans="6:22" ht="13.2">
      <c r="F567" s="198"/>
      <c r="Q567" s="198"/>
      <c r="V567" s="198"/>
    </row>
    <row r="568" spans="6:22" ht="13.2">
      <c r="F568" s="198"/>
      <c r="Q568" s="198"/>
      <c r="V568" s="198"/>
    </row>
    <row r="569" spans="6:22" ht="13.2">
      <c r="F569" s="198"/>
      <c r="Q569" s="198"/>
      <c r="V569" s="198"/>
    </row>
    <row r="570" spans="6:22" ht="13.2">
      <c r="F570" s="198"/>
      <c r="Q570" s="198"/>
      <c r="V570" s="198"/>
    </row>
    <row r="571" spans="6:22" ht="13.2">
      <c r="F571" s="198"/>
      <c r="Q571" s="198"/>
      <c r="V571" s="198"/>
    </row>
    <row r="572" spans="6:22" ht="13.2">
      <c r="F572" s="198"/>
      <c r="Q572" s="198"/>
      <c r="V572" s="198"/>
    </row>
    <row r="573" spans="6:22" ht="13.2">
      <c r="F573" s="198"/>
      <c r="Q573" s="198"/>
      <c r="V573" s="198"/>
    </row>
    <row r="574" spans="6:22" ht="13.2">
      <c r="F574" s="198"/>
      <c r="Q574" s="198"/>
      <c r="V574" s="198"/>
    </row>
    <row r="575" spans="6:22" ht="13.2">
      <c r="F575" s="198"/>
      <c r="Q575" s="198"/>
      <c r="V575" s="198"/>
    </row>
    <row r="576" spans="6:22" ht="13.2">
      <c r="F576" s="198"/>
      <c r="Q576" s="198"/>
      <c r="V576" s="198"/>
    </row>
    <row r="577" spans="6:22" ht="13.2">
      <c r="F577" s="198"/>
      <c r="Q577" s="198"/>
      <c r="V577" s="198"/>
    </row>
    <row r="578" spans="6:22" ht="13.2">
      <c r="F578" s="198"/>
      <c r="Q578" s="198"/>
      <c r="V578" s="198"/>
    </row>
    <row r="579" spans="6:22" ht="13.2">
      <c r="F579" s="198"/>
      <c r="Q579" s="198"/>
      <c r="V579" s="198"/>
    </row>
    <row r="580" spans="6:22" ht="13.2">
      <c r="F580" s="198"/>
      <c r="Q580" s="198"/>
      <c r="V580" s="198"/>
    </row>
    <row r="581" spans="6:22" ht="13.2">
      <c r="F581" s="198"/>
      <c r="Q581" s="198"/>
      <c r="V581" s="198"/>
    </row>
    <row r="582" spans="6:22" ht="13.2">
      <c r="F582" s="198"/>
      <c r="Q582" s="198"/>
      <c r="V582" s="198"/>
    </row>
    <row r="583" spans="6:22" ht="13.2">
      <c r="F583" s="198"/>
      <c r="Q583" s="198"/>
      <c r="V583" s="198"/>
    </row>
    <row r="584" spans="6:22" ht="13.2">
      <c r="F584" s="198"/>
      <c r="Q584" s="198"/>
      <c r="V584" s="198"/>
    </row>
    <row r="585" spans="6:22" ht="13.2">
      <c r="F585" s="198"/>
      <c r="Q585" s="198"/>
      <c r="V585" s="198"/>
    </row>
    <row r="586" spans="6:22" ht="13.2">
      <c r="F586" s="198"/>
      <c r="Q586" s="198"/>
      <c r="V586" s="198"/>
    </row>
    <row r="587" spans="6:22" ht="13.2">
      <c r="F587" s="198"/>
      <c r="Q587" s="198"/>
      <c r="V587" s="198"/>
    </row>
    <row r="588" spans="6:22" ht="13.2">
      <c r="F588" s="198"/>
      <c r="Q588" s="198"/>
      <c r="V588" s="198"/>
    </row>
    <row r="589" spans="6:22" ht="13.2">
      <c r="F589" s="198"/>
      <c r="Q589" s="198"/>
      <c r="V589" s="198"/>
    </row>
    <row r="590" spans="6:22" ht="13.2">
      <c r="F590" s="198"/>
      <c r="Q590" s="198"/>
      <c r="V590" s="198"/>
    </row>
    <row r="591" spans="6:22" ht="13.2">
      <c r="F591" s="198"/>
      <c r="Q591" s="198"/>
      <c r="V591" s="198"/>
    </row>
    <row r="592" spans="6:22" ht="13.2">
      <c r="F592" s="198"/>
      <c r="Q592" s="198"/>
      <c r="V592" s="198"/>
    </row>
    <row r="593" spans="6:22" ht="13.2">
      <c r="F593" s="198"/>
      <c r="Q593" s="198"/>
      <c r="V593" s="198"/>
    </row>
    <row r="594" spans="6:22" ht="13.2">
      <c r="F594" s="198"/>
      <c r="Q594" s="198"/>
      <c r="V594" s="198"/>
    </row>
    <row r="595" spans="6:22" ht="13.2">
      <c r="F595" s="198"/>
      <c r="Q595" s="198"/>
      <c r="V595" s="198"/>
    </row>
    <row r="596" spans="6:22" ht="13.2">
      <c r="F596" s="198"/>
      <c r="Q596" s="198"/>
      <c r="V596" s="198"/>
    </row>
    <row r="597" spans="6:22" ht="13.2">
      <c r="F597" s="198"/>
      <c r="Q597" s="198"/>
      <c r="V597" s="198"/>
    </row>
    <row r="598" spans="6:22" ht="13.2">
      <c r="F598" s="198"/>
      <c r="Q598" s="198"/>
      <c r="V598" s="198"/>
    </row>
    <row r="599" spans="6:22" ht="13.2">
      <c r="F599" s="198"/>
      <c r="Q599" s="198"/>
      <c r="V599" s="198"/>
    </row>
    <row r="600" spans="6:22" ht="13.2">
      <c r="F600" s="198"/>
      <c r="Q600" s="198"/>
      <c r="V600" s="198"/>
    </row>
    <row r="601" spans="6:22" ht="13.2">
      <c r="F601" s="198"/>
      <c r="Q601" s="198"/>
      <c r="V601" s="198"/>
    </row>
    <row r="602" spans="6:22" ht="13.2">
      <c r="F602" s="198"/>
      <c r="Q602" s="198"/>
      <c r="V602" s="198"/>
    </row>
    <row r="603" spans="6:22" ht="13.2">
      <c r="F603" s="198"/>
      <c r="Q603" s="198"/>
      <c r="V603" s="198"/>
    </row>
    <row r="604" spans="6:22" ht="13.2">
      <c r="F604" s="198"/>
      <c r="Q604" s="198"/>
      <c r="V604" s="198"/>
    </row>
    <row r="605" spans="6:22" ht="13.2">
      <c r="F605" s="198"/>
      <c r="Q605" s="198"/>
      <c r="V605" s="198"/>
    </row>
    <row r="606" spans="6:22" ht="13.2">
      <c r="F606" s="198"/>
      <c r="Q606" s="198"/>
      <c r="V606" s="198"/>
    </row>
    <row r="607" spans="6:22" ht="13.2">
      <c r="F607" s="198"/>
      <c r="Q607" s="198"/>
      <c r="V607" s="198"/>
    </row>
    <row r="608" spans="6:22" ht="13.2">
      <c r="F608" s="198"/>
      <c r="Q608" s="198"/>
      <c r="V608" s="198"/>
    </row>
    <row r="609" spans="6:22" ht="13.2">
      <c r="F609" s="198"/>
      <c r="Q609" s="198"/>
      <c r="V609" s="198"/>
    </row>
    <row r="610" spans="6:22" ht="13.2">
      <c r="F610" s="198"/>
      <c r="Q610" s="198"/>
      <c r="V610" s="198"/>
    </row>
    <row r="611" spans="6:22" ht="13.2">
      <c r="F611" s="198"/>
      <c r="Q611" s="198"/>
      <c r="V611" s="198"/>
    </row>
    <row r="612" spans="6:22" ht="13.2">
      <c r="F612" s="198"/>
      <c r="Q612" s="198"/>
      <c r="V612" s="198"/>
    </row>
    <row r="613" spans="6:22" ht="13.2">
      <c r="F613" s="198"/>
      <c r="Q613" s="198"/>
      <c r="V613" s="198"/>
    </row>
    <row r="614" spans="6:22" ht="13.2">
      <c r="F614" s="198"/>
      <c r="Q614" s="198"/>
      <c r="V614" s="198"/>
    </row>
    <row r="615" spans="6:22" ht="13.2">
      <c r="F615" s="198"/>
      <c r="Q615" s="198"/>
      <c r="V615" s="198"/>
    </row>
    <row r="616" spans="6:22" ht="13.2">
      <c r="F616" s="198"/>
      <c r="Q616" s="198"/>
      <c r="V616" s="198"/>
    </row>
    <row r="617" spans="6:22" ht="13.2">
      <c r="F617" s="198"/>
      <c r="Q617" s="198"/>
      <c r="V617" s="198"/>
    </row>
    <row r="618" spans="6:22" ht="13.2">
      <c r="F618" s="198"/>
      <c r="Q618" s="198"/>
      <c r="V618" s="198"/>
    </row>
    <row r="619" spans="6:22" ht="13.2">
      <c r="F619" s="198"/>
      <c r="Q619" s="198"/>
      <c r="V619" s="198"/>
    </row>
    <row r="620" spans="6:22" ht="13.2">
      <c r="F620" s="198"/>
      <c r="Q620" s="198"/>
      <c r="V620" s="198"/>
    </row>
    <row r="621" spans="6:22" ht="13.2">
      <c r="F621" s="198"/>
      <c r="Q621" s="198"/>
      <c r="V621" s="198"/>
    </row>
    <row r="622" spans="6:22" ht="13.2">
      <c r="F622" s="198"/>
      <c r="Q622" s="198"/>
      <c r="V622" s="198"/>
    </row>
    <row r="623" spans="6:22" ht="13.2">
      <c r="F623" s="198"/>
      <c r="Q623" s="198"/>
      <c r="V623" s="198"/>
    </row>
    <row r="624" spans="6:22" ht="13.2">
      <c r="F624" s="198"/>
      <c r="Q624" s="198"/>
      <c r="V624" s="198"/>
    </row>
    <row r="625" spans="6:22" ht="13.2">
      <c r="F625" s="198"/>
      <c r="Q625" s="198"/>
      <c r="V625" s="198"/>
    </row>
    <row r="626" spans="6:22" ht="13.2">
      <c r="F626" s="198"/>
      <c r="Q626" s="198"/>
      <c r="V626" s="198"/>
    </row>
    <row r="627" spans="6:22" ht="13.2">
      <c r="F627" s="198"/>
      <c r="Q627" s="198"/>
      <c r="V627" s="198"/>
    </row>
    <row r="628" spans="6:22" ht="13.2">
      <c r="F628" s="198"/>
      <c r="Q628" s="198"/>
      <c r="V628" s="198"/>
    </row>
    <row r="629" spans="6:22" ht="13.2">
      <c r="F629" s="198"/>
      <c r="Q629" s="198"/>
      <c r="V629" s="198"/>
    </row>
    <row r="630" spans="6:22" ht="13.2">
      <c r="F630" s="198"/>
      <c r="Q630" s="198"/>
      <c r="V630" s="198"/>
    </row>
    <row r="631" spans="6:22" ht="13.2">
      <c r="F631" s="198"/>
      <c r="Q631" s="198"/>
      <c r="V631" s="198"/>
    </row>
    <row r="632" spans="6:22" ht="13.2">
      <c r="F632" s="198"/>
      <c r="Q632" s="198"/>
      <c r="V632" s="198"/>
    </row>
    <row r="633" spans="6:22" ht="13.2">
      <c r="F633" s="198"/>
      <c r="Q633" s="198"/>
      <c r="V633" s="198"/>
    </row>
    <row r="634" spans="6:22" ht="13.2">
      <c r="F634" s="198"/>
      <c r="Q634" s="198"/>
      <c r="V634" s="198"/>
    </row>
    <row r="635" spans="6:22" ht="13.2">
      <c r="F635" s="198"/>
      <c r="Q635" s="198"/>
      <c r="V635" s="198"/>
    </row>
    <row r="636" spans="6:22" ht="13.2">
      <c r="F636" s="198"/>
      <c r="Q636" s="198"/>
      <c r="V636" s="198"/>
    </row>
    <row r="637" spans="6:22" ht="13.2">
      <c r="F637" s="198"/>
      <c r="Q637" s="198"/>
      <c r="V637" s="198"/>
    </row>
    <row r="638" spans="6:22" ht="13.2">
      <c r="F638" s="198"/>
      <c r="Q638" s="198"/>
      <c r="V638" s="198"/>
    </row>
    <row r="639" spans="6:22" ht="13.2">
      <c r="F639" s="198"/>
      <c r="Q639" s="198"/>
      <c r="V639" s="198"/>
    </row>
    <row r="640" spans="6:22" ht="13.2">
      <c r="F640" s="198"/>
      <c r="Q640" s="198"/>
      <c r="V640" s="198"/>
    </row>
    <row r="641" spans="6:22" ht="13.2">
      <c r="F641" s="198"/>
      <c r="Q641" s="198"/>
      <c r="V641" s="198"/>
    </row>
    <row r="642" spans="6:22" ht="13.2">
      <c r="F642" s="198"/>
      <c r="Q642" s="198"/>
      <c r="V642" s="198"/>
    </row>
    <row r="643" spans="6:22" ht="13.2">
      <c r="F643" s="198"/>
      <c r="Q643" s="198"/>
      <c r="V643" s="198"/>
    </row>
    <row r="644" spans="6:22" ht="13.2">
      <c r="F644" s="198"/>
      <c r="Q644" s="198"/>
      <c r="V644" s="198"/>
    </row>
    <row r="645" spans="6:22" ht="13.2">
      <c r="F645" s="198"/>
      <c r="Q645" s="198"/>
      <c r="V645" s="198"/>
    </row>
    <row r="646" spans="6:22" ht="13.2">
      <c r="F646" s="198"/>
      <c r="Q646" s="198"/>
      <c r="V646" s="198"/>
    </row>
    <row r="647" spans="6:22" ht="13.2">
      <c r="F647" s="198"/>
      <c r="Q647" s="198"/>
      <c r="V647" s="198"/>
    </row>
    <row r="648" spans="6:22" ht="13.2">
      <c r="F648" s="198"/>
      <c r="Q648" s="198"/>
      <c r="V648" s="198"/>
    </row>
    <row r="649" spans="6:22" ht="13.2">
      <c r="F649" s="198"/>
      <c r="Q649" s="198"/>
      <c r="V649" s="198"/>
    </row>
    <row r="650" spans="6:22" ht="13.2">
      <c r="F650" s="198"/>
      <c r="Q650" s="198"/>
      <c r="V650" s="198"/>
    </row>
    <row r="651" spans="6:22" ht="13.2">
      <c r="F651" s="198"/>
      <c r="Q651" s="198"/>
      <c r="V651" s="198"/>
    </row>
    <row r="652" spans="6:22" ht="13.2">
      <c r="F652" s="198"/>
      <c r="Q652" s="198"/>
      <c r="V652" s="198"/>
    </row>
    <row r="653" spans="6:22" ht="13.2">
      <c r="F653" s="198"/>
      <c r="Q653" s="198"/>
      <c r="V653" s="198"/>
    </row>
    <row r="654" spans="6:22" ht="13.2">
      <c r="F654" s="198"/>
      <c r="Q654" s="198"/>
      <c r="V654" s="198"/>
    </row>
    <row r="655" spans="6:22" ht="13.2">
      <c r="F655" s="198"/>
      <c r="Q655" s="198"/>
      <c r="V655" s="198"/>
    </row>
    <row r="656" spans="6:22" ht="13.2">
      <c r="F656" s="198"/>
      <c r="Q656" s="198"/>
      <c r="V656" s="198"/>
    </row>
    <row r="657" spans="6:22" ht="13.2">
      <c r="F657" s="198"/>
      <c r="Q657" s="198"/>
      <c r="V657" s="198"/>
    </row>
    <row r="658" spans="6:22" ht="13.2">
      <c r="F658" s="198"/>
      <c r="Q658" s="198"/>
      <c r="V658" s="198"/>
    </row>
    <row r="659" spans="6:22" ht="13.2">
      <c r="F659" s="198"/>
      <c r="Q659" s="198"/>
      <c r="V659" s="198"/>
    </row>
    <row r="660" spans="6:22" ht="13.2">
      <c r="F660" s="198"/>
      <c r="Q660" s="198"/>
      <c r="V660" s="198"/>
    </row>
    <row r="661" spans="6:22" ht="13.2">
      <c r="F661" s="198"/>
      <c r="Q661" s="198"/>
      <c r="V661" s="198"/>
    </row>
    <row r="662" spans="6:22" ht="13.2">
      <c r="F662" s="198"/>
      <c r="Q662" s="198"/>
      <c r="V662" s="198"/>
    </row>
    <row r="663" spans="6:22" ht="13.2">
      <c r="F663" s="198"/>
      <c r="Q663" s="198"/>
      <c r="V663" s="198"/>
    </row>
    <row r="664" spans="6:22" ht="13.2">
      <c r="F664" s="198"/>
      <c r="Q664" s="198"/>
      <c r="V664" s="198"/>
    </row>
    <row r="665" spans="6:22" ht="13.2">
      <c r="F665" s="198"/>
      <c r="Q665" s="198"/>
      <c r="V665" s="198"/>
    </row>
    <row r="666" spans="6:22" ht="13.2">
      <c r="F666" s="198"/>
      <c r="Q666" s="198"/>
      <c r="V666" s="198"/>
    </row>
    <row r="667" spans="6:22" ht="13.2">
      <c r="F667" s="198"/>
      <c r="Q667" s="198"/>
      <c r="V667" s="198"/>
    </row>
    <row r="668" spans="6:22" ht="13.2">
      <c r="F668" s="198"/>
      <c r="Q668" s="198"/>
      <c r="V668" s="198"/>
    </row>
    <row r="669" spans="6:22" ht="13.2">
      <c r="F669" s="198"/>
      <c r="Q669" s="198"/>
      <c r="V669" s="198"/>
    </row>
    <row r="670" spans="6:22" ht="13.2">
      <c r="F670" s="198"/>
      <c r="Q670" s="198"/>
      <c r="V670" s="198"/>
    </row>
    <row r="671" spans="6:22" ht="13.2">
      <c r="F671" s="198"/>
      <c r="Q671" s="198"/>
      <c r="V671" s="198"/>
    </row>
    <row r="672" spans="6:22" ht="13.2">
      <c r="F672" s="198"/>
      <c r="Q672" s="198"/>
      <c r="V672" s="198"/>
    </row>
    <row r="673" spans="6:22" ht="13.2">
      <c r="F673" s="198"/>
      <c r="Q673" s="198"/>
      <c r="V673" s="198"/>
    </row>
    <row r="674" spans="6:22" ht="13.2">
      <c r="F674" s="198"/>
      <c r="Q674" s="198"/>
      <c r="V674" s="198"/>
    </row>
    <row r="675" spans="6:22" ht="13.2">
      <c r="F675" s="198"/>
      <c r="Q675" s="198"/>
      <c r="V675" s="198"/>
    </row>
    <row r="676" spans="6:22" ht="13.2">
      <c r="F676" s="198"/>
      <c r="Q676" s="198"/>
      <c r="V676" s="198"/>
    </row>
    <row r="677" spans="6:22" ht="13.2">
      <c r="F677" s="198"/>
      <c r="Q677" s="198"/>
      <c r="V677" s="198"/>
    </row>
    <row r="678" spans="6:22" ht="13.2">
      <c r="F678" s="198"/>
      <c r="Q678" s="198"/>
      <c r="V678" s="198"/>
    </row>
    <row r="679" spans="6:22" ht="13.2">
      <c r="F679" s="198"/>
      <c r="Q679" s="198"/>
      <c r="V679" s="198"/>
    </row>
    <row r="680" spans="6:22" ht="13.2">
      <c r="F680" s="198"/>
      <c r="Q680" s="198"/>
      <c r="V680" s="198"/>
    </row>
    <row r="681" spans="6:22" ht="13.2">
      <c r="F681" s="198"/>
      <c r="Q681" s="198"/>
      <c r="V681" s="198"/>
    </row>
    <row r="682" spans="6:22" ht="13.2">
      <c r="F682" s="198"/>
      <c r="Q682" s="198"/>
      <c r="V682" s="198"/>
    </row>
    <row r="683" spans="6:22" ht="13.2">
      <c r="F683" s="198"/>
      <c r="Q683" s="198"/>
      <c r="V683" s="198"/>
    </row>
    <row r="684" spans="6:22" ht="13.2">
      <c r="F684" s="198"/>
      <c r="Q684" s="198"/>
      <c r="V684" s="198"/>
    </row>
    <row r="685" spans="6:22" ht="13.2">
      <c r="F685" s="198"/>
      <c r="Q685" s="198"/>
      <c r="V685" s="198"/>
    </row>
    <row r="686" spans="6:22" ht="13.2">
      <c r="F686" s="198"/>
      <c r="Q686" s="198"/>
      <c r="V686" s="198"/>
    </row>
    <row r="687" spans="6:22" ht="13.2">
      <c r="F687" s="198"/>
      <c r="Q687" s="198"/>
      <c r="V687" s="198"/>
    </row>
    <row r="688" spans="6:22" ht="13.2">
      <c r="F688" s="198"/>
      <c r="Q688" s="198"/>
      <c r="V688" s="198"/>
    </row>
    <row r="689" spans="6:22" ht="13.2">
      <c r="F689" s="198"/>
      <c r="Q689" s="198"/>
      <c r="V689" s="198"/>
    </row>
    <row r="690" spans="6:22" ht="13.2">
      <c r="F690" s="198"/>
      <c r="Q690" s="198"/>
      <c r="V690" s="198"/>
    </row>
    <row r="691" spans="6:22" ht="13.2">
      <c r="F691" s="198"/>
      <c r="Q691" s="198"/>
      <c r="V691" s="198"/>
    </row>
    <row r="692" spans="6:22" ht="13.2">
      <c r="F692" s="198"/>
      <c r="Q692" s="198"/>
      <c r="V692" s="198"/>
    </row>
    <row r="693" spans="6:22" ht="13.2">
      <c r="F693" s="198"/>
      <c r="Q693" s="198"/>
      <c r="V693" s="198"/>
    </row>
    <row r="694" spans="6:22" ht="13.2">
      <c r="F694" s="198"/>
      <c r="Q694" s="198"/>
      <c r="V694" s="198"/>
    </row>
    <row r="695" spans="6:22" ht="13.2">
      <c r="F695" s="198"/>
      <c r="Q695" s="198"/>
      <c r="V695" s="198"/>
    </row>
    <row r="696" spans="6:22" ht="13.2">
      <c r="F696" s="198"/>
      <c r="Q696" s="198"/>
      <c r="V696" s="198"/>
    </row>
    <row r="697" spans="6:22" ht="13.2">
      <c r="F697" s="198"/>
      <c r="Q697" s="198"/>
      <c r="V697" s="198"/>
    </row>
    <row r="698" spans="6:22" ht="13.2">
      <c r="F698" s="198"/>
      <c r="Q698" s="198"/>
      <c r="V698" s="198"/>
    </row>
    <row r="699" spans="6:22" ht="13.2">
      <c r="F699" s="198"/>
      <c r="Q699" s="198"/>
      <c r="V699" s="198"/>
    </row>
    <row r="700" spans="6:22" ht="13.2">
      <c r="F700" s="198"/>
      <c r="Q700" s="198"/>
      <c r="V700" s="198"/>
    </row>
    <row r="701" spans="6:22" ht="13.2">
      <c r="F701" s="198"/>
      <c r="Q701" s="198"/>
      <c r="V701" s="198"/>
    </row>
    <row r="702" spans="6:22" ht="13.2">
      <c r="F702" s="198"/>
      <c r="Q702" s="198"/>
      <c r="V702" s="198"/>
    </row>
    <row r="703" spans="6:22" ht="13.2">
      <c r="F703" s="198"/>
      <c r="Q703" s="198"/>
      <c r="V703" s="198"/>
    </row>
    <row r="704" spans="6:22" ht="13.2">
      <c r="F704" s="198"/>
      <c r="Q704" s="198"/>
      <c r="V704" s="198"/>
    </row>
    <row r="705" spans="6:22" ht="13.2">
      <c r="F705" s="198"/>
      <c r="Q705" s="198"/>
      <c r="V705" s="198"/>
    </row>
    <row r="706" spans="6:22" ht="13.2">
      <c r="F706" s="198"/>
      <c r="Q706" s="198"/>
      <c r="V706" s="198"/>
    </row>
    <row r="707" spans="6:22" ht="13.2">
      <c r="F707" s="198"/>
      <c r="Q707" s="198"/>
      <c r="V707" s="198"/>
    </row>
    <row r="708" spans="6:22" ht="13.2">
      <c r="F708" s="198"/>
      <c r="Q708" s="198"/>
      <c r="V708" s="198"/>
    </row>
    <row r="709" spans="6:22" ht="13.2">
      <c r="F709" s="198"/>
      <c r="Q709" s="198"/>
      <c r="V709" s="198"/>
    </row>
    <row r="710" spans="6:22" ht="13.2">
      <c r="F710" s="198"/>
      <c r="Q710" s="198"/>
      <c r="V710" s="198"/>
    </row>
    <row r="711" spans="6:22" ht="13.2">
      <c r="F711" s="198"/>
      <c r="Q711" s="198"/>
      <c r="V711" s="198"/>
    </row>
    <row r="712" spans="6:22" ht="13.2">
      <c r="F712" s="198"/>
      <c r="Q712" s="198"/>
      <c r="V712" s="198"/>
    </row>
    <row r="713" spans="6:22" ht="13.2">
      <c r="F713" s="198"/>
      <c r="Q713" s="198"/>
      <c r="V713" s="198"/>
    </row>
    <row r="714" spans="6:22" ht="13.2">
      <c r="F714" s="198"/>
      <c r="Q714" s="198"/>
      <c r="V714" s="198"/>
    </row>
    <row r="715" spans="6:22" ht="13.2">
      <c r="F715" s="198"/>
      <c r="Q715" s="198"/>
      <c r="V715" s="198"/>
    </row>
    <row r="716" spans="6:22" ht="13.2">
      <c r="F716" s="198"/>
      <c r="Q716" s="198"/>
      <c r="V716" s="198"/>
    </row>
    <row r="717" spans="6:22" ht="13.2">
      <c r="F717" s="198"/>
      <c r="Q717" s="198"/>
      <c r="V717" s="198"/>
    </row>
    <row r="718" spans="6:22" ht="13.2">
      <c r="F718" s="198"/>
      <c r="Q718" s="198"/>
      <c r="V718" s="198"/>
    </row>
    <row r="719" spans="6:22" ht="13.2">
      <c r="F719" s="198"/>
      <c r="Q719" s="198"/>
      <c r="V719" s="198"/>
    </row>
    <row r="720" spans="6:22" ht="13.2">
      <c r="F720" s="198"/>
      <c r="Q720" s="198"/>
      <c r="V720" s="198"/>
    </row>
    <row r="721" spans="6:22" ht="13.2">
      <c r="F721" s="198"/>
      <c r="Q721" s="198"/>
      <c r="V721" s="198"/>
    </row>
    <row r="722" spans="6:22" ht="13.2">
      <c r="F722" s="198"/>
      <c r="Q722" s="198"/>
      <c r="V722" s="198"/>
    </row>
    <row r="723" spans="6:22" ht="13.2">
      <c r="F723" s="198"/>
      <c r="Q723" s="198"/>
      <c r="V723" s="198"/>
    </row>
    <row r="724" spans="6:22" ht="13.2">
      <c r="F724" s="198"/>
      <c r="Q724" s="198"/>
      <c r="V724" s="198"/>
    </row>
    <row r="725" spans="6:22" ht="13.2">
      <c r="F725" s="198"/>
      <c r="Q725" s="198"/>
      <c r="V725" s="198"/>
    </row>
    <row r="726" spans="6:22" ht="13.2">
      <c r="F726" s="198"/>
      <c r="Q726" s="198"/>
      <c r="V726" s="198"/>
    </row>
    <row r="727" spans="6:22" ht="13.2">
      <c r="F727" s="198"/>
      <c r="Q727" s="198"/>
      <c r="V727" s="198"/>
    </row>
    <row r="728" spans="6:22" ht="13.2">
      <c r="F728" s="198"/>
      <c r="Q728" s="198"/>
      <c r="V728" s="198"/>
    </row>
    <row r="729" spans="6:22" ht="13.2">
      <c r="F729" s="198"/>
      <c r="Q729" s="198"/>
      <c r="V729" s="198"/>
    </row>
    <row r="730" spans="6:22" ht="13.2">
      <c r="F730" s="198"/>
      <c r="Q730" s="198"/>
      <c r="V730" s="198"/>
    </row>
    <row r="731" spans="6:22" ht="13.2">
      <c r="F731" s="198"/>
      <c r="Q731" s="198"/>
      <c r="V731" s="198"/>
    </row>
    <row r="732" spans="6:22" ht="13.2">
      <c r="F732" s="198"/>
      <c r="Q732" s="198"/>
      <c r="V732" s="198"/>
    </row>
    <row r="733" spans="6:22" ht="13.2">
      <c r="F733" s="198"/>
      <c r="Q733" s="198"/>
      <c r="V733" s="198"/>
    </row>
    <row r="734" spans="6:22" ht="13.2">
      <c r="F734" s="198"/>
      <c r="Q734" s="198"/>
      <c r="V734" s="198"/>
    </row>
    <row r="735" spans="6:22" ht="13.2">
      <c r="F735" s="198"/>
      <c r="Q735" s="198"/>
      <c r="V735" s="198"/>
    </row>
    <row r="736" spans="6:22" ht="13.2">
      <c r="F736" s="198"/>
      <c r="Q736" s="198"/>
      <c r="V736" s="198"/>
    </row>
    <row r="737" spans="6:22" ht="13.2">
      <c r="F737" s="198"/>
      <c r="Q737" s="198"/>
      <c r="V737" s="198"/>
    </row>
    <row r="738" spans="6:22" ht="13.2">
      <c r="F738" s="198"/>
      <c r="Q738" s="198"/>
      <c r="V738" s="198"/>
    </row>
    <row r="739" spans="6:22" ht="13.2">
      <c r="F739" s="198"/>
      <c r="Q739" s="198"/>
      <c r="V739" s="198"/>
    </row>
    <row r="740" spans="6:22" ht="13.2">
      <c r="F740" s="198"/>
      <c r="Q740" s="198"/>
      <c r="V740" s="198"/>
    </row>
    <row r="741" spans="6:22" ht="13.2">
      <c r="F741" s="198"/>
      <c r="Q741" s="198"/>
      <c r="V741" s="198"/>
    </row>
    <row r="742" spans="6:22" ht="13.2">
      <c r="F742" s="198"/>
      <c r="Q742" s="198"/>
      <c r="V742" s="198"/>
    </row>
    <row r="743" spans="6:22" ht="13.2">
      <c r="F743" s="198"/>
      <c r="Q743" s="198"/>
      <c r="V743" s="198"/>
    </row>
    <row r="744" spans="6:22" ht="13.2">
      <c r="F744" s="198"/>
      <c r="Q744" s="198"/>
      <c r="V744" s="198"/>
    </row>
    <row r="745" spans="6:22" ht="13.2">
      <c r="F745" s="198"/>
      <c r="Q745" s="198"/>
      <c r="V745" s="198"/>
    </row>
    <row r="746" spans="6:22" ht="13.2">
      <c r="F746" s="198"/>
      <c r="Q746" s="198"/>
      <c r="V746" s="198"/>
    </row>
    <row r="747" spans="6:22" ht="13.2">
      <c r="F747" s="198"/>
      <c r="Q747" s="198"/>
      <c r="V747" s="198"/>
    </row>
    <row r="748" spans="6:22" ht="13.2">
      <c r="F748" s="198"/>
      <c r="Q748" s="198"/>
      <c r="V748" s="198"/>
    </row>
    <row r="749" spans="6:22" ht="13.2">
      <c r="F749" s="198"/>
      <c r="Q749" s="198"/>
      <c r="V749" s="198"/>
    </row>
    <row r="750" spans="6:22" ht="13.2">
      <c r="F750" s="198"/>
      <c r="Q750" s="198"/>
      <c r="V750" s="198"/>
    </row>
    <row r="751" spans="6:22" ht="13.2">
      <c r="F751" s="198"/>
      <c r="Q751" s="198"/>
      <c r="V751" s="198"/>
    </row>
    <row r="752" spans="6:22" ht="13.2">
      <c r="F752" s="198"/>
      <c r="Q752" s="198"/>
      <c r="V752" s="198"/>
    </row>
    <row r="753" spans="6:22" ht="13.2">
      <c r="F753" s="198"/>
      <c r="Q753" s="198"/>
      <c r="V753" s="198"/>
    </row>
    <row r="754" spans="6:22" ht="13.2">
      <c r="F754" s="198"/>
      <c r="Q754" s="198"/>
      <c r="V754" s="198"/>
    </row>
    <row r="755" spans="6:22" ht="13.2">
      <c r="F755" s="198"/>
      <c r="Q755" s="198"/>
      <c r="V755" s="198"/>
    </row>
    <row r="756" spans="6:22" ht="13.2">
      <c r="F756" s="198"/>
      <c r="Q756" s="198"/>
      <c r="V756" s="198"/>
    </row>
    <row r="757" spans="6:22" ht="13.2">
      <c r="F757" s="198"/>
      <c r="Q757" s="198"/>
      <c r="V757" s="198"/>
    </row>
    <row r="758" spans="6:22" ht="13.2">
      <c r="F758" s="198"/>
      <c r="Q758" s="198"/>
      <c r="V758" s="198"/>
    </row>
    <row r="759" spans="6:22" ht="13.2">
      <c r="F759" s="198"/>
      <c r="Q759" s="198"/>
      <c r="V759" s="198"/>
    </row>
    <row r="760" spans="6:22" ht="13.2">
      <c r="F760" s="198"/>
      <c r="Q760" s="198"/>
      <c r="V760" s="198"/>
    </row>
    <row r="761" spans="6:22" ht="13.2">
      <c r="F761" s="198"/>
      <c r="Q761" s="198"/>
      <c r="V761" s="198"/>
    </row>
    <row r="762" spans="6:22" ht="13.2">
      <c r="F762" s="198"/>
      <c r="Q762" s="198"/>
      <c r="V762" s="198"/>
    </row>
    <row r="763" spans="6:22" ht="13.2">
      <c r="F763" s="198"/>
      <c r="Q763" s="198"/>
      <c r="V763" s="198"/>
    </row>
    <row r="764" spans="6:22" ht="13.2">
      <c r="F764" s="198"/>
      <c r="Q764" s="198"/>
      <c r="V764" s="198"/>
    </row>
    <row r="765" spans="6:22" ht="13.2">
      <c r="F765" s="198"/>
      <c r="Q765" s="198"/>
      <c r="V765" s="198"/>
    </row>
    <row r="766" spans="6:22" ht="13.2">
      <c r="F766" s="198"/>
      <c r="Q766" s="198"/>
      <c r="V766" s="198"/>
    </row>
    <row r="767" spans="6:22" ht="13.2">
      <c r="F767" s="198"/>
      <c r="Q767" s="198"/>
      <c r="V767" s="198"/>
    </row>
    <row r="768" spans="6:22" ht="13.2">
      <c r="F768" s="198"/>
      <c r="Q768" s="198"/>
      <c r="V768" s="198"/>
    </row>
    <row r="769" spans="6:22" ht="13.2">
      <c r="F769" s="198"/>
      <c r="Q769" s="198"/>
      <c r="V769" s="198"/>
    </row>
    <row r="770" spans="6:22" ht="13.2">
      <c r="F770" s="198"/>
      <c r="Q770" s="198"/>
      <c r="V770" s="198"/>
    </row>
    <row r="771" spans="6:22" ht="13.2">
      <c r="F771" s="198"/>
      <c r="Q771" s="198"/>
      <c r="V771" s="198"/>
    </row>
    <row r="772" spans="6:22" ht="13.2">
      <c r="F772" s="198"/>
      <c r="Q772" s="198"/>
      <c r="V772" s="198"/>
    </row>
    <row r="773" spans="6:22" ht="13.2">
      <c r="F773" s="198"/>
      <c r="Q773" s="198"/>
      <c r="V773" s="198"/>
    </row>
    <row r="774" spans="6:22" ht="13.2">
      <c r="F774" s="198"/>
      <c r="Q774" s="198"/>
      <c r="V774" s="198"/>
    </row>
    <row r="775" spans="6:22" ht="13.2">
      <c r="F775" s="198"/>
      <c r="Q775" s="198"/>
      <c r="V775" s="198"/>
    </row>
    <row r="776" spans="6:22" ht="13.2">
      <c r="F776" s="198"/>
      <c r="Q776" s="198"/>
      <c r="V776" s="198"/>
    </row>
    <row r="777" spans="6:22" ht="13.2">
      <c r="F777" s="198"/>
      <c r="Q777" s="198"/>
      <c r="V777" s="198"/>
    </row>
    <row r="778" spans="6:22" ht="13.2">
      <c r="F778" s="198"/>
      <c r="Q778" s="198"/>
      <c r="V778" s="198"/>
    </row>
    <row r="779" spans="6:22" ht="13.2">
      <c r="F779" s="198"/>
      <c r="Q779" s="198"/>
      <c r="V779" s="198"/>
    </row>
    <row r="780" spans="6:22" ht="13.2">
      <c r="F780" s="198"/>
      <c r="Q780" s="198"/>
      <c r="V780" s="198"/>
    </row>
    <row r="781" spans="6:22" ht="13.2">
      <c r="F781" s="198"/>
      <c r="Q781" s="198"/>
      <c r="V781" s="198"/>
    </row>
    <row r="782" spans="6:22" ht="13.2">
      <c r="F782" s="198"/>
      <c r="Q782" s="198"/>
      <c r="V782" s="198"/>
    </row>
    <row r="783" spans="6:22" ht="13.2">
      <c r="F783" s="198"/>
      <c r="Q783" s="198"/>
      <c r="V783" s="198"/>
    </row>
    <row r="784" spans="6:22" ht="13.2">
      <c r="F784" s="198"/>
      <c r="Q784" s="198"/>
      <c r="V784" s="198"/>
    </row>
    <row r="785" spans="6:22" ht="13.2">
      <c r="F785" s="198"/>
      <c r="Q785" s="198"/>
      <c r="V785" s="198"/>
    </row>
    <row r="786" spans="6:22" ht="13.2">
      <c r="F786" s="198"/>
      <c r="Q786" s="198"/>
      <c r="V786" s="198"/>
    </row>
    <row r="787" spans="6:22" ht="13.2">
      <c r="F787" s="198"/>
      <c r="Q787" s="198"/>
      <c r="V787" s="198"/>
    </row>
    <row r="788" spans="6:22" ht="13.2">
      <c r="F788" s="198"/>
      <c r="Q788" s="198"/>
      <c r="V788" s="198"/>
    </row>
    <row r="789" spans="6:22" ht="13.2">
      <c r="F789" s="198"/>
      <c r="Q789" s="198"/>
      <c r="V789" s="198"/>
    </row>
    <row r="790" spans="6:22" ht="13.2">
      <c r="F790" s="198"/>
      <c r="Q790" s="198"/>
      <c r="V790" s="198"/>
    </row>
    <row r="791" spans="6:22" ht="13.2">
      <c r="F791" s="198"/>
      <c r="Q791" s="198"/>
      <c r="V791" s="198"/>
    </row>
    <row r="792" spans="6:22" ht="13.2">
      <c r="F792" s="198"/>
      <c r="Q792" s="198"/>
      <c r="V792" s="198"/>
    </row>
    <row r="793" spans="6:22" ht="13.2">
      <c r="F793" s="198"/>
      <c r="Q793" s="198"/>
      <c r="V793" s="198"/>
    </row>
    <row r="794" spans="6:22" ht="13.2">
      <c r="F794" s="198"/>
      <c r="Q794" s="198"/>
      <c r="V794" s="198"/>
    </row>
    <row r="795" spans="6:22" ht="13.2">
      <c r="F795" s="198"/>
      <c r="Q795" s="198"/>
      <c r="V795" s="198"/>
    </row>
    <row r="796" spans="6:22" ht="13.2">
      <c r="F796" s="198"/>
      <c r="Q796" s="198"/>
      <c r="V796" s="198"/>
    </row>
    <row r="797" spans="6:22" ht="13.2">
      <c r="F797" s="198"/>
      <c r="Q797" s="198"/>
      <c r="V797" s="198"/>
    </row>
    <row r="798" spans="6:22" ht="13.2">
      <c r="F798" s="198"/>
      <c r="Q798" s="198"/>
      <c r="V798" s="198"/>
    </row>
    <row r="799" spans="6:22" ht="13.2">
      <c r="F799" s="198"/>
      <c r="Q799" s="198"/>
      <c r="V799" s="198"/>
    </row>
    <row r="800" spans="6:22" ht="13.2">
      <c r="F800" s="198"/>
      <c r="Q800" s="198"/>
      <c r="V800" s="198"/>
    </row>
    <row r="801" spans="6:22" ht="13.2">
      <c r="F801" s="198"/>
      <c r="Q801" s="198"/>
      <c r="V801" s="198"/>
    </row>
    <row r="802" spans="6:22" ht="13.2">
      <c r="F802" s="198"/>
      <c r="Q802" s="198"/>
      <c r="V802" s="198"/>
    </row>
    <row r="803" spans="6:22" ht="13.2">
      <c r="F803" s="198"/>
      <c r="Q803" s="198"/>
      <c r="V803" s="198"/>
    </row>
    <row r="804" spans="6:22" ht="13.2">
      <c r="F804" s="198"/>
      <c r="Q804" s="198"/>
      <c r="V804" s="198"/>
    </row>
    <row r="805" spans="6:22" ht="13.2">
      <c r="F805" s="198"/>
      <c r="Q805" s="198"/>
      <c r="V805" s="198"/>
    </row>
    <row r="806" spans="6:22" ht="13.2">
      <c r="F806" s="198"/>
      <c r="Q806" s="198"/>
      <c r="V806" s="198"/>
    </row>
    <row r="807" spans="6:22" ht="13.2">
      <c r="F807" s="198"/>
      <c r="Q807" s="198"/>
      <c r="V807" s="198"/>
    </row>
    <row r="808" spans="6:22" ht="13.2">
      <c r="F808" s="198"/>
      <c r="Q808" s="198"/>
      <c r="V808" s="198"/>
    </row>
    <row r="809" spans="6:22" ht="13.2">
      <c r="F809" s="198"/>
      <c r="Q809" s="198"/>
      <c r="V809" s="198"/>
    </row>
    <row r="810" spans="6:22" ht="13.2">
      <c r="F810" s="198"/>
      <c r="Q810" s="198"/>
      <c r="V810" s="198"/>
    </row>
    <row r="811" spans="6:22" ht="13.2">
      <c r="F811" s="198"/>
      <c r="Q811" s="198"/>
      <c r="V811" s="198"/>
    </row>
    <row r="812" spans="6:22" ht="13.2">
      <c r="F812" s="198"/>
      <c r="Q812" s="198"/>
      <c r="V812" s="198"/>
    </row>
    <row r="813" spans="6:22" ht="13.2">
      <c r="F813" s="198"/>
      <c r="Q813" s="198"/>
      <c r="V813" s="198"/>
    </row>
    <row r="814" spans="6:22" ht="13.2">
      <c r="F814" s="198"/>
      <c r="Q814" s="198"/>
      <c r="V814" s="198"/>
    </row>
    <row r="815" spans="6:22" ht="13.2">
      <c r="F815" s="198"/>
      <c r="Q815" s="198"/>
      <c r="V815" s="198"/>
    </row>
    <row r="816" spans="6:22" ht="13.2">
      <c r="F816" s="198"/>
      <c r="Q816" s="198"/>
      <c r="V816" s="198"/>
    </row>
    <row r="817" spans="6:22" ht="13.2">
      <c r="F817" s="198"/>
      <c r="Q817" s="198"/>
      <c r="V817" s="198"/>
    </row>
    <row r="818" spans="6:22" ht="13.2">
      <c r="F818" s="198"/>
      <c r="Q818" s="198"/>
      <c r="V818" s="198"/>
    </row>
    <row r="819" spans="6:22" ht="13.2">
      <c r="F819" s="198"/>
      <c r="Q819" s="198"/>
      <c r="V819" s="198"/>
    </row>
    <row r="820" spans="6:22" ht="13.2">
      <c r="F820" s="198"/>
      <c r="Q820" s="198"/>
      <c r="V820" s="198"/>
    </row>
    <row r="821" spans="6:22" ht="13.2">
      <c r="F821" s="198"/>
      <c r="Q821" s="198"/>
      <c r="V821" s="198"/>
    </row>
    <row r="822" spans="6:22" ht="13.2">
      <c r="F822" s="198"/>
      <c r="Q822" s="198"/>
      <c r="V822" s="198"/>
    </row>
    <row r="823" spans="6:22" ht="13.2">
      <c r="F823" s="198"/>
      <c r="Q823" s="198"/>
      <c r="V823" s="198"/>
    </row>
    <row r="824" spans="6:22" ht="13.2">
      <c r="F824" s="198"/>
      <c r="Q824" s="198"/>
      <c r="V824" s="198"/>
    </row>
    <row r="825" spans="6:22" ht="13.2">
      <c r="F825" s="198"/>
      <c r="Q825" s="198"/>
      <c r="V825" s="198"/>
    </row>
    <row r="826" spans="6:22" ht="13.2">
      <c r="F826" s="198"/>
      <c r="Q826" s="198"/>
      <c r="V826" s="198"/>
    </row>
    <row r="827" spans="6:22" ht="13.2">
      <c r="F827" s="198"/>
      <c r="Q827" s="198"/>
      <c r="V827" s="198"/>
    </row>
    <row r="828" spans="6:22" ht="13.2">
      <c r="F828" s="198"/>
      <c r="Q828" s="198"/>
      <c r="V828" s="198"/>
    </row>
    <row r="829" spans="6:22" ht="13.2">
      <c r="F829" s="198"/>
      <c r="Q829" s="198"/>
      <c r="V829" s="198"/>
    </row>
    <row r="830" spans="6:22" ht="13.2">
      <c r="F830" s="198"/>
      <c r="Q830" s="198"/>
      <c r="V830" s="198"/>
    </row>
    <row r="831" spans="6:22" ht="13.2">
      <c r="F831" s="198"/>
      <c r="Q831" s="198"/>
      <c r="V831" s="198"/>
    </row>
    <row r="832" spans="6:22" ht="13.2">
      <c r="F832" s="198"/>
      <c r="Q832" s="198"/>
      <c r="V832" s="198"/>
    </row>
    <row r="833" spans="6:22" ht="13.2">
      <c r="F833" s="198"/>
      <c r="Q833" s="198"/>
      <c r="V833" s="198"/>
    </row>
    <row r="834" spans="6:22" ht="13.2">
      <c r="F834" s="198"/>
      <c r="Q834" s="198"/>
      <c r="V834" s="198"/>
    </row>
    <row r="835" spans="6:22" ht="13.2">
      <c r="F835" s="198"/>
      <c r="Q835" s="198"/>
      <c r="V835" s="198"/>
    </row>
    <row r="836" spans="6:22" ht="13.2">
      <c r="F836" s="198"/>
      <c r="Q836" s="198"/>
      <c r="V836" s="198"/>
    </row>
    <row r="837" spans="6:22" ht="13.2">
      <c r="F837" s="198"/>
      <c r="Q837" s="198"/>
      <c r="V837" s="198"/>
    </row>
    <row r="838" spans="6:22" ht="13.2">
      <c r="F838" s="198"/>
      <c r="Q838" s="198"/>
      <c r="V838" s="198"/>
    </row>
    <row r="839" spans="6:22" ht="13.2">
      <c r="F839" s="198"/>
      <c r="Q839" s="198"/>
      <c r="V839" s="198"/>
    </row>
    <row r="840" spans="6:22" ht="13.2">
      <c r="F840" s="198"/>
      <c r="Q840" s="198"/>
      <c r="V840" s="198"/>
    </row>
    <row r="841" spans="6:22" ht="13.2">
      <c r="F841" s="198"/>
      <c r="Q841" s="198"/>
      <c r="V841" s="198"/>
    </row>
    <row r="842" spans="6:22" ht="13.2">
      <c r="F842" s="198"/>
      <c r="Q842" s="198"/>
      <c r="V842" s="198"/>
    </row>
    <row r="843" spans="6:22" ht="13.2">
      <c r="F843" s="198"/>
      <c r="Q843" s="198"/>
      <c r="V843" s="198"/>
    </row>
    <row r="844" spans="6:22" ht="13.2">
      <c r="F844" s="198"/>
      <c r="Q844" s="198"/>
      <c r="V844" s="198"/>
    </row>
    <row r="845" spans="6:22" ht="13.2">
      <c r="F845" s="198"/>
      <c r="Q845" s="198"/>
      <c r="V845" s="198"/>
    </row>
    <row r="846" spans="6:22" ht="13.2">
      <c r="F846" s="198"/>
      <c r="Q846" s="198"/>
      <c r="V846" s="198"/>
    </row>
    <row r="847" spans="6:22" ht="13.2">
      <c r="F847" s="198"/>
      <c r="Q847" s="198"/>
      <c r="V847" s="198"/>
    </row>
    <row r="848" spans="6:22" ht="13.2">
      <c r="F848" s="198"/>
      <c r="Q848" s="198"/>
      <c r="V848" s="198"/>
    </row>
    <row r="849" spans="6:22" ht="13.2">
      <c r="F849" s="198"/>
      <c r="Q849" s="198"/>
      <c r="V849" s="198"/>
    </row>
    <row r="850" spans="6:22" ht="13.2">
      <c r="F850" s="198"/>
      <c r="Q850" s="198"/>
      <c r="V850" s="198"/>
    </row>
    <row r="851" spans="6:22" ht="13.2">
      <c r="F851" s="198"/>
      <c r="Q851" s="198"/>
      <c r="V851" s="198"/>
    </row>
    <row r="852" spans="6:22" ht="13.2">
      <c r="F852" s="198"/>
      <c r="Q852" s="198"/>
      <c r="V852" s="198"/>
    </row>
    <row r="853" spans="6:22" ht="13.2">
      <c r="F853" s="198"/>
      <c r="Q853" s="198"/>
      <c r="V853" s="198"/>
    </row>
    <row r="854" spans="6:22" ht="13.2">
      <c r="F854" s="198"/>
      <c r="Q854" s="198"/>
      <c r="V854" s="198"/>
    </row>
    <row r="855" spans="6:22" ht="13.2">
      <c r="F855" s="198"/>
      <c r="Q855" s="198"/>
      <c r="V855" s="198"/>
    </row>
    <row r="856" spans="6:22" ht="13.2">
      <c r="F856" s="198"/>
      <c r="Q856" s="198"/>
      <c r="V856" s="198"/>
    </row>
    <row r="857" spans="6:22" ht="13.2">
      <c r="F857" s="198"/>
      <c r="Q857" s="198"/>
      <c r="V857" s="198"/>
    </row>
    <row r="858" spans="6:22" ht="13.2">
      <c r="F858" s="198"/>
      <c r="Q858" s="198"/>
      <c r="V858" s="198"/>
    </row>
    <row r="859" spans="6:22" ht="13.2">
      <c r="F859" s="198"/>
      <c r="Q859" s="198"/>
      <c r="V859" s="198"/>
    </row>
    <row r="860" spans="6:22" ht="13.2">
      <c r="F860" s="198"/>
      <c r="Q860" s="198"/>
      <c r="V860" s="198"/>
    </row>
    <row r="861" spans="6:22" ht="13.2">
      <c r="F861" s="198"/>
      <c r="Q861" s="198"/>
      <c r="V861" s="198"/>
    </row>
    <row r="862" spans="6:22" ht="13.2">
      <c r="F862" s="198"/>
      <c r="Q862" s="198"/>
      <c r="V862" s="198"/>
    </row>
    <row r="863" spans="6:22" ht="13.2">
      <c r="F863" s="198"/>
      <c r="Q863" s="198"/>
      <c r="V863" s="198"/>
    </row>
    <row r="864" spans="6:22" ht="13.2">
      <c r="F864" s="198"/>
      <c r="Q864" s="198"/>
      <c r="V864" s="198"/>
    </row>
    <row r="865" spans="6:22" ht="13.2">
      <c r="F865" s="198"/>
      <c r="Q865" s="198"/>
      <c r="V865" s="198"/>
    </row>
    <row r="866" spans="6:22" ht="13.2">
      <c r="F866" s="198"/>
      <c r="Q866" s="198"/>
      <c r="V866" s="198"/>
    </row>
    <row r="867" spans="6:22" ht="13.2">
      <c r="F867" s="198"/>
      <c r="Q867" s="198"/>
      <c r="V867" s="198"/>
    </row>
    <row r="868" spans="6:22" ht="13.2">
      <c r="F868" s="198"/>
      <c r="Q868" s="198"/>
      <c r="V868" s="198"/>
    </row>
    <row r="869" spans="6:22" ht="13.2">
      <c r="F869" s="198"/>
      <c r="Q869" s="198"/>
      <c r="V869" s="198"/>
    </row>
    <row r="870" spans="6:22" ht="13.2">
      <c r="F870" s="198"/>
      <c r="Q870" s="198"/>
      <c r="V870" s="198"/>
    </row>
    <row r="871" spans="6:22" ht="13.2">
      <c r="F871" s="198"/>
      <c r="Q871" s="198"/>
      <c r="V871" s="198"/>
    </row>
    <row r="872" spans="6:22" ht="13.2">
      <c r="F872" s="198"/>
      <c r="Q872" s="198"/>
      <c r="V872" s="198"/>
    </row>
    <row r="873" spans="6:22" ht="13.2">
      <c r="F873" s="198"/>
      <c r="Q873" s="198"/>
      <c r="V873" s="198"/>
    </row>
    <row r="874" spans="6:22" ht="13.2">
      <c r="F874" s="198"/>
      <c r="Q874" s="198"/>
      <c r="V874" s="198"/>
    </row>
    <row r="875" spans="6:22" ht="13.2">
      <c r="F875" s="198"/>
      <c r="Q875" s="198"/>
      <c r="V875" s="198"/>
    </row>
    <row r="876" spans="6:22" ht="13.2">
      <c r="F876" s="198"/>
      <c r="Q876" s="198"/>
      <c r="V876" s="198"/>
    </row>
    <row r="877" spans="6:22" ht="13.2">
      <c r="F877" s="198"/>
      <c r="Q877" s="198"/>
      <c r="V877" s="198"/>
    </row>
    <row r="878" spans="6:22" ht="13.2">
      <c r="F878" s="198"/>
      <c r="Q878" s="198"/>
      <c r="V878" s="198"/>
    </row>
    <row r="879" spans="6:22" ht="13.2">
      <c r="F879" s="198"/>
      <c r="Q879" s="198"/>
      <c r="V879" s="198"/>
    </row>
    <row r="880" spans="6:22" ht="13.2">
      <c r="F880" s="198"/>
      <c r="Q880" s="198"/>
      <c r="V880" s="198"/>
    </row>
    <row r="881" spans="6:22" ht="13.2">
      <c r="F881" s="198"/>
      <c r="Q881" s="198"/>
      <c r="V881" s="198"/>
    </row>
    <row r="882" spans="6:22" ht="13.2">
      <c r="F882" s="198"/>
      <c r="Q882" s="198"/>
      <c r="V882" s="198"/>
    </row>
    <row r="883" spans="6:22" ht="13.2">
      <c r="F883" s="198"/>
      <c r="Q883" s="198"/>
      <c r="V883" s="198"/>
    </row>
    <row r="884" spans="6:22" ht="13.2">
      <c r="F884" s="198"/>
      <c r="Q884" s="198"/>
      <c r="V884" s="198"/>
    </row>
    <row r="885" spans="6:22" ht="13.2">
      <c r="F885" s="198"/>
      <c r="Q885" s="198"/>
      <c r="V885" s="198"/>
    </row>
    <row r="886" spans="6:22" ht="13.2">
      <c r="F886" s="198"/>
      <c r="Q886" s="198"/>
      <c r="V886" s="198"/>
    </row>
    <row r="887" spans="6:22" ht="13.2">
      <c r="F887" s="198"/>
      <c r="Q887" s="198"/>
      <c r="V887" s="198"/>
    </row>
    <row r="888" spans="6:22" ht="13.2">
      <c r="F888" s="198"/>
      <c r="Q888" s="198"/>
      <c r="V888" s="198"/>
    </row>
    <row r="889" spans="6:22" ht="13.2">
      <c r="F889" s="198"/>
      <c r="Q889" s="198"/>
      <c r="V889" s="198"/>
    </row>
    <row r="890" spans="6:22" ht="13.2">
      <c r="F890" s="198"/>
      <c r="Q890" s="198"/>
      <c r="V890" s="198"/>
    </row>
    <row r="891" spans="6:22" ht="13.2">
      <c r="F891" s="198"/>
      <c r="Q891" s="198"/>
      <c r="V891" s="198"/>
    </row>
    <row r="892" spans="6:22" ht="13.2">
      <c r="F892" s="198"/>
      <c r="Q892" s="198"/>
      <c r="V892" s="198"/>
    </row>
    <row r="893" spans="6:22" ht="13.2">
      <c r="F893" s="198"/>
      <c r="Q893" s="198"/>
      <c r="V893" s="198"/>
    </row>
    <row r="894" spans="6:22" ht="13.2">
      <c r="F894" s="198"/>
      <c r="Q894" s="198"/>
      <c r="V894" s="198"/>
    </row>
    <row r="895" spans="6:22" ht="13.2">
      <c r="F895" s="198"/>
      <c r="Q895" s="198"/>
      <c r="V895" s="198"/>
    </row>
    <row r="896" spans="6:22" ht="13.2">
      <c r="F896" s="198"/>
      <c r="Q896" s="198"/>
      <c r="V896" s="198"/>
    </row>
    <row r="897" spans="6:22" ht="13.2">
      <c r="F897" s="198"/>
      <c r="Q897" s="198"/>
      <c r="V897" s="198"/>
    </row>
    <row r="898" spans="6:22" ht="13.2">
      <c r="F898" s="198"/>
      <c r="Q898" s="198"/>
      <c r="V898" s="198"/>
    </row>
    <row r="899" spans="6:22" ht="13.2">
      <c r="F899" s="198"/>
      <c r="Q899" s="198"/>
      <c r="V899" s="198"/>
    </row>
    <row r="900" spans="6:22" ht="13.2">
      <c r="F900" s="198"/>
      <c r="Q900" s="198"/>
      <c r="V900" s="198"/>
    </row>
    <row r="901" spans="6:22" ht="13.2">
      <c r="F901" s="198"/>
      <c r="Q901" s="198"/>
      <c r="V901" s="198"/>
    </row>
    <row r="902" spans="6:22" ht="13.2">
      <c r="F902" s="198"/>
      <c r="Q902" s="198"/>
      <c r="V902" s="198"/>
    </row>
    <row r="903" spans="6:22" ht="13.2">
      <c r="F903" s="198"/>
      <c r="Q903" s="198"/>
      <c r="V903" s="198"/>
    </row>
    <row r="904" spans="6:22" ht="13.2">
      <c r="F904" s="198"/>
      <c r="Q904" s="198"/>
      <c r="V904" s="198"/>
    </row>
    <row r="905" spans="6:22" ht="13.2">
      <c r="F905" s="198"/>
      <c r="Q905" s="198"/>
      <c r="V905" s="198"/>
    </row>
    <row r="906" spans="6:22" ht="13.2">
      <c r="F906" s="198"/>
      <c r="Q906" s="198"/>
      <c r="V906" s="198"/>
    </row>
    <row r="907" spans="6:22" ht="13.2">
      <c r="F907" s="198"/>
      <c r="Q907" s="198"/>
      <c r="V907" s="198"/>
    </row>
    <row r="908" spans="6:22" ht="13.2">
      <c r="F908" s="198"/>
      <c r="Q908" s="198"/>
      <c r="V908" s="198"/>
    </row>
    <row r="909" spans="6:22" ht="13.2">
      <c r="F909" s="198"/>
      <c r="Q909" s="198"/>
      <c r="V909" s="198"/>
    </row>
    <row r="910" spans="6:22" ht="13.2">
      <c r="F910" s="198"/>
      <c r="Q910" s="198"/>
      <c r="V910" s="198"/>
    </row>
    <row r="911" spans="6:22" ht="13.2">
      <c r="F911" s="198"/>
      <c r="Q911" s="198"/>
      <c r="V911" s="198"/>
    </row>
    <row r="912" spans="6:22" ht="13.2">
      <c r="F912" s="198"/>
      <c r="Q912" s="198"/>
      <c r="V912" s="198"/>
    </row>
    <row r="913" spans="6:22" ht="13.2">
      <c r="F913" s="198"/>
      <c r="Q913" s="198"/>
      <c r="V913" s="198"/>
    </row>
    <row r="914" spans="6:22" ht="13.2">
      <c r="F914" s="198"/>
      <c r="Q914" s="198"/>
      <c r="V914" s="198"/>
    </row>
    <row r="915" spans="6:22" ht="13.2">
      <c r="F915" s="198"/>
      <c r="Q915" s="198"/>
      <c r="V915" s="198"/>
    </row>
    <row r="916" spans="6:22" ht="13.2">
      <c r="F916" s="198"/>
      <c r="Q916" s="198"/>
      <c r="V916" s="198"/>
    </row>
    <row r="917" spans="6:22" ht="13.2">
      <c r="F917" s="198"/>
      <c r="Q917" s="198"/>
      <c r="V917" s="198"/>
    </row>
    <row r="918" spans="6:22" ht="13.2">
      <c r="F918" s="198"/>
      <c r="Q918" s="198"/>
      <c r="V918" s="198"/>
    </row>
    <row r="919" spans="6:22" ht="13.2">
      <c r="F919" s="198"/>
      <c r="Q919" s="198"/>
      <c r="V919" s="198"/>
    </row>
    <row r="920" spans="6:22" ht="13.2">
      <c r="F920" s="198"/>
      <c r="Q920" s="198"/>
      <c r="V920" s="198"/>
    </row>
    <row r="921" spans="6:22" ht="13.2">
      <c r="F921" s="198"/>
      <c r="Q921" s="198"/>
      <c r="V921" s="198"/>
    </row>
    <row r="922" spans="6:22" ht="13.2">
      <c r="F922" s="198"/>
      <c r="Q922" s="198"/>
      <c r="V922" s="198"/>
    </row>
    <row r="923" spans="6:22" ht="13.2">
      <c r="F923" s="198"/>
      <c r="Q923" s="198"/>
      <c r="V923" s="198"/>
    </row>
    <row r="924" spans="6:22" ht="13.2">
      <c r="F924" s="198"/>
      <c r="Q924" s="198"/>
      <c r="V924" s="198"/>
    </row>
    <row r="925" spans="6:22" ht="13.2">
      <c r="F925" s="198"/>
      <c r="Q925" s="198"/>
      <c r="V925" s="198"/>
    </row>
    <row r="926" spans="6:22" ht="13.2">
      <c r="F926" s="198"/>
      <c r="Q926" s="198"/>
      <c r="V926" s="198"/>
    </row>
    <row r="927" spans="6:22" ht="13.2">
      <c r="F927" s="198"/>
      <c r="Q927" s="198"/>
      <c r="V927" s="198"/>
    </row>
    <row r="928" spans="6:22" ht="13.2">
      <c r="F928" s="198"/>
      <c r="Q928" s="198"/>
      <c r="V928" s="198"/>
    </row>
    <row r="929" spans="6:22" ht="13.2">
      <c r="F929" s="198"/>
      <c r="Q929" s="198"/>
      <c r="V929" s="198"/>
    </row>
    <row r="930" spans="6:22" ht="13.2">
      <c r="F930" s="198"/>
      <c r="Q930" s="198"/>
      <c r="V930" s="198"/>
    </row>
    <row r="931" spans="6:22" ht="13.2">
      <c r="F931" s="198"/>
      <c r="Q931" s="198"/>
      <c r="V931" s="198"/>
    </row>
    <row r="932" spans="6:22" ht="13.2">
      <c r="F932" s="198"/>
      <c r="Q932" s="198"/>
      <c r="V932" s="198"/>
    </row>
    <row r="933" spans="6:22" ht="13.2">
      <c r="F933" s="198"/>
      <c r="Q933" s="198"/>
      <c r="V933" s="198"/>
    </row>
    <row r="934" spans="6:22" ht="13.2">
      <c r="F934" s="198"/>
      <c r="Q934" s="198"/>
      <c r="V934" s="198"/>
    </row>
    <row r="935" spans="6:22" ht="13.2">
      <c r="F935" s="198"/>
      <c r="Q935" s="198"/>
      <c r="V935" s="198"/>
    </row>
    <row r="936" spans="6:22" ht="13.2">
      <c r="F936" s="198"/>
      <c r="Q936" s="198"/>
      <c r="V936" s="198"/>
    </row>
    <row r="937" spans="6:22" ht="13.2">
      <c r="F937" s="198"/>
      <c r="Q937" s="198"/>
      <c r="V937" s="198"/>
    </row>
    <row r="938" spans="6:22" ht="13.2">
      <c r="F938" s="198"/>
      <c r="Q938" s="198"/>
      <c r="V938" s="198"/>
    </row>
    <row r="939" spans="6:22" ht="13.2">
      <c r="F939" s="198"/>
      <c r="Q939" s="198"/>
      <c r="V939" s="198"/>
    </row>
    <row r="940" spans="6:22" ht="13.2">
      <c r="F940" s="198"/>
      <c r="Q940" s="198"/>
      <c r="V940" s="198"/>
    </row>
    <row r="941" spans="6:22" ht="13.2">
      <c r="F941" s="198"/>
      <c r="Q941" s="198"/>
      <c r="V941" s="198"/>
    </row>
    <row r="942" spans="6:22" ht="13.2">
      <c r="F942" s="198"/>
      <c r="Q942" s="198"/>
      <c r="V942" s="198"/>
    </row>
    <row r="943" spans="6:22" ht="13.2">
      <c r="F943" s="198"/>
      <c r="Q943" s="198"/>
      <c r="V943" s="198"/>
    </row>
    <row r="944" spans="6:22" ht="13.2">
      <c r="F944" s="198"/>
      <c r="Q944" s="198"/>
      <c r="V944" s="198"/>
    </row>
    <row r="945" spans="6:22" ht="13.2">
      <c r="F945" s="198"/>
      <c r="Q945" s="198"/>
      <c r="V945" s="198"/>
    </row>
    <row r="946" spans="6:22" ht="13.2">
      <c r="F946" s="198"/>
      <c r="Q946" s="198"/>
      <c r="V946" s="198"/>
    </row>
    <row r="947" spans="6:22" ht="13.2">
      <c r="F947" s="198"/>
      <c r="Q947" s="198"/>
      <c r="V947" s="198"/>
    </row>
    <row r="948" spans="6:22" ht="13.2">
      <c r="F948" s="198"/>
      <c r="Q948" s="198"/>
      <c r="V948" s="198"/>
    </row>
    <row r="949" spans="6:22" ht="13.2">
      <c r="F949" s="198"/>
      <c r="Q949" s="198"/>
      <c r="V949" s="198"/>
    </row>
    <row r="950" spans="6:22" ht="13.2">
      <c r="F950" s="198"/>
      <c r="Q950" s="198"/>
      <c r="V950" s="198"/>
    </row>
    <row r="951" spans="6:22" ht="13.2">
      <c r="F951" s="198"/>
      <c r="Q951" s="198"/>
      <c r="V951" s="198"/>
    </row>
    <row r="952" spans="6:22" ht="13.2">
      <c r="F952" s="198"/>
      <c r="Q952" s="198"/>
      <c r="V952" s="198"/>
    </row>
    <row r="953" spans="6:22" ht="13.2">
      <c r="F953" s="198"/>
      <c r="Q953" s="198"/>
      <c r="V953" s="198"/>
    </row>
    <row r="954" spans="6:22" ht="13.2">
      <c r="F954" s="198"/>
      <c r="Q954" s="198"/>
      <c r="V954" s="198"/>
    </row>
    <row r="955" spans="6:22" ht="13.2">
      <c r="F955" s="198"/>
      <c r="Q955" s="198"/>
      <c r="V955" s="198"/>
    </row>
    <row r="956" spans="6:22" ht="13.2">
      <c r="F956" s="198"/>
      <c r="Q956" s="198"/>
      <c r="V956" s="198"/>
    </row>
    <row r="957" spans="6:22" ht="13.2">
      <c r="F957" s="198"/>
      <c r="Q957" s="198"/>
      <c r="V957" s="198"/>
    </row>
    <row r="958" spans="6:22" ht="13.2">
      <c r="F958" s="198"/>
      <c r="Q958" s="198"/>
      <c r="V958" s="198"/>
    </row>
    <row r="959" spans="6:22" ht="13.2">
      <c r="F959" s="198"/>
      <c r="Q959" s="198"/>
      <c r="V959" s="198"/>
    </row>
    <row r="960" spans="6:22" ht="13.2">
      <c r="F960" s="198"/>
      <c r="Q960" s="198"/>
      <c r="V960" s="198"/>
    </row>
    <row r="961" spans="6:22" ht="13.2">
      <c r="F961" s="198"/>
      <c r="Q961" s="198"/>
      <c r="V961" s="198"/>
    </row>
    <row r="962" spans="6:22" ht="13.2">
      <c r="F962" s="198"/>
      <c r="Q962" s="198"/>
      <c r="V962" s="198"/>
    </row>
    <row r="963" spans="6:22" ht="13.2">
      <c r="F963" s="198"/>
      <c r="Q963" s="198"/>
      <c r="V963" s="198"/>
    </row>
    <row r="964" spans="6:22" ht="13.2">
      <c r="F964" s="198"/>
      <c r="Q964" s="198"/>
      <c r="V964" s="198"/>
    </row>
    <row r="965" spans="6:22" ht="13.2">
      <c r="F965" s="198"/>
      <c r="Q965" s="198"/>
      <c r="V965" s="198"/>
    </row>
    <row r="966" spans="6:22" ht="13.2">
      <c r="F966" s="198"/>
      <c r="Q966" s="198"/>
      <c r="V966" s="198"/>
    </row>
    <row r="967" spans="6:22" ht="13.2">
      <c r="F967" s="198"/>
      <c r="Q967" s="198"/>
      <c r="V967" s="198"/>
    </row>
    <row r="968" spans="6:22" ht="13.2">
      <c r="F968" s="198"/>
      <c r="Q968" s="198"/>
      <c r="V968" s="198"/>
    </row>
    <row r="969" spans="6:22" ht="13.2">
      <c r="F969" s="198"/>
      <c r="Q969" s="198"/>
      <c r="V969" s="198"/>
    </row>
    <row r="970" spans="6:22" ht="13.2">
      <c r="F970" s="198"/>
      <c r="Q970" s="198"/>
      <c r="V970" s="198"/>
    </row>
    <row r="971" spans="6:22" ht="13.2">
      <c r="F971" s="198"/>
      <c r="Q971" s="198"/>
      <c r="V971" s="198"/>
    </row>
    <row r="972" spans="6:22" ht="13.2">
      <c r="F972" s="198"/>
      <c r="Q972" s="198"/>
      <c r="V972" s="198"/>
    </row>
    <row r="973" spans="6:22" ht="13.2">
      <c r="F973" s="198"/>
      <c r="Q973" s="198"/>
      <c r="V973" s="198"/>
    </row>
    <row r="974" spans="6:22" ht="13.2">
      <c r="F974" s="198"/>
      <c r="Q974" s="198"/>
      <c r="V974" s="198"/>
    </row>
    <row r="975" spans="6:22" ht="13.2">
      <c r="F975" s="198"/>
      <c r="Q975" s="198"/>
      <c r="V975" s="198"/>
    </row>
    <row r="976" spans="6:22" ht="13.2">
      <c r="F976" s="198"/>
      <c r="Q976" s="198"/>
      <c r="V976" s="198"/>
    </row>
    <row r="977" spans="6:22" ht="13.2">
      <c r="F977" s="198"/>
      <c r="Q977" s="198"/>
      <c r="V977" s="198"/>
    </row>
    <row r="978" spans="6:22" ht="13.2">
      <c r="F978" s="198"/>
      <c r="Q978" s="198"/>
      <c r="V978" s="198"/>
    </row>
    <row r="979" spans="6:22" ht="13.2">
      <c r="F979" s="198"/>
      <c r="Q979" s="198"/>
      <c r="V979" s="198"/>
    </row>
    <row r="980" spans="6:22" ht="13.2">
      <c r="F980" s="198"/>
      <c r="Q980" s="198"/>
      <c r="V980" s="198"/>
    </row>
    <row r="981" spans="6:22" ht="13.2">
      <c r="F981" s="198"/>
      <c r="Q981" s="198"/>
      <c r="V981" s="198"/>
    </row>
    <row r="982" spans="6:22" ht="13.2">
      <c r="F982" s="198"/>
      <c r="Q982" s="198"/>
      <c r="V982" s="198"/>
    </row>
    <row r="983" spans="6:22" ht="13.2">
      <c r="F983" s="198"/>
      <c r="Q983" s="198"/>
      <c r="V983" s="198"/>
    </row>
    <row r="984" spans="6:22" ht="13.2">
      <c r="F984" s="198"/>
      <c r="Q984" s="198"/>
      <c r="V984" s="198"/>
    </row>
    <row r="985" spans="6:22" ht="13.2">
      <c r="F985" s="198"/>
      <c r="Q985" s="198"/>
      <c r="V985" s="198"/>
    </row>
    <row r="986" spans="6:22" ht="13.2">
      <c r="F986" s="198"/>
      <c r="Q986" s="198"/>
      <c r="V986" s="198"/>
    </row>
    <row r="987" spans="6:22" ht="13.2">
      <c r="F987" s="198"/>
      <c r="Q987" s="198"/>
      <c r="V987" s="198"/>
    </row>
    <row r="988" spans="6:22" ht="13.2">
      <c r="F988" s="198"/>
      <c r="Q988" s="198"/>
      <c r="V988" s="198"/>
    </row>
    <row r="989" spans="6:22" ht="13.2">
      <c r="F989" s="198"/>
      <c r="Q989" s="198"/>
      <c r="V989" s="198"/>
    </row>
    <row r="990" spans="6:22" ht="13.2">
      <c r="F990" s="198"/>
      <c r="Q990" s="198"/>
      <c r="V990" s="198"/>
    </row>
    <row r="991" spans="6:22" ht="13.2">
      <c r="F991" s="198"/>
      <c r="Q991" s="198"/>
      <c r="V991" s="198"/>
    </row>
    <row r="992" spans="6:22" ht="13.2">
      <c r="F992" s="198"/>
      <c r="Q992" s="198"/>
      <c r="V992" s="198"/>
    </row>
    <row r="993" spans="6:22" ht="13.2">
      <c r="F993" s="198"/>
      <c r="Q993" s="198"/>
      <c r="V993" s="198"/>
    </row>
    <row r="994" spans="6:22" ht="13.2">
      <c r="F994" s="198"/>
      <c r="Q994" s="198"/>
      <c r="V994" s="198"/>
    </row>
    <row r="995" spans="6:22" ht="13.2">
      <c r="F995" s="198"/>
      <c r="Q995" s="198"/>
      <c r="V995" s="198"/>
    </row>
    <row r="996" spans="6:22" ht="13.2">
      <c r="F996" s="198"/>
      <c r="Q996" s="198"/>
      <c r="V996" s="198"/>
    </row>
    <row r="997" spans="6:22" ht="13.2">
      <c r="F997" s="198"/>
      <c r="Q997" s="198"/>
      <c r="V997" s="198"/>
    </row>
    <row r="998" spans="6:22" ht="13.2">
      <c r="F998" s="198"/>
      <c r="Q998" s="198"/>
      <c r="V998" s="198"/>
    </row>
    <row r="999" spans="6:22" ht="13.2">
      <c r="F999" s="198"/>
      <c r="Q999" s="198"/>
      <c r="V999" s="198"/>
    </row>
    <row r="1000" spans="6:22" ht="13.2">
      <c r="F1000" s="198"/>
      <c r="Q1000" s="198"/>
      <c r="V1000" s="198"/>
    </row>
  </sheetData>
  <mergeCells count="8">
    <mergeCell ref="S2:V2"/>
    <mergeCell ref="W2:Z2"/>
    <mergeCell ref="AC2:AF2"/>
    <mergeCell ref="A2:A3"/>
    <mergeCell ref="B2:B3"/>
    <mergeCell ref="F2:I2"/>
    <mergeCell ref="J2:N2"/>
    <mergeCell ref="O2:R2"/>
  </mergeCells>
  <dataValidations count="1">
    <dataValidation type="list" allowBlank="1" showErrorMessage="1" sqref="F4:AA24" xr:uid="{00000000-0002-0000-0D00-000000000000}">
      <formula1>"አለ/ች,ቀሪ,ፍቃድ"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ሰባተኛ </vt:lpstr>
      <vt:lpstr>ሰባተኛ 2</vt:lpstr>
      <vt:lpstr>ስምንተኛ </vt:lpstr>
      <vt:lpstr>ስምንተኛ 2</vt:lpstr>
      <vt:lpstr>ዘጠነኛ </vt:lpstr>
      <vt:lpstr>ዘጠነኛ 2</vt:lpstr>
      <vt:lpstr>አስረኛ</vt:lpstr>
      <vt:lpstr>አስረኛ 2</vt:lpstr>
      <vt:lpstr>አስራ አንደኛ </vt:lpstr>
      <vt:lpstr>አስራ ሁለተኛ </vt:lpstr>
      <vt:lpstr>አስራ አንደኛ 2</vt:lpstr>
      <vt:lpstr>አስራ ሁለተኛ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Binyam Tagel Debaba (Student)</cp:lastModifiedBy>
  <dcterms:modified xsi:type="dcterms:W3CDTF">2026-08-26T09:38:06Z</dcterms:modified>
</cp:coreProperties>
</file>